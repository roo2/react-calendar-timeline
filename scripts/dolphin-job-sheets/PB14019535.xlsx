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8C10196-8D6C-4269-8719-EE707F257E9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<sst xmlns="http://schemas.openxmlformats.org/spreadsheetml/2006/main" count="301" uniqueCount="197">
  <si>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</si>
  <si>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</si>
  <si>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</si>
  <si>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</si>
  <si>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</si>
  <si>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</si>
  <si>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</si>
  <si>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</si>
  <si>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</si>
  <si>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</si>
  <si>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</si>
  <si>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</si>
  <si>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</si>
  <si>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</si>
  <si>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</si>
  <si>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</si>
  <si>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</si>
  <si>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</si>
  <si>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</si>
  <si>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</si>
  <si>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</si>
  <si>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</si>
  <si>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</si>
  <si>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</si>
  <si>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</si>
  <si>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</si>
  <si>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</si>
  <si>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</si>
  <si>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</si>
  <si>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</si>
  <si>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</si>
  <si>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</si>
  <si>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</si>
  <si>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</si>
  <si>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</si>
  <si>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</si>
  <si>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</si>
  <si>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</si>
  <si>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</si>
  <si>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</si>
  <si>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</si>
  <si>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</si>
  <si>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</si>
  <si>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</si>
  <si>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</si>
  <si>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</si>
  <si>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</si>
  <si>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</si>
  <si>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</si>
  <si>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</si>
  <si>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</si>
  <si>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</si>
  <si>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</si>
  <si>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</si>
  <si>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</si>
  <si>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</si>
  <si>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</si>
  <si>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</si>
  <si>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</si>
  <si>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</si>
  <si>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</si>
  <si>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</si>
  <si>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</si>
  <si>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</si>
  <si>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</si>
  <si>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</si>
  <si>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</si>
  <si>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</si>
  <si>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</si>
  <si>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</si>
  <si>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</si>
  <si>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</si>
  <si>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</si>
  <si>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</si>
  <si>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</si>
  <si>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</si>
  <si>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</si>
  <si>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</si>
  <si>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</si>
  <si>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</si>
  <si>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</si>
  <si>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</si>
  <si>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</si>
  <si>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</si>
  <si>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</si>
  <si>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</si>
  <si>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</si>
  <si>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</si>
  <si>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</si>
  <si>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</si>
  <si>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</si>
  <si>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</si>
  <si>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</si>
  <si>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</si>
  <si>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</si>
  <si>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</si>
  <si>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</si>
  <si>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</si>
  <si>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</si>
  <si>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</si>
  <si>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</si>
  <si>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</si>
  <si>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</si>
  <si>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</si>
  <si>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</si>
  <si>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</si>
  <si>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</si>
  <si>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</si>
  <si>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</si>
  <si>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</si>
  <si>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</si>
  <si>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</si>
  <si>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</si>
  <si>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</si>
  <si>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</si>
  <si>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</si>
  <si>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</si>
  <si>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</si>
  <si>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</si>
  <si>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</si>
  <si>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</si>
  <si>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</si>
  <si>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</si>
  <si>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</si>
  <si>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</si>
  <si>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</si>
  <si>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</si>
  <si>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</si>
  <si>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</si>
  <si>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</si>
  <si>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</si>
  <si>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</si>
  <si>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</si>
  <si>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</si>
  <si>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</si>
  <si>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</si>
  <si>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</si>
  <si>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</si>
  <si>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</si>
  <si>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</si>
  <si>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</si>
  <si>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</si>
  <si>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</si>
  <si>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</si>
  <si>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</si>
  <si>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</si>
  <si>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</si>
  <si>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</si>
  <si>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</si>
  <si>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</si>
  <si>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</si>
  <si>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</si>
  <si>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</si>
  <si>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</si>
  <si>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</si>
  <si>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</si>
  <si>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</si>
  <si>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</si>
  <si>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</si>
  <si>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</si>
  <si>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</si>
  <si>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</si>
  <si>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</si>
  <si>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</si>
  <si>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</si>
  <si>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</si>
  <si>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</si>
  <si>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</si>
  <si>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</si>
  <si>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</si>
  <si>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</si>
  <si>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</si>
  <si>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</si>
  <si>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</si>
  <si>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</si>
  <si>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</si>
  <si>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</si>
  <si>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</si>
  <si>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</si>
  <si>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</si>
  <si>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</si>
  <si>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</si>
  <si>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</si>
  <si>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</si>
  <si>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</si>
  <si>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</si>
  <si>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</si>
  <si>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</si>
  <si>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</si>
  <si>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</si>
  <si>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</si>
  <si>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</si>
  <si>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</si>
  <si>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</si>
  <si>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UNDER</t>
  </si>
  <si>
    <t xml:space="preserve"> +/- 3um</t>
  </si>
  <si>
    <t>BARRIER REEF CORALS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</si>
</sst>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PB13540050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44909</v>
      </c>
      <c r="K1" s="84"/>
      <c r="L1" s="85"/>
      <c r="M1" s="29"/>
      <c r="N1" s="11" t="s">
        <v>56</v>
      </c>
      <c r="O1" s="111" t="str">
        <f>B1</f>
        <v>PB13540050</v>
      </c>
      <c r="P1" s="111"/>
      <c r="Q1" s="112"/>
      <c r="R1" s="11" t="s">
        <v>57</v>
      </c>
      <c r="S1" s="111" t="str">
        <f>F1</f>
        <v>BARRIER REEF CORALS</v>
      </c>
      <c r="T1" s="111"/>
      <c r="U1" s="112"/>
      <c r="V1" s="11" t="s">
        <v>181</v>
      </c>
      <c r="W1" s="84">
        <f ca="1">J1</f>
        <v>44909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944738</v>
      </c>
      <c r="G2" s="87"/>
      <c r="H2" s="88"/>
      <c r="I2" s="11" t="s">
        <v>59</v>
      </c>
      <c r="J2" s="86">
        <v>44940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944738</v>
      </c>
      <c r="T2" s="111"/>
      <c r="U2" s="112"/>
      <c r="V2" s="11" t="s">
        <v>59</v>
      </c>
      <c r="W2" s="122">
        <f>J2</f>
        <v>44940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5000</v>
      </c>
      <c r="S7" s="88"/>
      <c r="T7" s="11" t="str">
        <f>IF(ISNUMBER(SEARCH("bag",O8,1)),"Total Bags","Total Sheets")</f>
        <v>Total Bags</v>
      </c>
      <c r="U7" s="111">
        <f>R7*O7</f>
        <v>25000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135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135</v>
      </c>
      <c r="S9" s="18" t="s">
        <v>78</v>
      </c>
      <c r="T9" s="30">
        <v>400</v>
      </c>
      <c r="U9" s="18" t="s">
        <v>78</v>
      </c>
      <c r="V9" s="30">
        <v>50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12</v>
      </c>
      <c r="C10" s="88"/>
      <c r="D10" s="47" t="s">
        <v>134</v>
      </c>
      <c r="E10" s="101">
        <f>IF(ISNUMBER(SEARCH("sheet",O8,1)),((R9*T9*H8/540000)*U7/2000*1.3),((R9*T9*H8/540000)*U7/1000*1.08))</f>
        <v>135</v>
      </c>
      <c r="F10" s="102"/>
      <c r="G10" s="11" t="s">
        <v>53</v>
      </c>
      <c r="H10" s="105">
        <f>IF(ISNUMBER(SEARCH("sheet",O8,1)),(U7*T9/2000*1.08),(U7*T9/1000*1.08))</f>
        <v>10800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11.25</v>
      </c>
      <c r="F11" s="104"/>
      <c r="G11" s="11" t="s">
        <v>15</v>
      </c>
      <c r="H11" s="103">
        <f>H10/B10</f>
        <v>900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44930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53D176D-2790-4DEF-B317-83188D224A59}"/>
</file>

<file path=customXml/itemProps2.xml><?xml version="1.0" encoding="utf-8"?>
<ds:datastoreItem xmlns:ds="http://schemas.openxmlformats.org/officeDocument/2006/customXml" ds:itemID="{6AEFE8F0-5229-40A3-BCBE-B5F657F42E4C}"/>
</file>

<file path=customXml/itemProps3.xml><?xml version="1.0" encoding="utf-8"?>
<ds:datastoreItem xmlns:ds="http://schemas.openxmlformats.org/officeDocument/2006/customXml" ds:itemID="{EB6B59FF-E246-48E9-B9E5-7EF83365E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2022-12-14T02:01:31Z</cp:lastPrinted>
  <dcterms:created xsi:type="dcterms:W3CDTF">2019-11-27T23:28:06Z</dcterms:created>
  <dcterms:modified xsi:type="dcterms:W3CDTF">2022-12-14T03:04:08Z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