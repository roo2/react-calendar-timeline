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B768DC2-46D7-453C-9996-A07D2C08D2C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<sst xmlns="http://schemas.openxmlformats.org/spreadsheetml/2006/main" count="225" uniqueCount="167">
  <si>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</si>
  <si>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</si>
  <si>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</si>
  <si>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</si>
  <si>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</si>
  <si>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</si>
  <si>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</si>
  <si>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</si>
  <si>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</si>
  <si>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</si>
  <si>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</si>
  <si>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</si>
  <si>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</si>
  <si>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</si>
  <si>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</si>
  <si>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</si>
  <si>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</si>
  <si>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</si>
  <si>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</si>
  <si>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</si>
  <si>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</si>
  <si>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</si>
  <si>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</si>
  <si>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</si>
  <si>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</si>
  <si>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</si>
  <si>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</si>
  <si>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</si>
  <si>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</si>
  <si>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</si>
  <si>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</si>
  <si>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</si>
  <si>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</si>
  <si>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</si>
  <si>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</si>
  <si>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</si>
  <si>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</si>
  <si>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</si>
  <si>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</si>
  <si>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</si>
  <si>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</si>
  <si>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</si>
  <si>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</si>
  <si>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</si>
  <si>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</si>
  <si>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</si>
  <si>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</si>
  <si>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</si>
  <si>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</si>
  <si>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</si>
  <si>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</si>
  <si>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</si>
  <si>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</si>
  <si>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</si>
  <si>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</si>
  <si>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</si>
  <si>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</si>
  <si>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</si>
  <si>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</si>
  <si>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</si>
  <si>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</si>
  <si>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</si>
  <si>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</si>
  <si>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</si>
  <si>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</si>
  <si>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</si>
  <si>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</si>
  <si>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</si>
  <si>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</si>
  <si>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</si>
  <si>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</si>
  <si>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</si>
  <si>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</si>
  <si>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</si>
  <si>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</si>
  <si>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</si>
  <si>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</si>
  <si>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</si>
  <si>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</si>
  <si>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</si>
  <si>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</si>
  <si>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</si>
  <si>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</si>
  <si>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</si>
  <si>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</si>
  <si>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</si>
  <si>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</si>
  <si>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</si>
  <si>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</si>
  <si>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</si>
  <si>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</si>
  <si>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</si>
  <si>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</si>
  <si>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</si>
  <si>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</si>
  <si>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</si>
  <si>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</si>
  <si>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</si>
  <si>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</si>
  <si>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</si>
  <si>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</si>
  <si>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</si>
  <si>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</si>
  <si>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</si>
  <si>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</si>
  <si>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</si>
  <si>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</si>
  <si>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</si>
  <si>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</si>
  <si>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</si>
  <si>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</si>
  <si>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</si>
  <si>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</si>
  <si>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</si>
  <si>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</si>
  <si>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</si>
  <si>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</si>
  <si>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</si>
  <si>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</si>
  <si>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</si>
  <si>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</si>
  <si>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</si>
  <si>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</si>
  <si>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</si>
  <si>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</si>
  <si>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</si>
  <si>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</si>
  <si>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</si>
  <si>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</si>
  <si>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</si>
  <si>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</si>
  <si>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</si>
  <si>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</si>
  <si>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</si>
  <si>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</si>
  <si>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</si>
  <si>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</si>
  <si>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</si>
  <si>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</si>
  <si>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</si>
  <si>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</si>
  <si>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</si>
  <si>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</si>
  <si>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</si>
  <si>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</si>
  <si>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</si>
  <si>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</si>
  <si>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</si>
  <si>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</si>
  <si>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</si>
  <si>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</si>
  <si>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</si>
  <si>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</si>
  <si>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</si>
  <si>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</si>
  <si>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</si>
  <si>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</si>
  <si>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</si>
  <si>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</si>
  <si>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</si>
  <si>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</si>
  <si>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</si>
  <si>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</si>
  <si>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</si>
  <si>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 - RUN @190</t>
  </si>
  <si>
    <t>ADVANTAGE SCREENS</t>
  </si>
  <si>
    <t>26.08.2022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</si>
</sst>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6" fillId="5" borderId="2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S12" sqref="S12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T450200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45063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15KG</v>
      </c>
      <c r="C2" s="65"/>
      <c r="D2" s="66"/>
      <c r="E2" s="11" t="s">
        <v>56</v>
      </c>
      <c r="F2" s="51">
        <v>943827</v>
      </c>
      <c r="G2" s="51"/>
      <c r="H2" s="52"/>
      <c r="I2" s="11" t="s">
        <v>57</v>
      </c>
      <c r="J2" s="78" t="s">
        <v>166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159</v>
      </c>
      <c r="C7" s="52"/>
      <c r="D7" s="11" t="s">
        <v>47</v>
      </c>
      <c r="E7" s="109" t="s">
        <v>131</v>
      </c>
      <c r="F7" s="109"/>
      <c r="G7" s="109"/>
      <c r="H7" s="109"/>
      <c r="I7" s="109"/>
      <c r="J7" s="93" t="s">
        <v>145</v>
      </c>
      <c r="K7" s="93"/>
      <c r="L7" s="94"/>
    </row>
    <row r="8" spans="1:14" ht="20.149999999999999" customHeight="1" x14ac:dyDescent="0.8">
      <c r="A8" s="12" t="s">
        <v>14</v>
      </c>
      <c r="B8" s="99">
        <v>450</v>
      </c>
      <c r="C8" s="100"/>
      <c r="D8" s="12" t="str">
        <f>IF(B7="Tube","Gusset","Centrefold")</f>
        <v>Gusset</v>
      </c>
      <c r="E8" s="95" t="str">
        <f>IF(B7="Cont Centrefold",B8*2,"")</f>
        <v/>
      </c>
      <c r="F8" s="96"/>
      <c r="G8" s="12" t="s">
        <v>50</v>
      </c>
      <c r="H8" s="99">
        <v>200</v>
      </c>
      <c r="I8" s="100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5" t="s">
        <v>146</v>
      </c>
      <c r="C9" s="86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5</v>
      </c>
      <c r="C10" s="52"/>
      <c r="D10" s="36" t="s">
        <v>104</v>
      </c>
      <c r="E10" s="87">
        <f>E11*B10</f>
        <v>75</v>
      </c>
      <c r="F10" s="88"/>
      <c r="G10" s="11" t="s">
        <v>51</v>
      </c>
      <c r="H10" s="65">
        <f>H11*B10</f>
        <v>450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9">
        <v>15</v>
      </c>
      <c r="F11" s="90"/>
      <c r="G11" s="42" t="s">
        <v>13</v>
      </c>
      <c r="H11" s="91">
        <f>E11*540000/B8/H8</f>
        <v>90</v>
      </c>
      <c r="I11" s="92"/>
      <c r="J11" s="42" t="s">
        <v>48</v>
      </c>
      <c r="K11" s="97" t="s">
        <v>42</v>
      </c>
      <c r="L11" s="98"/>
      <c r="N11"/>
    </row>
    <row r="12" spans="1:14" ht="20.149999999999999" customHeight="1" x14ac:dyDescent="0.75">
      <c r="A12" s="107" t="s">
        <v>11</v>
      </c>
      <c r="B12" s="108"/>
      <c r="C12" s="108"/>
      <c r="D12" s="108"/>
      <c r="E12" s="103"/>
      <c r="F12" s="103"/>
      <c r="G12" s="103"/>
      <c r="H12" s="103"/>
      <c r="I12" s="103"/>
      <c r="J12" s="103"/>
      <c r="K12" s="103"/>
      <c r="L12" s="104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5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101" t="s">
        <v>2</v>
      </c>
      <c r="B18" s="94"/>
      <c r="C18" s="101" t="s">
        <v>111</v>
      </c>
      <c r="D18" s="94"/>
      <c r="E18" s="101" t="s">
        <v>3</v>
      </c>
      <c r="F18" s="94"/>
      <c r="G18" s="101" t="s">
        <v>4</v>
      </c>
      <c r="H18" s="94"/>
      <c r="I18" s="101" t="s">
        <v>9</v>
      </c>
      <c r="J18" s="94"/>
      <c r="K18" s="101" t="s">
        <v>10</v>
      </c>
      <c r="L18" s="94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5"/>
      <c r="F19" s="106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5"/>
      <c r="F20" s="106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5"/>
      <c r="F21" s="106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5"/>
      <c r="F22" s="106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5"/>
      <c r="F23" s="106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2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2"/>
      <c r="E24" s="105"/>
      <c r="F24" s="106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5"/>
      <c r="F25" s="106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2" t="s">
        <v>0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4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7" t="s">
        <v>93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20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11" t="s">
        <v>101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3"/>
    </row>
    <row r="35" spans="1:12" ht="20.149999999999999" customHeight="1" x14ac:dyDescent="0.75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6"/>
    </row>
    <row r="36" spans="1:12" ht="20.149999999999999" customHeight="1" x14ac:dyDescent="0.75">
      <c r="A36" s="117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9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45084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671E731-29C6-4893-AF94-E67D7B1B9E56}"/>
</file>

<file path=customXml/itemProps2.xml><?xml version="1.0" encoding="utf-8"?>
<ds:datastoreItem xmlns:ds="http://schemas.openxmlformats.org/officeDocument/2006/customXml" ds:itemID="{C4D6E15A-E590-434E-B697-B660131E6F7F}"/>
</file>

<file path=customXml/itemProps3.xml><?xml version="1.0" encoding="utf-8"?>
<ds:datastoreItem xmlns:ds="http://schemas.openxmlformats.org/officeDocument/2006/customXml" ds:itemID="{200B53F7-E856-4FD0-AF5E-72ED6DACE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2022-07-28T00:50:52Z</cp:lastPrinted>
  <dcterms:created xsi:type="dcterms:W3CDTF">2019-11-27T23:28:06Z</dcterms:created>
  <dcterms:modified xsi:type="dcterms:W3CDTF">2023-05-18T03:40:57Z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