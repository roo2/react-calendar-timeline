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A374AE7-C2CE-40AB-9F94-AA36A6EE7413}" xr6:coauthVersionLast="47" xr6:coauthVersionMax="47" xr10:uidLastSave="{00000000-0000-0000-0000-000000000000}"/>
  <bookViews>
    <workbookView xWindow="0" yWindow="300" windowWidth="19380" windowHeight="1038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C24" i="1" l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<sst xmlns="http://schemas.openxmlformats.org/spreadsheetml/2006/main" count="230" uniqueCount="170">
  <si>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</si>
  <si>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</si>
  <si>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</si>
  <si>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</si>
  <si>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</si>
  <si>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</si>
  <si>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</si>
  <si>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</si>
  <si>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</si>
  <si>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</si>
  <si>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</si>
  <si>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</si>
  <si>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</si>
  <si>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</si>
  <si>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</si>
  <si>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</si>
  <si>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</si>
  <si>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</si>
  <si>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</si>
  <si>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</si>
  <si>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</si>
  <si>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</si>
  <si>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</si>
  <si>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</si>
  <si>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</si>
  <si>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</si>
  <si>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</si>
  <si>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</si>
  <si>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</si>
  <si>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</si>
  <si>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</si>
  <si>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</si>
  <si>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</si>
  <si>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</si>
  <si>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</si>
  <si>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</si>
  <si>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</si>
  <si>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</si>
  <si>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</si>
  <si>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</si>
  <si>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</si>
  <si>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</si>
  <si>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</si>
  <si>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</si>
  <si>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</si>
  <si>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</si>
  <si>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</si>
  <si>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</si>
  <si>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</si>
  <si>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</si>
  <si>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</si>
  <si>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</si>
  <si>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</si>
  <si>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</si>
  <si>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</si>
  <si>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</si>
  <si>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</si>
  <si>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</si>
  <si>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</si>
  <si>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</si>
  <si>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</si>
  <si>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</si>
  <si>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</si>
  <si>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</si>
  <si>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</si>
  <si>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</si>
  <si>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</si>
  <si>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</si>
  <si>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</si>
  <si>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</si>
  <si>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</si>
  <si>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</si>
  <si>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</si>
  <si>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</si>
  <si>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</si>
  <si>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</si>
  <si>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</si>
  <si>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</si>
  <si>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</si>
  <si>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</si>
  <si>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</si>
  <si>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</si>
  <si>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</si>
  <si>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</si>
  <si>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</si>
  <si>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</si>
  <si>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</si>
  <si>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</si>
  <si>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</si>
  <si>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</si>
  <si>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</si>
  <si>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</si>
  <si>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</si>
  <si>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</si>
  <si>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</si>
  <si>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</si>
  <si>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</si>
  <si>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</si>
  <si>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</si>
  <si>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</si>
  <si>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</si>
  <si>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</si>
  <si>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</si>
  <si>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</si>
  <si>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</si>
  <si>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</si>
  <si>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</si>
  <si>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</si>
  <si>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</si>
  <si>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</si>
  <si>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</si>
  <si>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</si>
  <si>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</si>
  <si>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</si>
  <si>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</si>
  <si>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</si>
  <si>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</si>
  <si>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</si>
  <si>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</si>
  <si>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</si>
  <si>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</si>
  <si>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</si>
  <si>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</si>
  <si>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</si>
  <si>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</si>
  <si>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</si>
  <si>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</si>
  <si>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</si>
  <si>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</si>
  <si>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</si>
  <si>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</si>
  <si>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</si>
  <si>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</si>
  <si>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</si>
  <si>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</si>
  <si>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</si>
  <si>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</si>
  <si>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</si>
  <si>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</si>
  <si>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</si>
  <si>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</si>
  <si>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</si>
  <si>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</si>
  <si>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</si>
  <si>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</si>
  <si>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</si>
  <si>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</si>
  <si>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</si>
  <si>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</si>
  <si>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</si>
  <si>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</si>
  <si>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</si>
  <si>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</si>
  <si>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</si>
  <si>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</si>
  <si>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</si>
  <si>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</si>
  <si>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</si>
  <si>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</si>
  <si>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</si>
  <si>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</si>
  <si>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</si>
  <si>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</si>
  <si>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</si>
  <si>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KILARGO</t>
  </si>
  <si>
    <t>PRINTED 2C/1S GREEN &amp; GREY - "KILARGO"</t>
  </si>
  <si>
    <t>ANTIBLOCK</t>
  </si>
  <si>
    <t>#5</t>
  </si>
  <si>
    <r>
      <t>MICROVENTED AND PRINTED -</t>
    </r>
    <r>
      <rPr>
        <b/>
        <u/>
        <sz val="16"/>
        <color rgb="FFFF0000"/>
        <rFont val="Calibri"/>
        <family val="2"/>
        <scheme val="minor"/>
      </rPr>
      <t xml:space="preserve"> NEW PRINT PLATE</t>
    </r>
  </si>
  <si>
    <t>52952AB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</si>
</sst>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T4" sqref="T4"/>
    </sheetView>
  </sheetViews>
  <sheetFormatPr defaultRowHeight="14.75" x14ac:dyDescent="0.75"/>
  <sheetData>
    <row r="1" spans="1:14" ht="20.149999999999999" customHeight="1" x14ac:dyDescent="0.8">
      <c r="A1" s="10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T6580FALSE</v>
      </c>
      <c r="C1" s="61"/>
      <c r="D1" s="62"/>
      <c r="E1" s="10" t="s">
        <v>55</v>
      </c>
      <c r="F1" s="51" t="s">
        <v>164</v>
      </c>
      <c r="G1" s="51"/>
      <c r="H1" s="52"/>
      <c r="I1" s="10" t="s">
        <v>148</v>
      </c>
      <c r="J1" s="76">
        <f ca="1">TODAY()</f>
        <v>46000</v>
      </c>
      <c r="K1" s="76"/>
      <c r="L1" s="77"/>
    </row>
    <row r="2" spans="1:14" ht="20.149999999999999" customHeight="1" x14ac:dyDescent="0.8">
      <c r="A2" s="10" t="s">
        <v>94</v>
      </c>
      <c r="B2" s="65" t="str">
        <f>IF(B7="Tube",(ROUNDUP(E11,0)&amp;"KG"),(ROUNDUP(H11,0)&amp;"M"))</f>
        <v>3KG</v>
      </c>
      <c r="C2" s="65"/>
      <c r="D2" s="66"/>
      <c r="E2" s="10" t="s">
        <v>56</v>
      </c>
      <c r="F2" s="51" t="s">
        <v>169</v>
      </c>
      <c r="G2" s="51"/>
      <c r="H2" s="52"/>
      <c r="I2" s="10" t="s">
        <v>57</v>
      </c>
      <c r="J2" s="78" t="s">
        <v>162</v>
      </c>
      <c r="K2" s="51"/>
      <c r="L2" s="52"/>
    </row>
    <row r="3" spans="1:14" ht="20.149999999999999" customHeight="1" x14ac:dyDescent="0.75">
      <c r="A3" s="67" t="s">
        <v>168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0" t="s">
        <v>158</v>
      </c>
      <c r="B7" s="51" t="s">
        <v>159</v>
      </c>
      <c r="C7" s="52"/>
      <c r="D7" s="10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1" t="s">
        <v>14</v>
      </c>
      <c r="B8" s="97">
        <v>65</v>
      </c>
      <c r="C8" s="98"/>
      <c r="D8" s="11" t="str">
        <f>IF(B7="Tube","Gusset","Centrefold")</f>
        <v>Gusset</v>
      </c>
      <c r="E8" s="93" t="str">
        <f>IF(B7="Cont Centrefold",B8*2,"")</f>
        <v/>
      </c>
      <c r="F8" s="94"/>
      <c r="G8" s="11" t="s">
        <v>50</v>
      </c>
      <c r="H8" s="97">
        <v>80</v>
      </c>
      <c r="I8" s="98"/>
      <c r="J8" s="10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2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2" t="s">
        <v>46</v>
      </c>
      <c r="H9" s="81" t="s">
        <v>146</v>
      </c>
      <c r="I9" s="82"/>
      <c r="J9" s="10" t="s">
        <v>53</v>
      </c>
      <c r="K9" s="51" t="s">
        <v>28</v>
      </c>
      <c r="L9" s="52"/>
    </row>
    <row r="10" spans="1:14" ht="20.149999999999999" customHeight="1" x14ac:dyDescent="0.8">
      <c r="A10" s="10" t="s">
        <v>49</v>
      </c>
      <c r="B10" s="51">
        <v>300</v>
      </c>
      <c r="C10" s="52"/>
      <c r="D10" s="35" t="s">
        <v>104</v>
      </c>
      <c r="E10" s="85">
        <f>E11*B10</f>
        <v>900</v>
      </c>
      <c r="F10" s="86"/>
      <c r="G10" s="10" t="s">
        <v>51</v>
      </c>
      <c r="H10" s="65">
        <f>H11*B10</f>
        <v>93461.538461538468</v>
      </c>
      <c r="I10" s="66"/>
      <c r="J10" s="10" t="s">
        <v>39</v>
      </c>
      <c r="K10" s="51" t="s">
        <v>42</v>
      </c>
      <c r="L10" s="52"/>
    </row>
    <row r="11" spans="1:14" s="42" customFormat="1" ht="20.149999999999999" customHeight="1" x14ac:dyDescent="0.8">
      <c r="A11" s="41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1" t="s">
        <v>105</v>
      </c>
      <c r="E11" s="87">
        <v>3</v>
      </c>
      <c r="F11" s="88"/>
      <c r="G11" s="41" t="s">
        <v>13</v>
      </c>
      <c r="H11" s="89">
        <f>E11*540000/B8/H8</f>
        <v>311.53846153846155</v>
      </c>
      <c r="I11" s="90"/>
      <c r="J11" s="41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0" t="s">
        <v>59</v>
      </c>
      <c r="B13" s="51" t="s">
        <v>69</v>
      </c>
      <c r="C13" s="51"/>
      <c r="D13" s="52"/>
      <c r="E13" s="13" t="s">
        <v>60</v>
      </c>
      <c r="F13" s="51" t="s">
        <v>65</v>
      </c>
      <c r="G13" s="51"/>
      <c r="H13" s="52"/>
      <c r="I13" s="10" t="s">
        <v>61</v>
      </c>
      <c r="J13" s="51" t="s">
        <v>120</v>
      </c>
      <c r="K13" s="51"/>
      <c r="L13" s="52"/>
    </row>
    <row r="14" spans="1:14" ht="20.149999999999999" customHeight="1" x14ac:dyDescent="0.9">
      <c r="A14" s="11" t="s">
        <v>58</v>
      </c>
      <c r="B14" s="107" t="s">
        <v>165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0" t="s">
        <v>71</v>
      </c>
      <c r="B16" s="51" t="s">
        <v>75</v>
      </c>
      <c r="C16" s="51"/>
      <c r="D16" s="52"/>
      <c r="E16" s="10" t="s">
        <v>72</v>
      </c>
      <c r="F16" s="61">
        <f>B10</f>
        <v>300</v>
      </c>
      <c r="G16" s="61"/>
      <c r="H16" s="62"/>
      <c r="I16" s="10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9" t="s">
        <v>76</v>
      </c>
      <c r="H19" s="30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9" t="s">
        <v>77</v>
      </c>
      <c r="H20" s="30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9" t="s">
        <v>78</v>
      </c>
      <c r="H21" s="30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9" t="s">
        <v>79</v>
      </c>
      <c r="H22" s="30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3"/>
      <c r="F23" s="104"/>
      <c r="G23" s="9" t="s">
        <v>80</v>
      </c>
      <c r="H23" s="30"/>
      <c r="I23" s="56"/>
      <c r="J23" s="57"/>
      <c r="K23" s="56"/>
      <c r="L23" s="57"/>
    </row>
    <row r="24" spans="1:12" ht="20.149999999999999" customHeight="1" x14ac:dyDescent="0.75">
      <c r="A24" s="49" t="s">
        <v>166</v>
      </c>
      <c r="B24" s="49"/>
      <c r="C24" s="119" t="b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0</v>
      </c>
      <c r="D24" s="120"/>
      <c r="E24" s="103"/>
      <c r="F24" s="104"/>
      <c r="G24" s="9" t="s">
        <v>81</v>
      </c>
      <c r="H24" s="30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9" t="s">
        <v>82</v>
      </c>
      <c r="H25" s="30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4"/>
      <c r="B27" s="15" t="s">
        <v>147</v>
      </c>
      <c r="C27" s="15" t="s">
        <v>86</v>
      </c>
      <c r="D27" s="16" t="s">
        <v>84</v>
      </c>
      <c r="E27" s="16" t="s">
        <v>85</v>
      </c>
      <c r="F27" s="16" t="s">
        <v>87</v>
      </c>
      <c r="G27" s="50" t="s">
        <v>103</v>
      </c>
      <c r="H27" s="50"/>
      <c r="I27" s="50" t="s">
        <v>102</v>
      </c>
      <c r="J27" s="50"/>
      <c r="K27" s="16" t="s">
        <v>88</v>
      </c>
      <c r="L27" s="16" t="s">
        <v>89</v>
      </c>
    </row>
    <row r="28" spans="1:12" ht="20.149999999999999" customHeight="1" x14ac:dyDescent="0.75">
      <c r="A28" s="15" t="s">
        <v>90</v>
      </c>
      <c r="B28" s="6" t="s">
        <v>167</v>
      </c>
      <c r="C28" s="6"/>
      <c r="D28" s="22">
        <v>14</v>
      </c>
      <c r="E28" s="44">
        <v>7.9</v>
      </c>
      <c r="F28" s="22">
        <v>11</v>
      </c>
      <c r="G28" s="45"/>
      <c r="H28" s="45"/>
      <c r="I28" s="45"/>
      <c r="J28" s="45"/>
      <c r="K28" s="6"/>
      <c r="L28" s="22"/>
    </row>
    <row r="29" spans="1:12" ht="20.149999999999999" customHeight="1" x14ac:dyDescent="0.75">
      <c r="A29" s="15" t="s">
        <v>91</v>
      </c>
      <c r="B29" s="6"/>
      <c r="C29" s="6"/>
      <c r="D29" s="6"/>
      <c r="E29" s="7"/>
      <c r="F29" s="6"/>
      <c r="G29" s="45"/>
      <c r="H29" s="45"/>
      <c r="I29" s="45"/>
      <c r="J29" s="45"/>
      <c r="K29" s="6"/>
      <c r="L29" s="22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49999999999999" customHeight="1" x14ac:dyDescent="0.7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49999999999999" customHeight="1" x14ac:dyDescent="0.7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49999999999999" customHeight="1" x14ac:dyDescent="0.7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49999999999999" customHeight="1" x14ac:dyDescent="0.7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49999999999999" customHeight="1" x14ac:dyDescent="0.7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49999999999999" customHeight="1" x14ac:dyDescent="0.7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49999999999999" customHeight="1" x14ac:dyDescent="0.7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49999999999999" customHeight="1" x14ac:dyDescent="0.75"/>
    <row r="45" spans="1:12" ht="20.149999999999999" customHeight="1" x14ac:dyDescent="0.7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49999999999999" customHeight="1" x14ac:dyDescent="0.7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49999999999999" customHeight="1" x14ac:dyDescent="0.7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49999999999999" customHeight="1" x14ac:dyDescent="0.7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49999999999999" customHeight="1" x14ac:dyDescent="0.7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49999999999999" customHeight="1" x14ac:dyDescent="0.7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49999999999999" customHeight="1" x14ac:dyDescent="0.7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49999999999999" customHeight="1" x14ac:dyDescent="0.7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49999999999999" customHeight="1" x14ac:dyDescent="0.7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49999999999999" customHeight="1" x14ac:dyDescent="0.7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49999999999999" customHeight="1" x14ac:dyDescent="0.7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49999999999999" customHeight="1" x14ac:dyDescent="0.7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49999999999999" customHeight="1" x14ac:dyDescent="0.7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49999999999999" customHeight="1" x14ac:dyDescent="0.7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49999999999999" customHeight="1" x14ac:dyDescent="0.7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49999999999999" customHeight="1" x14ac:dyDescent="0.7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49999999999999" customHeight="1" x14ac:dyDescent="0.7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49999999999999" customHeight="1" x14ac:dyDescent="0.7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49999999999999" customHeight="1" x14ac:dyDescent="0.7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49999999999999" customHeight="1" x14ac:dyDescent="0.7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49999999999999" customHeight="1" x14ac:dyDescent="0.7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49999999999999" customHeight="1" x14ac:dyDescent="0.7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49999999999999" customHeight="1" x14ac:dyDescent="0.7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49999999999999" customHeight="1" x14ac:dyDescent="0.7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49999999999999" customHeight="1" x14ac:dyDescent="0.7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49999999999999" customHeight="1" x14ac:dyDescent="0.7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49999999999999" customHeight="1" x14ac:dyDescent="0.7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49999999999999" customHeight="1" x14ac:dyDescent="0.7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49999999999999" customHeight="1" x14ac:dyDescent="0.7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49999999999999" customHeight="1" x14ac:dyDescent="0.7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49999999999999" customHeight="1" x14ac:dyDescent="0.7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49999999999999" customHeight="1" x14ac:dyDescent="0.7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49999999999999" customHeight="1" x14ac:dyDescent="0.7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49999999999999" customHeight="1" x14ac:dyDescent="0.7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49999999999999" customHeight="1" x14ac:dyDescent="0.7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49999999999999" customHeight="1" x14ac:dyDescent="0.7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49999999999999" customHeight="1" x14ac:dyDescent="0.7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49999999999999" customHeight="1" x14ac:dyDescent="0.7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49999999999999" customHeight="1" x14ac:dyDescent="0.7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49999999999999" customHeight="1" x14ac:dyDescent="0.7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49999999999999" customHeight="1" x14ac:dyDescent="0.7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7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topLeftCell="A1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7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3">
        <f ca="1">DATE(YEAR(Sheet1!J1),MONTH(Sheet1!J1)+1,DAY(Sheet1!J1))</f>
        <v>46031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3">
        <f ca="1">DATE(YEAR(Sheet1!J1),MONTH(Sheet1!J1),DAY(Sheet1!J1)+21)</f>
        <v>46021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7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163</v>
      </c>
      <c r="T19" s="1"/>
      <c r="V19" s="1"/>
    </row>
    <row r="20" spans="1:23" x14ac:dyDescent="0.7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7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7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7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7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0" t="s">
        <v>152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7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75">
      <c r="A30" s="38" t="s">
        <v>158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75">
      <c r="A31" s="5" t="s">
        <v>159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75">
      <c r="A32" s="5" t="s">
        <v>160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75">
      <c r="A33" s="5" t="s">
        <v>161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7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7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7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7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7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7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7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7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7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7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7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7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7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7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7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7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153</v>
      </c>
    </row>
    <row r="50" spans="1:20" x14ac:dyDescent="0.7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154</v>
      </c>
    </row>
    <row r="51" spans="1:20" x14ac:dyDescent="0.7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7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7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7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7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7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7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75">
      <c r="A59" s="36"/>
    </row>
    <row r="60" spans="1:20" x14ac:dyDescent="0.75">
      <c r="A60" s="37" t="s">
        <v>61</v>
      </c>
      <c r="O60" s="1"/>
      <c r="Q60" s="1"/>
      <c r="R60" s="3"/>
      <c r="S60" s="1"/>
    </row>
    <row r="61" spans="1:20" x14ac:dyDescent="0.75">
      <c r="A61" s="36" t="s">
        <v>42</v>
      </c>
      <c r="O61" s="1"/>
      <c r="Q61" s="1"/>
      <c r="R61" s="1"/>
      <c r="S61" s="1"/>
    </row>
    <row r="62" spans="1:20" x14ac:dyDescent="0.75">
      <c r="A62" s="39" t="s">
        <v>144</v>
      </c>
      <c r="O62" s="1"/>
      <c r="Q62" s="1"/>
      <c r="R62" s="1"/>
      <c r="S62" s="1"/>
    </row>
    <row r="63" spans="1:20" x14ac:dyDescent="0.75">
      <c r="A63" s="40" t="s">
        <v>123</v>
      </c>
      <c r="O63" s="1"/>
      <c r="Q63" s="1"/>
      <c r="R63" s="1"/>
      <c r="S63" s="1"/>
      <c r="T63" s="1"/>
    </row>
    <row r="64" spans="1:20" x14ac:dyDescent="0.75">
      <c r="A64" s="40" t="s">
        <v>116</v>
      </c>
      <c r="O64" s="1"/>
      <c r="Q64" s="1"/>
      <c r="R64" s="1"/>
      <c r="S64" s="1"/>
      <c r="T64" s="1"/>
    </row>
    <row r="65" spans="1:20" x14ac:dyDescent="0.7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0" t="s">
        <v>121</v>
      </c>
      <c r="N69" s="4"/>
    </row>
    <row r="70" spans="1:20" x14ac:dyDescent="0.75">
      <c r="A70" s="40" t="s">
        <v>142</v>
      </c>
    </row>
    <row r="71" spans="1:20" x14ac:dyDescent="0.75">
      <c r="A71" s="40" t="s">
        <v>122</v>
      </c>
    </row>
    <row r="72" spans="1:20" x14ac:dyDescent="0.75">
      <c r="A72" s="40" t="s">
        <v>120</v>
      </c>
    </row>
    <row r="73" spans="1:20" x14ac:dyDescent="0.75">
      <c r="A73" s="40" t="s">
        <v>121</v>
      </c>
    </row>
    <row r="74" spans="1:20" x14ac:dyDescent="0.75">
      <c r="A74" s="40" t="s">
        <v>142</v>
      </c>
    </row>
    <row r="75" spans="1:20" x14ac:dyDescent="0.7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9AE8632-93B5-424B-8A9C-4E2CD5E2CF5C}"/>
</file>

<file path=customXml/itemProps2.xml><?xml version="1.0" encoding="utf-8"?>
<ds:datastoreItem xmlns:ds="http://schemas.openxmlformats.org/officeDocument/2006/customXml" ds:itemID="{6B3BF9F8-7C70-4528-A99A-C4A5EFEA8474}"/>
</file>

<file path=customXml/itemProps3.xml><?xml version="1.0" encoding="utf-8"?>
<ds:datastoreItem xmlns:ds="http://schemas.openxmlformats.org/officeDocument/2006/customXml" ds:itemID="{949781FF-5AE1-4797-A8EF-850E49DC9F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2025-12-09T02:57:51Z</cp:lastPrinted>
  <dcterms:created xsi:type="dcterms:W3CDTF">2019-11-27T23:28:06Z</dcterms:created>
  <dcterms:modified xsi:type="dcterms:W3CDTF">2026-01-05T04:43:52Z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