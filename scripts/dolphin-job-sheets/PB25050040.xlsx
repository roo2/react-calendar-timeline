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92D2FC0-6FFC-40D7-88F1-A5269620B32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<sst xmlns="http://schemas.openxmlformats.org/spreadsheetml/2006/main" count="303" uniqueCount="198">
  <si>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</si>
  <si>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</si>
  <si>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</si>
  <si>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</si>
  <si>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</si>
  <si>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</si>
  <si>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</si>
  <si>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</si>
  <si>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</si>
  <si>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</si>
  <si>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</si>
  <si>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</si>
  <si>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</si>
  <si>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</si>
  <si>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</si>
  <si>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</si>
  <si>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</si>
  <si>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</si>
  <si>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</si>
  <si>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</si>
  <si>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</si>
  <si>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</si>
  <si>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</si>
  <si>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</si>
  <si>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</si>
  <si>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</si>
  <si>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</si>
  <si>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</si>
  <si>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</si>
  <si>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</si>
  <si>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</si>
  <si>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</si>
  <si>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</si>
  <si>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</si>
  <si>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</si>
  <si>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</si>
  <si>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</si>
  <si>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</si>
  <si>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</si>
  <si>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</si>
  <si>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</si>
  <si>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</si>
  <si>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</si>
  <si>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</si>
  <si>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</si>
  <si>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</si>
  <si>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</si>
  <si>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</si>
  <si>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</si>
  <si>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</si>
  <si>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</si>
  <si>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</si>
  <si>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</si>
  <si>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</si>
  <si>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</si>
  <si>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</si>
  <si>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</si>
  <si>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</si>
  <si>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</si>
  <si>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</si>
  <si>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</si>
  <si>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</si>
  <si>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</si>
  <si>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</si>
  <si>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</si>
  <si>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</si>
  <si>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</si>
  <si>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</si>
  <si>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</si>
  <si>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</si>
  <si>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</si>
  <si>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</si>
  <si>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</si>
  <si>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</si>
  <si>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</si>
  <si>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</si>
  <si>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</si>
  <si>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</si>
  <si>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</si>
  <si>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</si>
  <si>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</si>
  <si>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</si>
  <si>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</si>
  <si>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</si>
  <si>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</si>
  <si>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</si>
  <si>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</si>
  <si>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</si>
  <si>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</si>
  <si>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</si>
  <si>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</si>
  <si>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</si>
  <si>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</si>
  <si>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</si>
  <si>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</si>
  <si>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</si>
  <si>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</si>
  <si>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</si>
  <si>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</si>
  <si>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</si>
  <si>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</si>
  <si>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</si>
  <si>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</si>
  <si>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</si>
  <si>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</si>
  <si>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</si>
  <si>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</si>
  <si>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</si>
  <si>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</si>
  <si>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</si>
  <si>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</si>
  <si>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</si>
  <si>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</si>
  <si>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</si>
  <si>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</si>
  <si>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</si>
  <si>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</si>
  <si>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</si>
  <si>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</si>
  <si>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</si>
  <si>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</si>
  <si>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</si>
  <si>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</si>
  <si>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</si>
  <si>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</si>
  <si>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</si>
  <si>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</si>
  <si>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</si>
  <si>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</si>
  <si>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</si>
  <si>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</si>
  <si>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</si>
  <si>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</si>
  <si>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</si>
  <si>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</si>
  <si>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</si>
  <si>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</si>
  <si>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</si>
  <si>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</si>
  <si>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</si>
  <si>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</si>
  <si>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</si>
  <si>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</si>
  <si>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</si>
  <si>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</si>
  <si>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</si>
  <si>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</si>
  <si>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</si>
  <si>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</si>
  <si>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</si>
  <si>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</si>
  <si>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</si>
  <si>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</si>
  <si>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</si>
  <si>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</si>
  <si>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</si>
  <si>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</si>
  <si>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</si>
  <si>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</si>
  <si>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</si>
  <si>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</si>
  <si>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</si>
  <si>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</si>
  <si>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</si>
  <si>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</si>
  <si>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</si>
  <si>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</si>
  <si>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</si>
  <si>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</si>
  <si>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</si>
  <si>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</si>
  <si>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</si>
  <si>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</si>
  <si>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</si>
  <si>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</si>
  <si>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</si>
  <si>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</si>
  <si>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</si>
  <si>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</si>
  <si>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</si>
  <si>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</si>
  <si>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</si>
  <si>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</si>
  <si>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</si>
  <si>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</si>
  <si>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</si>
  <si>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</si>
  <si>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</si>
  <si>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</si>
  <si>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</si>
  <si>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</si>
  <si>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</si>
  <si>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</si>
  <si>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</si>
  <si>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</si>
  <si>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INJECTION MOULDING</t>
  </si>
  <si>
    <t>MUST HAVE STRONG SEALS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</si>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</sst>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PB25050075</v>
      </c>
      <c r="C1" s="111"/>
      <c r="D1" s="112"/>
      <c r="E1" s="11" t="s">
        <v>57</v>
      </c>
      <c r="F1" s="87" t="s">
        <v>195</v>
      </c>
      <c r="G1" s="87"/>
      <c r="H1" s="88"/>
      <c r="I1" s="12" t="s">
        <v>181</v>
      </c>
      <c r="J1" s="84">
        <f ca="1">TODAY()</f>
        <v>45057</v>
      </c>
      <c r="K1" s="84"/>
      <c r="L1" s="85"/>
      <c r="M1" s="29"/>
      <c r="N1" s="11" t="s">
        <v>56</v>
      </c>
      <c r="O1" s="111" t="str">
        <f>B1</f>
        <v>PB25050075</v>
      </c>
      <c r="P1" s="111"/>
      <c r="Q1" s="112"/>
      <c r="R1" s="11" t="s">
        <v>57</v>
      </c>
      <c r="S1" s="111" t="str">
        <f>F1</f>
        <v>INJECTION MOULDING</v>
      </c>
      <c r="T1" s="111"/>
      <c r="U1" s="112"/>
      <c r="V1" s="11" t="s">
        <v>181</v>
      </c>
      <c r="W1" s="84">
        <f ca="1">J1</f>
        <v>45057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945635</v>
      </c>
      <c r="G2" s="87"/>
      <c r="H2" s="88"/>
      <c r="I2" s="11" t="s">
        <v>59</v>
      </c>
      <c r="J2" s="86">
        <v>45087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945635</v>
      </c>
      <c r="T2" s="111"/>
      <c r="U2" s="112"/>
      <c r="V2" s="11" t="s">
        <v>59</v>
      </c>
      <c r="W2" s="122">
        <f>J2</f>
        <v>45087</v>
      </c>
      <c r="X2" s="111"/>
      <c r="Y2" s="112"/>
    </row>
    <row r="3" spans="1:25" ht="20.100000000000001" customHeight="1" x14ac:dyDescent="0.7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STRONG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8">
      <c r="A8" s="13" t="s">
        <v>16</v>
      </c>
      <c r="B8" s="89">
        <f>R9</f>
        <v>250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9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250</v>
      </c>
      <c r="S9" s="18" t="s">
        <v>78</v>
      </c>
      <c r="T9" s="30">
        <v>500</v>
      </c>
      <c r="U9" s="18" t="s">
        <v>78</v>
      </c>
      <c r="V9" s="30">
        <v>75</v>
      </c>
      <c r="W9" s="17"/>
      <c r="X9" s="136"/>
      <c r="Y9" s="137"/>
    </row>
    <row r="10" spans="1:25" ht="20.100000000000001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93.749999999999986</v>
      </c>
      <c r="F10" s="102"/>
      <c r="G10" s="11" t="s">
        <v>53</v>
      </c>
      <c r="H10" s="105">
        <f>IF(ISNUMBER(SEARCH("sheet",O8,1)),(U7*T9/2000*1.08),(U7*T9/1000*1.08))</f>
        <v>2700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15.624999999999998</v>
      </c>
      <c r="F11" s="104"/>
      <c r="G11" s="11" t="s">
        <v>15</v>
      </c>
      <c r="H11" s="103">
        <f>H10/B10</f>
        <v>450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200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B1980E6-BF25-4B18-B78A-1EAADA46742C}"/>
</file>

<file path=customXml/itemProps2.xml><?xml version="1.0" encoding="utf-8"?>
<ds:datastoreItem xmlns:ds="http://schemas.openxmlformats.org/officeDocument/2006/customXml" ds:itemID="{B7DA51EB-C148-4A36-A157-23B14F2939BA}"/>
</file>

<file path=customXml/itemProps3.xml><?xml version="1.0" encoding="utf-8"?>
<ds:datastoreItem xmlns:ds="http://schemas.openxmlformats.org/officeDocument/2006/customXml" ds:itemID="{907CD52D-87C1-4E1E-8179-8DB0DCB2D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2023-05-09T23:06:15Z</cp:lastPrinted>
  <dcterms:created xsi:type="dcterms:W3CDTF">2019-11-27T23:28:06Z</dcterms:created>
  <dcterms:modified xsi:type="dcterms:W3CDTF">2023-05-11T00:36:40Z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