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A44F07E-0863-4D41-88A4-4C860A8058EA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<sst xmlns="http://schemas.openxmlformats.org/spreadsheetml/2006/main" count="224" uniqueCount="166">
  <si>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</si>
  <si>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</si>
  <si>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</si>
  <si>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</si>
  <si>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</si>
  <si>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</si>
  <si>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</si>
  <si>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</si>
  <si>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</si>
  <si>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</si>
  <si>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</si>
  <si>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</si>
  <si>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</si>
  <si>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</si>
  <si>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</si>
  <si>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</si>
  <si>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</si>
  <si>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</si>
  <si>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</si>
  <si>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</si>
  <si>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</si>
  <si>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</si>
  <si>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</si>
  <si>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</si>
  <si>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</si>
  <si>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</si>
  <si>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</si>
  <si>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</si>
  <si>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</si>
  <si>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</si>
  <si>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</si>
  <si>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</si>
  <si>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</si>
  <si>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</si>
  <si>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</si>
  <si>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</si>
  <si>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</si>
  <si>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</si>
  <si>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</si>
  <si>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</si>
  <si>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</si>
  <si>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</si>
  <si>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</si>
  <si>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</si>
  <si>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</si>
  <si>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</si>
  <si>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</si>
  <si>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</si>
  <si>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</si>
  <si>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</si>
  <si>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</si>
  <si>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</si>
  <si>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</si>
  <si>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</si>
  <si>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</si>
  <si>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</si>
  <si>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</si>
  <si>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</si>
  <si>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</si>
  <si>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</si>
  <si>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</si>
  <si>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</si>
  <si>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</si>
  <si>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</si>
  <si>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</si>
  <si>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</si>
  <si>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</si>
  <si>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</si>
  <si>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</si>
  <si>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</si>
  <si>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</si>
  <si>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</si>
  <si>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</si>
  <si>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</si>
  <si>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</si>
  <si>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</si>
  <si>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</si>
  <si>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</si>
  <si>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</si>
  <si>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</si>
  <si>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</si>
  <si>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</si>
  <si>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</si>
  <si>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</si>
  <si>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</si>
  <si>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</si>
  <si>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</si>
  <si>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</si>
  <si>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</si>
  <si>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</si>
  <si>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</si>
  <si>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</si>
  <si>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</si>
  <si>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</si>
  <si>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</si>
  <si>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</si>
  <si>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</si>
  <si>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</si>
  <si>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</si>
  <si>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</si>
  <si>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</si>
  <si>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</si>
  <si>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</si>
  <si>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</si>
  <si>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</si>
  <si>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</si>
  <si>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</si>
  <si>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</si>
  <si>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</si>
  <si>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</si>
  <si>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</si>
  <si>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</si>
  <si>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</si>
  <si>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</si>
  <si>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</si>
  <si>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</si>
  <si>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</si>
  <si>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</si>
  <si>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</si>
  <si>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</si>
  <si>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</si>
  <si>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</si>
  <si>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</si>
  <si>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</si>
  <si>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</si>
  <si>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</si>
  <si>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</si>
  <si>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</si>
  <si>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</si>
  <si>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</si>
  <si>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</si>
  <si>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</si>
  <si>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</si>
  <si>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</si>
  <si>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</si>
  <si>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</si>
  <si>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</si>
  <si>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</si>
  <si>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</si>
  <si>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</si>
  <si>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</si>
  <si>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</si>
  <si>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</si>
  <si>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</si>
  <si>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</si>
  <si>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</si>
  <si>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</si>
  <si>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</si>
  <si>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</si>
  <si>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</si>
  <si>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</si>
  <si>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</si>
  <si>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</si>
  <si>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</si>
  <si>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</si>
  <si>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</si>
  <si>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</si>
  <si>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</si>
  <si>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</si>
  <si>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</si>
  <si>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</si>
  <si>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</si>
  <si>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</si>
  <si>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</si>
  <si>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KENNARDS HIRE</t>
  </si>
  <si>
    <t>RUN AT 90UM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</si>
</sst>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/mm/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65" fontId="10" fillId="0" borderId="2" xfId="0" applyNumberFormat="1" applyFont="1" applyBorder="1" applyAlignment="1" applyProtection="1">
      <alignment horizontal="center"/>
      <protection locked="0"/>
    </xf>
    <xf numFmtId="165" fontId="10" fillId="0" borderId="5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V14" sqref="V14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T330100</v>
      </c>
      <c r="C1" s="61"/>
      <c r="D1" s="62"/>
      <c r="E1" s="11" t="s">
        <v>55</v>
      </c>
      <c r="F1" s="51" t="s">
        <v>164</v>
      </c>
      <c r="G1" s="51"/>
      <c r="H1" s="52"/>
      <c r="I1" s="11" t="s">
        <v>147</v>
      </c>
      <c r="J1" s="76">
        <f ca="1">TODAY()</f>
        <v>44938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25KG</v>
      </c>
      <c r="C2" s="65"/>
      <c r="D2" s="66"/>
      <c r="E2" s="11" t="s">
        <v>56</v>
      </c>
      <c r="F2" s="51">
        <v>944931</v>
      </c>
      <c r="G2" s="51"/>
      <c r="H2" s="52"/>
      <c r="I2" s="11" t="s">
        <v>57</v>
      </c>
      <c r="J2" s="78">
        <v>44959</v>
      </c>
      <c r="K2" s="78"/>
      <c r="L2" s="79"/>
    </row>
    <row r="3" spans="1:14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80"/>
      <c r="K6" s="80"/>
      <c r="L6" s="81"/>
    </row>
    <row r="7" spans="1:14" ht="20.149999999999999" customHeight="1" x14ac:dyDescent="0.9">
      <c r="A7" s="11" t="s">
        <v>157</v>
      </c>
      <c r="B7" s="51" t="s">
        <v>158</v>
      </c>
      <c r="C7" s="52"/>
      <c r="D7" s="11" t="s">
        <v>47</v>
      </c>
      <c r="E7" s="108" t="s">
        <v>131</v>
      </c>
      <c r="F7" s="108"/>
      <c r="G7" s="108"/>
      <c r="H7" s="108"/>
      <c r="I7" s="108"/>
      <c r="J7" s="92" t="s">
        <v>145</v>
      </c>
      <c r="K7" s="92"/>
      <c r="L7" s="93"/>
    </row>
    <row r="8" spans="1:14" ht="20.149999999999999" customHeight="1" x14ac:dyDescent="0.8">
      <c r="A8" s="12" t="s">
        <v>14</v>
      </c>
      <c r="B8" s="98">
        <v>330</v>
      </c>
      <c r="C8" s="99"/>
      <c r="D8" s="12" t="str">
        <f>IF(B7="Tube","Gusset","Centrefold")</f>
        <v>Gusset</v>
      </c>
      <c r="E8" s="94" t="str">
        <f>IF(B7="Cont Centrefold",B8*2,"")</f>
        <v/>
      </c>
      <c r="F8" s="95"/>
      <c r="G8" s="12" t="s">
        <v>50</v>
      </c>
      <c r="H8" s="98">
        <v>100</v>
      </c>
      <c r="I8" s="99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2" t="s">
        <v>163</v>
      </c>
      <c r="C9" s="83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2" t="s">
        <v>165</v>
      </c>
      <c r="I9" s="83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2</v>
      </c>
      <c r="C10" s="52"/>
      <c r="D10" s="36" t="s">
        <v>104</v>
      </c>
      <c r="E10" s="86">
        <f>E11*B10</f>
        <v>50</v>
      </c>
      <c r="F10" s="87"/>
      <c r="G10" s="11" t="s">
        <v>51</v>
      </c>
      <c r="H10" s="65">
        <f>H11*B10</f>
        <v>818.18181818181824</v>
      </c>
      <c r="I10" s="66"/>
      <c r="J10" s="11" t="s">
        <v>39</v>
      </c>
      <c r="K10" s="51" t="s">
        <v>42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4" t="str">
        <f>IF(AND(B7="Cont Centrefold",D9="RUN 2 UP"),B10*2,IF(B7="Cont Centrefold",B10,IF(B7="Cont Sheet Roll",B10*2,"")))</f>
        <v/>
      </c>
      <c r="C11" s="85"/>
      <c r="D11" s="42" t="s">
        <v>105</v>
      </c>
      <c r="E11" s="88">
        <v>25</v>
      </c>
      <c r="F11" s="89"/>
      <c r="G11" s="42" t="s">
        <v>13</v>
      </c>
      <c r="H11" s="90">
        <f>E11*540000/B8/H8</f>
        <v>409.09090909090912</v>
      </c>
      <c r="I11" s="91"/>
      <c r="J11" s="42" t="s">
        <v>48</v>
      </c>
      <c r="K11" s="96" t="s">
        <v>42</v>
      </c>
      <c r="L11" s="97"/>
      <c r="N11"/>
    </row>
    <row r="12" spans="1:14" ht="20.149999999999999" customHeight="1" x14ac:dyDescent="0.75">
      <c r="A12" s="106" t="s">
        <v>11</v>
      </c>
      <c r="B12" s="107"/>
      <c r="C12" s="107"/>
      <c r="D12" s="107"/>
      <c r="E12" s="102"/>
      <c r="F12" s="102"/>
      <c r="G12" s="102"/>
      <c r="H12" s="102"/>
      <c r="I12" s="102"/>
      <c r="J12" s="102"/>
      <c r="K12" s="102"/>
      <c r="L12" s="103"/>
    </row>
    <row r="13" spans="1:14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49999999999999" customHeight="1" x14ac:dyDescent="0.9">
      <c r="A14" s="12" t="s">
        <v>58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2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100" t="s">
        <v>2</v>
      </c>
      <c r="B18" s="93"/>
      <c r="C18" s="100" t="s">
        <v>111</v>
      </c>
      <c r="D18" s="93"/>
      <c r="E18" s="100" t="s">
        <v>3</v>
      </c>
      <c r="F18" s="93"/>
      <c r="G18" s="100" t="s">
        <v>4</v>
      </c>
      <c r="H18" s="93"/>
      <c r="I18" s="100" t="s">
        <v>9</v>
      </c>
      <c r="J18" s="93"/>
      <c r="K18" s="100" t="s">
        <v>10</v>
      </c>
      <c r="L18" s="93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4"/>
      <c r="F19" s="105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4"/>
      <c r="F20" s="105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4"/>
      <c r="F21" s="105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4"/>
      <c r="F22" s="105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149</v>
      </c>
      <c r="B23" s="49"/>
      <c r="C23" s="63" t="s">
        <v>150</v>
      </c>
      <c r="D23" s="64"/>
      <c r="E23" s="104"/>
      <c r="F23" s="105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/>
      </c>
      <c r="B24" s="49"/>
      <c r="C24" s="12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1"/>
      <c r="E24" s="104"/>
      <c r="F24" s="105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4"/>
      <c r="F25" s="105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1" t="s">
        <v>0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3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6" t="s">
        <v>93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19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10" t="s">
        <v>101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1:12" ht="20.149999999999999" customHeight="1" x14ac:dyDescent="0.75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 ht="20.149999999999999" customHeight="1" x14ac:dyDescent="0.75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8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44969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44959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D44F25F-4584-4C3A-8186-CE2A5AF91156}"/>
</file>

<file path=customXml/itemProps2.xml><?xml version="1.0" encoding="utf-8"?>
<ds:datastoreItem xmlns:ds="http://schemas.openxmlformats.org/officeDocument/2006/customXml" ds:itemID="{3C05CDEB-F75B-4E88-8CDF-C82BA4B85154}"/>
</file>

<file path=customXml/itemProps3.xml><?xml version="1.0" encoding="utf-8"?>
<ds:datastoreItem xmlns:ds="http://schemas.openxmlformats.org/officeDocument/2006/customXml" ds:itemID="{02505C0E-34F6-4DE2-8B26-DC1AB897E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2023-01-12T04:34:11Z</cp:lastPrinted>
  <dcterms:created xsi:type="dcterms:W3CDTF">2019-11-27T23:28:06Z</dcterms:created>
  <dcterms:modified xsi:type="dcterms:W3CDTF">2023-01-12T05:03:05Z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