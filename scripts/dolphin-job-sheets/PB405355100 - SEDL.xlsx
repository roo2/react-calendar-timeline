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91C80864-B06A-4A43-9682-CB41B3DBDC6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<sst xmlns="http://schemas.openxmlformats.org/spreadsheetml/2006/main" count="306" uniqueCount="202">
  <si>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</si>
  <si>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</si>
  <si>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</si>
  <si>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</si>
  <si>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</si>
  <si>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</si>
  <si>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</si>
  <si>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</si>
  <si>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</si>
  <si>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</si>
  <si>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</si>
  <si>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</si>
  <si>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</si>
  <si>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</si>
  <si>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</si>
  <si>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</si>
  <si>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</si>
  <si>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</si>
  <si>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</si>
  <si>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</si>
  <si>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</si>
  <si>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</si>
  <si>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</si>
  <si>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</si>
  <si>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</si>
  <si>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</si>
  <si>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</si>
  <si>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</si>
  <si>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</si>
  <si>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</si>
  <si>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</si>
  <si>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</si>
  <si>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</si>
  <si>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</si>
  <si>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</si>
  <si>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</si>
  <si>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</si>
  <si>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</si>
  <si>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</si>
  <si>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</si>
  <si>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</si>
  <si>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</si>
  <si>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</si>
  <si>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</si>
  <si>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</si>
  <si>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</si>
  <si>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</si>
  <si>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</si>
  <si>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</si>
  <si>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</si>
  <si>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</si>
  <si>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</si>
  <si>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</si>
  <si>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</si>
  <si>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</si>
  <si>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</si>
  <si>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</si>
  <si>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</si>
  <si>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</si>
  <si>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</si>
  <si>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</si>
  <si>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</si>
  <si>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</si>
  <si>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</si>
  <si>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</si>
  <si>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</si>
  <si>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</si>
  <si>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</si>
  <si>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</si>
  <si>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</si>
  <si>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</si>
  <si>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</si>
  <si>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</si>
  <si>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</si>
  <si>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</si>
  <si>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</si>
  <si>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</si>
  <si>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</si>
  <si>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</si>
  <si>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</si>
  <si>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</si>
  <si>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</si>
  <si>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</si>
  <si>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</si>
  <si>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</si>
  <si>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</si>
  <si>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</si>
  <si>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</si>
  <si>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</si>
  <si>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</si>
  <si>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</si>
  <si>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</si>
  <si>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</si>
  <si>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</si>
  <si>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</si>
  <si>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</si>
  <si>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</si>
  <si>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</si>
  <si>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</si>
  <si>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</si>
  <si>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</si>
  <si>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</si>
  <si>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</si>
  <si>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</si>
  <si>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</si>
  <si>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</si>
  <si>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</si>
  <si>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</si>
  <si>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</si>
  <si>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</si>
  <si>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</si>
  <si>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</si>
  <si>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</si>
  <si>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</si>
  <si>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</si>
  <si>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</si>
  <si>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</si>
  <si>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</si>
  <si>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</si>
  <si>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</si>
  <si>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</si>
  <si>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</si>
  <si>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</si>
  <si>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</si>
  <si>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</si>
  <si>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</si>
  <si>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</si>
  <si>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</si>
  <si>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</si>
  <si>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</si>
  <si>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</si>
  <si>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</si>
  <si>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</si>
  <si>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</si>
  <si>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</si>
  <si>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</si>
  <si>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</si>
  <si>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</si>
  <si>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</si>
  <si>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</si>
  <si>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</si>
  <si>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</si>
  <si>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</si>
  <si>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</si>
  <si>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</si>
  <si>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</si>
  <si>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</si>
  <si>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</si>
  <si>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</si>
  <si>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</si>
  <si>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</si>
  <si>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</si>
  <si>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</si>
  <si>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</si>
  <si>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</si>
  <si>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</si>
  <si>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</si>
  <si>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</si>
  <si>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</si>
  <si>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</si>
  <si>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</si>
  <si>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</si>
  <si>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</si>
  <si>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</si>
  <si>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</si>
  <si>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</si>
  <si>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</si>
  <si>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</si>
  <si>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</si>
  <si>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</si>
  <si>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</si>
  <si>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</si>
  <si>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</si>
  <si>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</si>
  <si>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</si>
  <si>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</si>
  <si>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</si>
  <si>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</si>
  <si>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</si>
  <si>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</si>
  <si>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</si>
  <si>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</si>
  <si>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</si>
  <si>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</si>
  <si>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</si>
  <si>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</si>
  <si>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</si>
  <si>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</si>
  <si>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</si>
  <si>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</si>
  <si>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</si>
  <si>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</si>
  <si>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</si>
  <si>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</si>
  <si>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</si>
  <si>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</si>
  <si>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LIMAX/ORION1</t>
  </si>
  <si>
    <t>24/20</t>
  </si>
  <si>
    <t>17/220</t>
  </si>
  <si>
    <t>12/220</t>
  </si>
  <si>
    <t>SEDL AGENCIES</t>
  </si>
  <si>
    <t>EXTREEMLY URGENT JOB - HIGH PRIORITY  MUST HAVE SOME COMPLETED BY 10.07.2023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</si>
</sst>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u val="double"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PB405355100</v>
      </c>
      <c r="C1" s="112"/>
      <c r="D1" s="113"/>
      <c r="E1" s="11" t="s">
        <v>57</v>
      </c>
      <c r="F1" s="88" t="s">
        <v>200</v>
      </c>
      <c r="G1" s="88"/>
      <c r="H1" s="89"/>
      <c r="I1" s="12" t="s">
        <v>181</v>
      </c>
      <c r="J1" s="85">
        <f ca="1">TODAY()</f>
        <v>45104</v>
      </c>
      <c r="K1" s="85"/>
      <c r="L1" s="86"/>
      <c r="M1" s="29"/>
      <c r="N1" s="11" t="s">
        <v>56</v>
      </c>
      <c r="O1" s="112" t="str">
        <f>B1</f>
        <v>PB405355100</v>
      </c>
      <c r="P1" s="112"/>
      <c r="Q1" s="113"/>
      <c r="R1" s="11" t="s">
        <v>57</v>
      </c>
      <c r="S1" s="112" t="str">
        <f>F1</f>
        <v>SEDL AGENCIES</v>
      </c>
      <c r="T1" s="112"/>
      <c r="U1" s="113"/>
      <c r="V1" s="11" t="s">
        <v>181</v>
      </c>
      <c r="W1" s="85">
        <f ca="1">J1</f>
        <v>45104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88">
        <v>946016</v>
      </c>
      <c r="G2" s="88"/>
      <c r="H2" s="89"/>
      <c r="I2" s="11" t="s">
        <v>59</v>
      </c>
      <c r="J2" s="87" t="s">
        <v>192</v>
      </c>
      <c r="K2" s="88"/>
      <c r="L2" s="89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946016</v>
      </c>
      <c r="T2" s="112"/>
      <c r="U2" s="113"/>
      <c r="V2" s="11" t="s">
        <v>59</v>
      </c>
      <c r="W2" s="114" t="str">
        <f>J2</f>
        <v>ASAP</v>
      </c>
      <c r="X2" s="112"/>
      <c r="Y2" s="113"/>
    </row>
    <row r="3" spans="1:25" ht="20.149999999999999" customHeight="1" x14ac:dyDescent="0.75">
      <c r="A3" s="142" t="s">
        <v>201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4"/>
      <c r="M3" s="29"/>
      <c r="N3" s="142" t="str">
        <f>A3</f>
        <v>EXTREEMLY URGENT JOB - HIGH PRIORITY  MUST HAVE SOME COMPLETED BY 10.07.2023</v>
      </c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4"/>
    </row>
    <row r="4" spans="1:25" ht="20.149999999999999" customHeight="1" x14ac:dyDescent="0.75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7"/>
      <c r="M4" s="29"/>
      <c r="N4" s="145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7"/>
    </row>
    <row r="5" spans="1:25" ht="20.149999999999999" customHeight="1" x14ac:dyDescent="0.75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29"/>
      <c r="N5" s="148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50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9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163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29"/>
      <c r="N7" s="11" t="str">
        <f>IF(ISNUMBER(SEARCH("roll",O8,1)),"No. Rolls","No. Cartons")</f>
        <v>No. Cartons</v>
      </c>
      <c r="O7" s="88">
        <v>192</v>
      </c>
      <c r="P7" s="89"/>
      <c r="Q7" s="11" t="str">
        <f>IF(ISNUMBER(SEARCH("roll",O8,1)),"Per Roll","Per Carton")</f>
        <v>Per Carton</v>
      </c>
      <c r="R7" s="88">
        <v>500</v>
      </c>
      <c r="S7" s="89"/>
      <c r="T7" s="11" t="str">
        <f>IF(ISNUMBER(SEARCH("bag",O8,1)),"Total Bags","Total Sheets")</f>
        <v>Total Bags</v>
      </c>
      <c r="U7" s="112">
        <f>R7*O7</f>
        <v>96000</v>
      </c>
      <c r="V7" s="113"/>
      <c r="W7" s="11" t="s">
        <v>102</v>
      </c>
      <c r="X7" s="88" t="s">
        <v>31</v>
      </c>
      <c r="Y7" s="89"/>
    </row>
    <row r="8" spans="1:25" ht="20.149999999999999" customHeight="1" x14ac:dyDescent="0.8">
      <c r="A8" s="13" t="s">
        <v>16</v>
      </c>
      <c r="B8" s="90">
        <f>R9</f>
        <v>405</v>
      </c>
      <c r="C8" s="91"/>
      <c r="D8" s="27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3" t="s">
        <v>52</v>
      </c>
      <c r="H8" s="90">
        <f>(IF(V9&lt;30,"30",V9))</f>
        <v>100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17" t="s">
        <v>164</v>
      </c>
      <c r="P8" s="118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15" t="str">
        <f>IF(AND(W8="Gusset",X9=""), "None",IF(AND(W8="Centrefold",X9=""),"None",IF(W8="Gusset","G",IF(W8="Centrefold","CF"))))</f>
        <v>None</v>
      </c>
      <c r="Y8" s="116"/>
    </row>
    <row r="9" spans="1:25" ht="20.149999999999999" customHeight="1" x14ac:dyDescent="0.9">
      <c r="A9" s="16" t="s">
        <v>48</v>
      </c>
      <c r="B9" s="100" t="s">
        <v>193</v>
      </c>
      <c r="C9" s="101"/>
      <c r="D9" s="108" t="str">
        <f>IF(K10="Middle","RUN 2 UP",IF(AND(O8="Centrefold Roll",B8=380),"RUN 2 UP",""))</f>
        <v/>
      </c>
      <c r="E9" s="109"/>
      <c r="F9" s="110"/>
      <c r="G9" s="16" t="s">
        <v>48</v>
      </c>
      <c r="H9" s="100" t="s">
        <v>195</v>
      </c>
      <c r="I9" s="101"/>
      <c r="J9" s="11" t="s">
        <v>55</v>
      </c>
      <c r="K9" s="88" t="s">
        <v>30</v>
      </c>
      <c r="L9" s="89"/>
      <c r="M9" s="29"/>
      <c r="N9" s="17"/>
      <c r="O9" s="119" t="str">
        <f>IF(O8="Poly Bag","PB",IF(O8="Poly Bag Roll","PBR",IF(O8="Centrefold Roll","CFR",IF(O8="Sheet","S",IF(O8="Sheet Roll","SR")))))</f>
        <v>PB</v>
      </c>
      <c r="P9" s="120"/>
      <c r="Q9" s="17"/>
      <c r="R9" s="30">
        <v>405</v>
      </c>
      <c r="S9" s="18" t="s">
        <v>78</v>
      </c>
      <c r="T9" s="30">
        <v>355</v>
      </c>
      <c r="U9" s="18" t="s">
        <v>78</v>
      </c>
      <c r="V9" s="30">
        <v>100</v>
      </c>
      <c r="W9" s="17"/>
      <c r="X9" s="128"/>
      <c r="Y9" s="129"/>
    </row>
    <row r="10" spans="1:25" ht="20.149999999999999" customHeight="1" x14ac:dyDescent="0.8">
      <c r="A10" s="11" t="s">
        <v>51</v>
      </c>
      <c r="B10" s="88">
        <v>70</v>
      </c>
      <c r="C10" s="89"/>
      <c r="D10" s="47" t="s">
        <v>134</v>
      </c>
      <c r="E10" s="102">
        <f>IF(ISNUMBER(SEARCH("sheet",O8,1)),((R9*T9*H8/540000)*U7/2000*1.3),((R9*T9*H8/540000)*U7/1000*1.08))</f>
        <v>2760.48</v>
      </c>
      <c r="F10" s="103"/>
      <c r="G10" s="11" t="s">
        <v>53</v>
      </c>
      <c r="H10" s="106">
        <f>IF(ISNUMBER(SEARCH("sheet",O8,1)),(U7*T9/2000*1.08),(U7*T9/1000*1.08))</f>
        <v>36806.400000000001</v>
      </c>
      <c r="I10" s="107"/>
      <c r="J10" s="11" t="s">
        <v>41</v>
      </c>
      <c r="K10" s="88" t="s">
        <v>44</v>
      </c>
      <c r="L10" s="89"/>
      <c r="M10" s="29"/>
      <c r="N10" s="14" t="s">
        <v>141</v>
      </c>
      <c r="O10" s="117" t="s">
        <v>44</v>
      </c>
      <c r="P10" s="118"/>
      <c r="Q10" s="14" t="s">
        <v>50</v>
      </c>
      <c r="R10" s="115" t="str">
        <f>IF(K11="NONE","None",IF(K11="INLINE","Yes",IF(K11="OUT OF LINE","Yes")))</f>
        <v>None</v>
      </c>
      <c r="S10" s="115"/>
      <c r="T10" s="14" t="s">
        <v>100</v>
      </c>
      <c r="U10" s="122"/>
      <c r="V10" s="122"/>
      <c r="W10" s="122"/>
      <c r="X10" s="122"/>
      <c r="Y10" s="123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39.435428571428574</v>
      </c>
      <c r="F11" s="105"/>
      <c r="G11" s="11" t="s">
        <v>15</v>
      </c>
      <c r="H11" s="104">
        <f>H10/B10</f>
        <v>525.80571428571432</v>
      </c>
      <c r="I11" s="105"/>
      <c r="J11" s="11" t="s">
        <v>50</v>
      </c>
      <c r="K11" s="88" t="s">
        <v>44</v>
      </c>
      <c r="L11" s="89"/>
      <c r="M11" s="29"/>
      <c r="N11" s="13"/>
      <c r="O11" s="90" t="str">
        <f>IF(O10="NONE","","V")</f>
        <v/>
      </c>
      <c r="P11" s="91"/>
      <c r="Q11" s="13"/>
      <c r="R11" s="90" t="str">
        <f>IF(R10="None","","P")</f>
        <v/>
      </c>
      <c r="S11" s="91"/>
      <c r="T11" s="13"/>
      <c r="U11" s="124"/>
      <c r="V11" s="124"/>
      <c r="W11" s="124"/>
      <c r="X11" s="124"/>
      <c r="Y11" s="125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9"/>
      <c r="N12" s="121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19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29"/>
      <c r="N13" s="11" t="s">
        <v>72</v>
      </c>
      <c r="O13" s="31" t="s">
        <v>36</v>
      </c>
      <c r="P13" s="11" t="s">
        <v>73</v>
      </c>
      <c r="Q13" s="20">
        <f>O7</f>
        <v>192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9"/>
      <c r="N14" s="121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9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9"/>
      <c r="N16" s="11" t="s">
        <v>28</v>
      </c>
      <c r="O16" s="88">
        <v>130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31"/>
      <c r="Y16" s="132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8" t="s">
        <v>81</v>
      </c>
      <c r="H17" s="32"/>
      <c r="I17" s="83"/>
      <c r="J17" s="84"/>
      <c r="K17" s="83"/>
      <c r="L17" s="84"/>
      <c r="M17" s="29"/>
      <c r="N17" s="11" t="s">
        <v>26</v>
      </c>
      <c r="O17" s="88" t="s">
        <v>35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23</v>
      </c>
      <c r="V17" s="89"/>
      <c r="W17" s="11" t="str">
        <f>IF(ISNUMBER(SEARCH("roll",O8,1)),"Total Rolls","Total Ctns")</f>
        <v>Total Ctns</v>
      </c>
      <c r="X17" s="131"/>
      <c r="Y17" s="132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8" t="s">
        <v>82</v>
      </c>
      <c r="H18" s="32"/>
      <c r="I18" s="83"/>
      <c r="J18" s="84"/>
      <c r="K18" s="83"/>
      <c r="L18" s="84"/>
      <c r="M18" s="29"/>
      <c r="N18" s="11" t="s">
        <v>101</v>
      </c>
      <c r="O18" s="88" t="s">
        <v>38</v>
      </c>
      <c r="P18" s="89"/>
      <c r="Q18" s="11" t="s">
        <v>106</v>
      </c>
      <c r="R18" s="88" t="s">
        <v>31</v>
      </c>
      <c r="S18" s="89"/>
      <c r="T18" s="21" t="s">
        <v>27</v>
      </c>
      <c r="U18" s="88" t="s">
        <v>36</v>
      </c>
      <c r="V18" s="89"/>
      <c r="W18" s="11" t="s">
        <v>109</v>
      </c>
      <c r="X18" s="131"/>
      <c r="Y18" s="132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8" t="s">
        <v>83</v>
      </c>
      <c r="H19" s="32"/>
      <c r="I19" s="83"/>
      <c r="J19" s="84"/>
      <c r="K19" s="83"/>
      <c r="L19" s="84"/>
      <c r="M19" s="29"/>
      <c r="N19" s="133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5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8" t="s">
        <v>84</v>
      </c>
      <c r="H20" s="32"/>
      <c r="I20" s="83"/>
      <c r="J20" s="84"/>
      <c r="K20" s="83"/>
      <c r="L20" s="84"/>
      <c r="M20" s="29"/>
      <c r="N20" s="136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8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8" t="s">
        <v>85</v>
      </c>
      <c r="H21" s="32"/>
      <c r="I21" s="83"/>
      <c r="J21" s="84"/>
      <c r="K21" s="83"/>
      <c r="L21" s="84"/>
      <c r="M21" s="29"/>
      <c r="N21" s="136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8"/>
    </row>
    <row r="22" spans="1:25" ht="20.149999999999999" customHeight="1" x14ac:dyDescent="0.75">
      <c r="A22" s="75" t="str">
        <f>(IF(B7="NATURAL","",B7))</f>
        <v/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83"/>
      <c r="F22" s="84"/>
      <c r="G22" s="48" t="s">
        <v>86</v>
      </c>
      <c r="H22" s="32"/>
      <c r="I22" s="83"/>
      <c r="J22" s="84"/>
      <c r="K22" s="83"/>
      <c r="L22" s="84"/>
      <c r="M22" s="29"/>
      <c r="N22" s="139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1"/>
    </row>
    <row r="23" spans="1:25" ht="20.149999999999999" customHeight="1" x14ac:dyDescent="0.75">
      <c r="A23" s="80"/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9"/>
      <c r="E23" s="83"/>
      <c r="F23" s="84"/>
      <c r="G23" s="48" t="s">
        <v>87</v>
      </c>
      <c r="H23" s="32"/>
      <c r="I23" s="83"/>
      <c r="J23" s="84"/>
      <c r="K23" s="83"/>
      <c r="L23" s="84"/>
      <c r="M23" s="29"/>
      <c r="N23" s="121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8" t="s">
        <v>88</v>
      </c>
      <c r="H24" s="32"/>
      <c r="I24" s="83"/>
      <c r="J24" s="84"/>
      <c r="K24" s="83"/>
      <c r="L24" s="84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9"/>
      <c r="N25" s="22" t="s">
        <v>96</v>
      </c>
      <c r="O25" s="10" t="s">
        <v>196</v>
      </c>
      <c r="P25" s="34"/>
      <c r="Q25" s="10" t="s">
        <v>197</v>
      </c>
      <c r="R25" s="59">
        <v>0.54</v>
      </c>
      <c r="S25" s="10"/>
      <c r="T25" s="10">
        <v>680</v>
      </c>
      <c r="U25" s="10"/>
      <c r="V25" s="10"/>
      <c r="W25" s="10" t="s">
        <v>198</v>
      </c>
      <c r="X25" s="10" t="s">
        <v>199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0" t="s">
        <v>132</v>
      </c>
      <c r="H26" s="130"/>
      <c r="I26" s="130" t="s">
        <v>131</v>
      </c>
      <c r="J26" s="130"/>
      <c r="K26" s="24" t="s">
        <v>94</v>
      </c>
      <c r="L26" s="24" t="s">
        <v>95</v>
      </c>
      <c r="M26" s="29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26"/>
      <c r="G29" s="126"/>
      <c r="H29" s="126"/>
      <c r="I29" s="126"/>
      <c r="J29" s="126"/>
      <c r="K29" s="93"/>
      <c r="L29" s="12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45134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8C2D0E4-2217-4DC8-9D18-8D54F3681CE2}"/>
</file>

<file path=customXml/itemProps2.xml><?xml version="1.0" encoding="utf-8"?>
<ds:datastoreItem xmlns:ds="http://schemas.openxmlformats.org/officeDocument/2006/customXml" ds:itemID="{951682BB-F035-452B-A10F-0A727CCCBBE3}"/>
</file>

<file path=customXml/itemProps3.xml><?xml version="1.0" encoding="utf-8"?>
<ds:datastoreItem xmlns:ds="http://schemas.openxmlformats.org/officeDocument/2006/customXml" ds:itemID="{0B1F0670-0CE9-4CCA-A64B-35E7089ED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2023-06-27T00:30:18Z</cp:lastPrinted>
  <dcterms:created xsi:type="dcterms:W3CDTF">2019-11-27T23:28:06Z</dcterms:created>
  <dcterms:modified xsi:type="dcterms:W3CDTF">2023-06-27T02:49:11Z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