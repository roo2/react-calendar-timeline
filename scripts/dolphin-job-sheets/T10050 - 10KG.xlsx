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555EEF1-E6C8-482B-8D5C-C846B2C9113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<sst xmlns="http://schemas.openxmlformats.org/spreadsheetml/2006/main" count="224" uniqueCount="166">
  <si>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</si>
  <si>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</si>
  <si>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</si>
  <si>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</si>
  <si>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</si>
  <si>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</si>
  <si>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</si>
  <si>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</si>
  <si>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</si>
  <si>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</si>
  <si>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</si>
  <si>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</si>
  <si>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</si>
  <si>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</si>
  <si>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</si>
  <si>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</si>
  <si>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</si>
  <si>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</si>
  <si>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</si>
  <si>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</si>
  <si>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</si>
  <si>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</si>
  <si>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</si>
  <si>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</si>
  <si>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</si>
  <si>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</si>
  <si>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</si>
  <si>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</si>
  <si>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</si>
  <si>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</si>
  <si>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</si>
  <si>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</si>
  <si>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</si>
  <si>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</si>
  <si>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</si>
  <si>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</si>
  <si>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</si>
  <si>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</si>
  <si>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</si>
  <si>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</si>
  <si>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</si>
  <si>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</si>
  <si>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</si>
  <si>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</si>
  <si>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</si>
  <si>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</si>
  <si>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</si>
  <si>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</si>
  <si>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</si>
  <si>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</si>
  <si>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</si>
  <si>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</si>
  <si>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</si>
  <si>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</si>
  <si>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</si>
  <si>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</si>
  <si>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</si>
  <si>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</si>
  <si>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</si>
  <si>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</si>
  <si>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</si>
  <si>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</si>
  <si>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</si>
  <si>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</si>
  <si>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</si>
  <si>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</si>
  <si>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</si>
  <si>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</si>
  <si>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</si>
  <si>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</si>
  <si>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</si>
  <si>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</si>
  <si>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</si>
  <si>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</si>
  <si>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</si>
  <si>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</si>
  <si>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</si>
  <si>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</si>
  <si>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</si>
  <si>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</si>
  <si>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</si>
  <si>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</si>
  <si>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</si>
  <si>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</si>
  <si>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</si>
  <si>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</si>
  <si>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</si>
  <si>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</si>
  <si>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</si>
  <si>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</si>
  <si>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</si>
  <si>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</si>
  <si>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</si>
  <si>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</si>
  <si>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</si>
  <si>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</si>
  <si>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</si>
  <si>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</si>
  <si>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</si>
  <si>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</si>
  <si>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</si>
  <si>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</si>
  <si>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</si>
  <si>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</si>
  <si>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</si>
  <si>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</si>
  <si>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</si>
  <si>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</si>
  <si>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</si>
  <si>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</si>
  <si>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</si>
  <si>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</si>
  <si>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</si>
  <si>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</si>
  <si>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</si>
  <si>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</si>
  <si>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</si>
  <si>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</si>
  <si>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</si>
  <si>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</si>
  <si>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</si>
  <si>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</si>
  <si>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</si>
  <si>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</si>
  <si>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</si>
  <si>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</si>
  <si>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</si>
  <si>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</si>
  <si>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</si>
  <si>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</si>
  <si>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</si>
  <si>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</si>
  <si>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</si>
  <si>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</si>
  <si>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</si>
  <si>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</si>
  <si>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</si>
  <si>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</si>
  <si>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</si>
  <si>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</si>
  <si>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</si>
  <si>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</si>
  <si>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</si>
  <si>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</si>
  <si>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</si>
  <si>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</si>
  <si>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</si>
  <si>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</si>
  <si>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</si>
  <si>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</si>
  <si>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</si>
  <si>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</si>
  <si>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</si>
  <si>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</si>
  <si>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</si>
  <si>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</si>
  <si>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</si>
  <si>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</si>
  <si>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</si>
  <si>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</si>
  <si>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</si>
  <si>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</si>
  <si>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</si>
  <si>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</si>
  <si>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UNDER</t>
  </si>
  <si>
    <t>PACPLUS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</si>
</sst>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00000000000001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T10050</v>
      </c>
      <c r="C1" s="61"/>
      <c r="D1" s="62"/>
      <c r="E1" s="11" t="s">
        <v>55</v>
      </c>
      <c r="F1" s="51" t="s">
        <v>165</v>
      </c>
      <c r="G1" s="51"/>
      <c r="H1" s="52"/>
      <c r="I1" s="11" t="s">
        <v>148</v>
      </c>
      <c r="J1" s="76">
        <f ca="1">TODAY()</f>
        <v>45031</v>
      </c>
      <c r="K1" s="76"/>
      <c r="L1" s="77"/>
    </row>
    <row r="2" spans="1:14" ht="20.100000000000001" customHeight="1" x14ac:dyDescent="0.8">
      <c r="A2" s="11" t="s">
        <v>94</v>
      </c>
      <c r="B2" s="65" t="str">
        <f>IF(B7="Tube",(ROUNDUP(E11,0)&amp;"KG"),(ROUNDUP(H11,0)&amp;"M"))</f>
        <v>10KG</v>
      </c>
      <c r="C2" s="65"/>
      <c r="D2" s="66"/>
      <c r="E2" s="11" t="s">
        <v>56</v>
      </c>
      <c r="F2" s="51">
        <v>945442</v>
      </c>
      <c r="G2" s="51"/>
      <c r="H2" s="52"/>
      <c r="I2" s="11" t="s">
        <v>57</v>
      </c>
      <c r="J2" s="78">
        <v>45061</v>
      </c>
      <c r="K2" s="51"/>
      <c r="L2" s="52"/>
    </row>
    <row r="3" spans="1:14" ht="20.100000000000001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9">
      <c r="A7" s="11" t="s">
        <v>158</v>
      </c>
      <c r="B7" s="51" t="s">
        <v>159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8">
      <c r="A8" s="12" t="s">
        <v>14</v>
      </c>
      <c r="B8" s="97">
        <v>100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9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8">
      <c r="A10" s="11" t="s">
        <v>49</v>
      </c>
      <c r="B10" s="51">
        <v>15</v>
      </c>
      <c r="C10" s="52"/>
      <c r="D10" s="36" t="s">
        <v>104</v>
      </c>
      <c r="E10" s="85">
        <f>E11*B10</f>
        <v>150</v>
      </c>
      <c r="F10" s="86"/>
      <c r="G10" s="11" t="s">
        <v>51</v>
      </c>
      <c r="H10" s="65">
        <f>H11*B10</f>
        <v>16200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10</v>
      </c>
      <c r="F11" s="88"/>
      <c r="G11" s="42" t="s">
        <v>13</v>
      </c>
      <c r="H11" s="89">
        <f>E11*540000/B8/H8</f>
        <v>1080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15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7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7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75"/>
    <row r="45" spans="1:12" ht="20.100000000000001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45061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45052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85DBF54-B13A-465B-9BF7-00702387A395}"/>
</file>

<file path=customXml/itemProps2.xml><?xml version="1.0" encoding="utf-8"?>
<ds:datastoreItem xmlns:ds="http://schemas.openxmlformats.org/officeDocument/2006/customXml" ds:itemID="{1DEE8ADD-4061-4638-994B-409E4ED0B33B}"/>
</file>

<file path=customXml/itemProps3.xml><?xml version="1.0" encoding="utf-8"?>
<ds:datastoreItem xmlns:ds="http://schemas.openxmlformats.org/officeDocument/2006/customXml" ds:itemID="{D6583107-8170-44C7-A968-F45ED69FF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2020-03-30T03:36:34Z</cp:lastPrinted>
  <dcterms:created xsi:type="dcterms:W3CDTF">2019-11-27T23:28:06Z</dcterms:created>
  <dcterms:modified xsi:type="dcterms:W3CDTF">2023-04-15T04:14:27Z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