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9FD1D37-634F-4D89-8D37-195C23E1ED7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<sst xmlns="http://schemas.openxmlformats.org/spreadsheetml/2006/main" count="312" uniqueCount="208">
  <si>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</si>
  <si>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</si>
  <si>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</si>
  <si>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</si>
  <si>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</si>
  <si>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</si>
  <si>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</si>
  <si>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</si>
  <si>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</si>
  <si>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</si>
  <si>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</si>
  <si>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</si>
  <si>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</si>
  <si>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</si>
  <si>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</si>
  <si>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</si>
  <si>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</si>
  <si>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</si>
  <si>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</si>
  <si>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</si>
  <si>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</si>
  <si>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</si>
  <si>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</si>
  <si>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</si>
  <si>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</si>
  <si>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</si>
  <si>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</si>
  <si>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</si>
  <si>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</si>
  <si>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</si>
  <si>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</si>
  <si>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</si>
  <si>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</si>
  <si>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</si>
  <si>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</si>
  <si>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</si>
  <si>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</si>
  <si>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</si>
  <si>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</si>
  <si>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</si>
  <si>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</si>
  <si>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</si>
  <si>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</si>
  <si>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</si>
  <si>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</si>
  <si>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</si>
  <si>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</si>
  <si>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</si>
  <si>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</si>
  <si>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</si>
  <si>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</si>
  <si>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</si>
  <si>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</si>
  <si>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</si>
  <si>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</si>
  <si>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</si>
  <si>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</si>
  <si>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</si>
  <si>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</si>
  <si>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</si>
  <si>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</si>
  <si>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</si>
  <si>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</si>
  <si>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</si>
  <si>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</si>
  <si>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</si>
  <si>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</si>
  <si>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</si>
  <si>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</si>
  <si>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</si>
  <si>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</si>
  <si>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</si>
  <si>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</si>
  <si>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</si>
  <si>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</si>
  <si>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</si>
  <si>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</si>
  <si>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</si>
  <si>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</si>
  <si>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</si>
  <si>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</si>
  <si>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</si>
  <si>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</si>
  <si>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</si>
  <si>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</si>
  <si>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</si>
  <si>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</si>
  <si>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</si>
  <si>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</si>
  <si>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</si>
  <si>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</si>
  <si>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</si>
  <si>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</si>
  <si>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</si>
  <si>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</si>
  <si>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</si>
  <si>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</si>
  <si>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</si>
  <si>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</si>
  <si>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</si>
  <si>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</si>
  <si>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</si>
  <si>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</si>
  <si>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</si>
  <si>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</si>
  <si>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</si>
  <si>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</si>
  <si>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</si>
  <si>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</si>
  <si>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</si>
  <si>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</si>
  <si>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</si>
  <si>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</si>
  <si>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</si>
  <si>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</si>
  <si>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</si>
  <si>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</si>
  <si>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</si>
  <si>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</si>
  <si>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</si>
  <si>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</si>
  <si>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</si>
  <si>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</si>
  <si>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</si>
  <si>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</si>
  <si>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</si>
  <si>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</si>
  <si>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</si>
  <si>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</si>
  <si>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</si>
  <si>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</si>
  <si>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</si>
  <si>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</si>
  <si>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</si>
  <si>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</si>
  <si>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</si>
  <si>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</si>
  <si>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</si>
  <si>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</si>
  <si>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</si>
  <si>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</si>
  <si>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</si>
  <si>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</si>
  <si>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</si>
  <si>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</si>
  <si>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</si>
  <si>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</si>
  <si>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</si>
  <si>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</si>
  <si>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</si>
  <si>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</si>
  <si>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</si>
  <si>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</si>
  <si>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</si>
  <si>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</si>
  <si>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</si>
  <si>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</si>
  <si>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</si>
  <si>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</si>
  <si>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</si>
  <si>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</si>
  <si>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</si>
  <si>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</si>
  <si>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</si>
  <si>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</si>
  <si>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</si>
  <si>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</si>
  <si>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</si>
  <si>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</si>
  <si>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</si>
  <si>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</si>
  <si>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</si>
  <si>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</si>
  <si>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</si>
  <si>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</si>
  <si>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</si>
  <si>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</si>
  <si>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</si>
  <si>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</si>
  <si>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</si>
  <si>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</si>
  <si>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</si>
  <si>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</si>
  <si>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</si>
  <si>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</si>
  <si>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</si>
  <si>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</si>
  <si>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</si>
  <si>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</si>
  <si>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</si>
  <si>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</si>
  <si>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</si>
  <si>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</si>
  <si>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</si>
  <si>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GOLD COAST MARINE</t>
  </si>
  <si>
    <t>385+285</t>
  </si>
  <si>
    <t>NOT OVER</t>
  </si>
  <si>
    <t xml:space="preserve"> +/- 5mm</t>
  </si>
  <si>
    <t>946671-2</t>
  </si>
  <si>
    <t>ANTISTATIC</t>
  </si>
  <si>
    <t>ANTIBLOCK</t>
  </si>
  <si>
    <t>EXT #55</t>
  </si>
  <si>
    <t>%</t>
  </si>
  <si>
    <t xml:space="preserve">LIMAX/ ORION 1 </t>
  </si>
  <si>
    <t>22/22</t>
  </si>
  <si>
    <t>18/180</t>
  </si>
  <si>
    <t>14/180</t>
  </si>
  <si>
    <t>20.02.2025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</si>
</sst>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9" fillId="5" borderId="6" xfId="0" applyFont="1" applyFill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19" fillId="5" borderId="4" xfId="0" applyNumberFormat="1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8" fillId="5" borderId="2" xfId="0" applyFont="1" applyFill="1" applyBorder="1" applyAlignment="1" applyProtection="1">
      <alignment horizontal="center"/>
      <protection locked="0"/>
    </xf>
    <xf numFmtId="0" fontId="18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PB670G49080GTAS0</v>
      </c>
      <c r="C1" s="112"/>
      <c r="D1" s="113"/>
      <c r="E1" s="11" t="s">
        <v>57</v>
      </c>
      <c r="F1" s="123" t="s">
        <v>194</v>
      </c>
      <c r="G1" s="62"/>
      <c r="H1" s="63"/>
      <c r="I1" s="12" t="s">
        <v>181</v>
      </c>
      <c r="J1" s="133">
        <f ca="1">TODAY()</f>
        <v>46015</v>
      </c>
      <c r="K1" s="133"/>
      <c r="L1" s="134"/>
      <c r="M1" s="29"/>
      <c r="N1" s="11" t="s">
        <v>56</v>
      </c>
      <c r="O1" s="112" t="str">
        <f>B1</f>
        <v>PB670G49080GTAS0</v>
      </c>
      <c r="P1" s="112"/>
      <c r="Q1" s="113"/>
      <c r="R1" s="11" t="s">
        <v>57</v>
      </c>
      <c r="S1" s="112" t="str">
        <f>F1</f>
        <v>GOLD COAST MARINE</v>
      </c>
      <c r="T1" s="112"/>
      <c r="U1" s="113"/>
      <c r="V1" s="11" t="s">
        <v>181</v>
      </c>
      <c r="W1" s="133">
        <f ca="1">J1</f>
        <v>46015</v>
      </c>
      <c r="X1" s="133"/>
      <c r="Y1" s="134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62" t="s">
        <v>198</v>
      </c>
      <c r="G2" s="62"/>
      <c r="H2" s="63"/>
      <c r="I2" s="11" t="s">
        <v>59</v>
      </c>
      <c r="J2" s="136" t="s">
        <v>207</v>
      </c>
      <c r="K2" s="136"/>
      <c r="L2" s="137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 t="str">
        <f>IF(F2="","",F2)</f>
        <v>946671-2</v>
      </c>
      <c r="T2" s="112"/>
      <c r="U2" s="113"/>
      <c r="V2" s="11" t="s">
        <v>59</v>
      </c>
      <c r="W2" s="135" t="str">
        <f>J2</f>
        <v>20.02.2025</v>
      </c>
      <c r="X2" s="112"/>
      <c r="Y2" s="113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5" ht="20.149999999999999" customHeight="1" x14ac:dyDescent="0.75">
      <c r="A6" s="138" t="s">
        <v>2</v>
      </c>
      <c r="B6" s="139"/>
      <c r="C6" s="139"/>
      <c r="D6" s="139"/>
      <c r="E6" s="139"/>
      <c r="F6" s="139"/>
      <c r="G6" s="139"/>
      <c r="H6" s="139"/>
      <c r="I6" s="139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4" t="s">
        <v>161</v>
      </c>
      <c r="C7" s="104"/>
      <c r="D7" s="104"/>
      <c r="E7" s="104"/>
      <c r="F7" s="104"/>
      <c r="G7" s="104"/>
      <c r="H7" s="104"/>
      <c r="I7" s="105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320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12">
        <f>R7*O7</f>
        <v>80000</v>
      </c>
      <c r="V7" s="113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100">
        <f>R9</f>
        <v>670</v>
      </c>
      <c r="C8" s="101"/>
      <c r="D8" s="27" t="str">
        <f>IF(ISNUMBER(SEARCH("bag",O8,1)),"Gusset","Centrefold")</f>
        <v>Gusset</v>
      </c>
      <c r="E8" s="100" t="str">
        <f>IF(O8="Centrefold Roll",B8*2,IF(X9="","None",X9))</f>
        <v>385+285</v>
      </c>
      <c r="F8" s="101"/>
      <c r="G8" s="13" t="s">
        <v>52</v>
      </c>
      <c r="H8" s="100">
        <f>(IF(V9&lt;30,"30",V9))</f>
        <v>80</v>
      </c>
      <c r="I8" s="10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9"/>
      <c r="N8" s="14" t="s">
        <v>54</v>
      </c>
      <c r="O8" s="102" t="s">
        <v>164</v>
      </c>
      <c r="P8" s="103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G</v>
      </c>
      <c r="Y8" s="99"/>
    </row>
    <row r="9" spans="1:25" ht="20.149999999999999" customHeight="1" x14ac:dyDescent="0.9">
      <c r="A9" s="16" t="s">
        <v>48</v>
      </c>
      <c r="B9" s="136" t="s">
        <v>197</v>
      </c>
      <c r="C9" s="137"/>
      <c r="D9" s="148" t="str">
        <f>IF(K10="Middle","RUN 2 UP",IF(AND(O8="Centrefold Roll",B8=380),"RUN 2 UP",""))</f>
        <v/>
      </c>
      <c r="E9" s="104"/>
      <c r="F9" s="105"/>
      <c r="G9" s="16" t="s">
        <v>48</v>
      </c>
      <c r="H9" s="140" t="s">
        <v>196</v>
      </c>
      <c r="I9" s="141"/>
      <c r="J9" s="11" t="s">
        <v>55</v>
      </c>
      <c r="K9" s="62" t="s">
        <v>30</v>
      </c>
      <c r="L9" s="63"/>
      <c r="M9" s="29"/>
      <c r="N9" s="17"/>
      <c r="O9" s="106" t="str">
        <f>IF(O8="Poly Bag","PB",IF(O8="Poly Bag Roll","PBR",IF(O8="Centrefold Roll","CFR",IF(O8="Sheet","S",IF(O8="Sheet Roll","SR")))))</f>
        <v>PB</v>
      </c>
      <c r="P9" s="107"/>
      <c r="Q9" s="17"/>
      <c r="R9" s="30">
        <v>670</v>
      </c>
      <c r="S9" s="18" t="s">
        <v>78</v>
      </c>
      <c r="T9" s="30">
        <v>490</v>
      </c>
      <c r="U9" s="18" t="s">
        <v>78</v>
      </c>
      <c r="V9" s="30">
        <v>80</v>
      </c>
      <c r="W9" s="17"/>
      <c r="X9" s="88" t="s">
        <v>195</v>
      </c>
      <c r="Y9" s="89"/>
    </row>
    <row r="10" spans="1:25" ht="20.149999999999999" customHeight="1" x14ac:dyDescent="0.8">
      <c r="A10" s="11" t="s">
        <v>51</v>
      </c>
      <c r="B10" s="62">
        <v>90</v>
      </c>
      <c r="C10" s="63"/>
      <c r="D10" s="47" t="s">
        <v>134</v>
      </c>
      <c r="E10" s="142">
        <f>IF(ISNUMBER(SEARCH("sheet",O8,1)),((R9*T9*H8/540000)*U7/2000*1.3),((R9*T9*H8/540000)*U7/1000*1.08))</f>
        <v>4202.2400000000007</v>
      </c>
      <c r="F10" s="143"/>
      <c r="G10" s="11" t="s">
        <v>53</v>
      </c>
      <c r="H10" s="146">
        <f>IF(ISNUMBER(SEARCH("sheet",O8,1)),(U7*T9/2000*1.08),(U7*T9/1000*1.08))</f>
        <v>42336</v>
      </c>
      <c r="I10" s="147"/>
      <c r="J10" s="11" t="s">
        <v>41</v>
      </c>
      <c r="K10" s="62" t="s">
        <v>44</v>
      </c>
      <c r="L10" s="63"/>
      <c r="M10" s="29"/>
      <c r="N10" s="14" t="s">
        <v>141</v>
      </c>
      <c r="O10" s="102" t="s">
        <v>44</v>
      </c>
      <c r="P10" s="103"/>
      <c r="Q10" s="14" t="s">
        <v>50</v>
      </c>
      <c r="R10" s="98" t="str">
        <f>IF(K11="NONE","None",IF(K11="INLINE","Yes",IF(K11="OUT OF LINE","Yes")))</f>
        <v>None</v>
      </c>
      <c r="S10" s="98"/>
      <c r="T10" s="14" t="s">
        <v>100</v>
      </c>
      <c r="U10" s="108"/>
      <c r="V10" s="108"/>
      <c r="W10" s="108"/>
      <c r="X10" s="108"/>
      <c r="Y10" s="109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44">
        <f>E10/B10</f>
        <v>46.69155555555556</v>
      </c>
      <c r="F11" s="145"/>
      <c r="G11" s="11" t="s">
        <v>15</v>
      </c>
      <c r="H11" s="144">
        <f>H10/B10</f>
        <v>470.4</v>
      </c>
      <c r="I11" s="145"/>
      <c r="J11" s="11" t="s">
        <v>50</v>
      </c>
      <c r="K11" s="62" t="s">
        <v>44</v>
      </c>
      <c r="L11" s="63"/>
      <c r="M11" s="29"/>
      <c r="N11" s="13"/>
      <c r="O11" s="100" t="str">
        <f>IF(O10="NONE","","V")</f>
        <v/>
      </c>
      <c r="P11" s="101"/>
      <c r="Q11" s="13"/>
      <c r="R11" s="100" t="str">
        <f>IF(R10="None","","P")</f>
        <v/>
      </c>
      <c r="S11" s="101"/>
      <c r="T11" s="13"/>
      <c r="U11" s="110"/>
      <c r="V11" s="110"/>
      <c r="W11" s="110"/>
      <c r="X11" s="110"/>
      <c r="Y11" s="111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62" t="s">
        <v>4</v>
      </c>
      <c r="F16" s="162"/>
      <c r="G16" s="162" t="s">
        <v>5</v>
      </c>
      <c r="H16" s="162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161" t="s">
        <v>6</v>
      </c>
      <c r="B17" s="161"/>
      <c r="C17" s="94" t="s">
        <v>147</v>
      </c>
      <c r="D17" s="95"/>
      <c r="E17" s="59">
        <v>40</v>
      </c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161" t="s">
        <v>7</v>
      </c>
      <c r="B18" s="161"/>
      <c r="C18" s="94" t="s">
        <v>146</v>
      </c>
      <c r="D18" s="95"/>
      <c r="E18" s="59">
        <v>50</v>
      </c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161" t="s">
        <v>8</v>
      </c>
      <c r="B19" s="161"/>
      <c r="C19" s="94" t="s">
        <v>145</v>
      </c>
      <c r="D19" s="95"/>
      <c r="E19" s="59">
        <v>10</v>
      </c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161" t="s">
        <v>9</v>
      </c>
      <c r="B20" s="1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161" t="s">
        <v>10</v>
      </c>
      <c r="B21" s="1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9">
      <c r="A22" s="61" t="str">
        <f>(IF(B7="NATURAL","",B7))</f>
        <v>GREEN TINT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GT</v>
      </c>
      <c r="D22" s="93"/>
      <c r="E22" s="96" t="s">
        <v>202</v>
      </c>
      <c r="F22" s="97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63" t="s">
        <v>199</v>
      </c>
      <c r="B23" s="163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64" t="s">
        <v>200</v>
      </c>
      <c r="B24" s="165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203</v>
      </c>
      <c r="P25" s="34"/>
      <c r="Q25" s="10" t="s">
        <v>204</v>
      </c>
      <c r="R25" s="10"/>
      <c r="S25" s="10"/>
      <c r="T25" s="10"/>
      <c r="U25" s="10"/>
      <c r="V25" s="10"/>
      <c r="W25" s="10" t="s">
        <v>205</v>
      </c>
      <c r="X25" s="10" t="s">
        <v>206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 t="s">
        <v>201</v>
      </c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49" t="s">
        <v>116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1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4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7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58" t="s">
        <v>136</v>
      </c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60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16" sqref="A1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46046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46036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AD39C9-5293-49EB-9980-BD4AC8F198EF}"/>
</file>

<file path=customXml/itemProps2.xml><?xml version="1.0" encoding="utf-8"?>
<ds:datastoreItem xmlns:ds="http://schemas.openxmlformats.org/officeDocument/2006/customXml" ds:itemID="{36878552-CB9D-4D54-AA90-65879AFC8CF3}"/>
</file>

<file path=customXml/itemProps3.xml><?xml version="1.0" encoding="utf-8"?>
<ds:datastoreItem xmlns:ds="http://schemas.openxmlformats.org/officeDocument/2006/customXml" ds:itemID="{E1D48AA7-9F06-4E56-B9EA-C62E5D322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2025-01-21T01:36:24Z</cp:lastPrinted>
  <dcterms:created xsi:type="dcterms:W3CDTF">2019-11-27T23:28:06Z</dcterms:created>
  <dcterms:modified xsi:type="dcterms:W3CDTF">2025-12-24T00:37:07Z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