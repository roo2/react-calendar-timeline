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278CAF5-C4E5-43AB-814B-B651D22F002E}" xr6:coauthVersionLast="47" xr6:coauthVersionMax="47" xr10:uidLastSave="{00000000-0000-0000-0000-000000000000}"/>
  <bookViews>
    <workbookView xWindow="30900" yWindow="3780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<sst xmlns="http://schemas.openxmlformats.org/spreadsheetml/2006/main" count="307" uniqueCount="203">
  <si>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</si>
  <si>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</si>
  <si>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</si>
  <si>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</si>
  <si>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</si>
  <si>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</si>
  <si>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</si>
  <si>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</si>
  <si>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</si>
  <si>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</si>
  <si>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</si>
  <si>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</si>
  <si>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</si>
  <si>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</si>
  <si>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</si>
  <si>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</si>
  <si>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</si>
  <si>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</si>
  <si>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</si>
  <si>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</si>
  <si>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</si>
  <si>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</si>
  <si>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</si>
  <si>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</si>
  <si>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</si>
  <si>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</si>
  <si>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</si>
  <si>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</si>
  <si>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</si>
  <si>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</si>
  <si>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</si>
  <si>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</si>
  <si>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</si>
  <si>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</si>
  <si>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</si>
  <si>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</si>
  <si>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</si>
  <si>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</si>
  <si>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</si>
  <si>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</si>
  <si>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</si>
  <si>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</si>
  <si>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</si>
  <si>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</si>
  <si>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</si>
  <si>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</si>
  <si>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</si>
  <si>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</si>
  <si>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</si>
  <si>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</si>
  <si>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</si>
  <si>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</si>
  <si>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</si>
  <si>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</si>
  <si>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</si>
  <si>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</si>
  <si>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</si>
  <si>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</si>
  <si>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</si>
  <si>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</si>
  <si>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</si>
  <si>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</si>
  <si>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</si>
  <si>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</si>
  <si>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</si>
  <si>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</si>
  <si>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</si>
  <si>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</si>
  <si>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</si>
  <si>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</si>
  <si>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</si>
  <si>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</si>
  <si>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</si>
  <si>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</si>
  <si>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</si>
  <si>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</si>
  <si>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</si>
  <si>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</si>
  <si>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</si>
  <si>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</si>
  <si>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</si>
  <si>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</si>
  <si>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</si>
  <si>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</si>
  <si>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</si>
  <si>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</si>
  <si>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</si>
  <si>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</si>
  <si>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</si>
  <si>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</si>
  <si>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</si>
  <si>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</si>
  <si>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</si>
  <si>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</si>
  <si>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</si>
  <si>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</si>
  <si>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</si>
  <si>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</si>
  <si>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</si>
  <si>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</si>
  <si>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</si>
  <si>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</si>
  <si>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</si>
  <si>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</si>
  <si>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</si>
  <si>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</si>
  <si>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</si>
  <si>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</si>
  <si>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</si>
  <si>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</si>
  <si>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</si>
  <si>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</si>
  <si>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</si>
  <si>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</si>
  <si>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</si>
  <si>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</si>
  <si>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</si>
  <si>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</si>
  <si>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</si>
  <si>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</si>
  <si>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</si>
  <si>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</si>
  <si>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</si>
  <si>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</si>
  <si>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</si>
  <si>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</si>
  <si>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</si>
  <si>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</si>
  <si>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</si>
  <si>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</si>
  <si>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</si>
  <si>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</si>
  <si>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</si>
  <si>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</si>
  <si>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</si>
  <si>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</si>
  <si>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</si>
  <si>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</si>
  <si>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</si>
  <si>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</si>
  <si>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</si>
  <si>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</si>
  <si>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</si>
  <si>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</si>
  <si>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</si>
  <si>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</si>
  <si>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</si>
  <si>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</si>
  <si>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</si>
  <si>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</si>
  <si>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</si>
  <si>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</si>
  <si>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</si>
  <si>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</si>
  <si>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</si>
  <si>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</si>
  <si>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</si>
  <si>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</si>
  <si>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</si>
  <si>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</si>
  <si>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</si>
  <si>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</si>
  <si>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</si>
  <si>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</si>
  <si>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</si>
  <si>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</si>
  <si>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</si>
  <si>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</si>
  <si>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</si>
  <si>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</si>
  <si>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</si>
  <si>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</si>
  <si>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</si>
  <si>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</si>
  <si>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</si>
  <si>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</si>
  <si>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</si>
  <si>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</si>
  <si>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</si>
  <si>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</si>
  <si>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</si>
  <si>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</si>
  <si>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</si>
  <si>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</si>
  <si>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</si>
  <si>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</si>
  <si>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</si>
  <si>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</si>
  <si>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</si>
  <si>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</si>
  <si>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</si>
  <si>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</si>
  <si>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</si>
  <si>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</si>
  <si>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</si>
  <si>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LIMAXORION 1</t>
  </si>
  <si>
    <t>24/26</t>
  </si>
  <si>
    <t>16/170</t>
  </si>
  <si>
    <t>13/170</t>
  </si>
  <si>
    <t xml:space="preserve">NEXT GENERATION PET </t>
  </si>
  <si>
    <t>MUST HAVE WATER TIGHT SEAL</t>
  </si>
  <si>
    <t>L3</t>
  </si>
  <si>
    <t>13.04.2026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</si>
</sst>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M14" sqref="M14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PB30545575</v>
      </c>
      <c r="C1" s="110"/>
      <c r="D1" s="111"/>
      <c r="E1" s="10" t="s">
        <v>57</v>
      </c>
      <c r="F1" s="64" t="s">
        <v>199</v>
      </c>
      <c r="G1" s="64"/>
      <c r="H1" s="65"/>
      <c r="I1" s="11" t="s">
        <v>181</v>
      </c>
      <c r="J1" s="121">
        <f ca="1">TODAY()</f>
        <v>46078</v>
      </c>
      <c r="K1" s="121"/>
      <c r="L1" s="122"/>
      <c r="M1" s="28"/>
      <c r="N1" s="10" t="s">
        <v>56</v>
      </c>
      <c r="O1" s="110" t="str">
        <f>B1</f>
        <v>PB30545575</v>
      </c>
      <c r="P1" s="110"/>
      <c r="Q1" s="111"/>
      <c r="R1" s="10" t="s">
        <v>57</v>
      </c>
      <c r="S1" s="110" t="str">
        <f>F1</f>
        <v xml:space="preserve">NEXT GENERATION PET </v>
      </c>
      <c r="T1" s="110"/>
      <c r="U1" s="111"/>
      <c r="V1" s="10" t="s">
        <v>181</v>
      </c>
      <c r="W1" s="121">
        <f ca="1">J1</f>
        <v>46078</v>
      </c>
      <c r="X1" s="121"/>
      <c r="Y1" s="122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64">
        <v>951582</v>
      </c>
      <c r="G2" s="64"/>
      <c r="H2" s="65"/>
      <c r="I2" s="10" t="s">
        <v>59</v>
      </c>
      <c r="J2" s="124" t="s">
        <v>202</v>
      </c>
      <c r="K2" s="64"/>
      <c r="L2" s="65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951582</v>
      </c>
      <c r="T2" s="110"/>
      <c r="U2" s="111"/>
      <c r="V2" s="10" t="s">
        <v>59</v>
      </c>
      <c r="W2" s="123" t="str">
        <f>J2</f>
        <v>13.04.2026</v>
      </c>
      <c r="X2" s="110"/>
      <c r="Y2" s="111"/>
    </row>
    <row r="3" spans="1:25" ht="20.100000000000001" customHeight="1" x14ac:dyDescent="0.25">
      <c r="A3" s="112" t="s">
        <v>200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MUST HAVE WATER TIGHT SEAL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2"/>
      <c r="K6" s="72"/>
      <c r="L6" s="73"/>
      <c r="M6" s="28"/>
      <c r="N6" s="74" t="s">
        <v>2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10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9" t="s">
        <v>179</v>
      </c>
      <c r="K7" s="69"/>
      <c r="L7" s="70"/>
      <c r="M7" s="28"/>
      <c r="N7" s="10" t="str">
        <f>IF(ISNUMBER(SEARCH("roll",O8,1)),"No. Rolls","No. Cartons")</f>
        <v>No. Cartons</v>
      </c>
      <c r="O7" s="64">
        <v>60</v>
      </c>
      <c r="P7" s="65"/>
      <c r="Q7" s="10" t="str">
        <f>IF(ISNUMBER(SEARCH("roll",O8,1)),"Per Roll","Per Carton")</f>
        <v>Per Carton</v>
      </c>
      <c r="R7" s="64">
        <v>500</v>
      </c>
      <c r="S7" s="65"/>
      <c r="T7" s="10" t="str">
        <f>IF(ISNUMBER(SEARCH("bag",O8,1)),"Total Bags","Total Sheets")</f>
        <v>Total Bags</v>
      </c>
      <c r="U7" s="110">
        <f>R7*O7</f>
        <v>30000</v>
      </c>
      <c r="V7" s="111"/>
      <c r="W7" s="10" t="s">
        <v>102</v>
      </c>
      <c r="X7" s="64" t="s">
        <v>31</v>
      </c>
      <c r="Y7" s="65"/>
    </row>
    <row r="8" spans="1:25" ht="20.100000000000001" customHeight="1" x14ac:dyDescent="0.25">
      <c r="A8" s="12" t="s">
        <v>16</v>
      </c>
      <c r="B8" s="98">
        <f>R9</f>
        <v>305</v>
      </c>
      <c r="C8" s="99"/>
      <c r="D8" s="26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2" t="s">
        <v>52</v>
      </c>
      <c r="H8" s="98">
        <f>(IF(V9&lt;30,"30",V9))</f>
        <v>75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00" t="s">
        <v>164</v>
      </c>
      <c r="P8" s="101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15" t="s">
        <v>48</v>
      </c>
      <c r="B9" s="62" t="s">
        <v>193</v>
      </c>
      <c r="C9" s="63"/>
      <c r="D9" s="133" t="str">
        <f>IF(K10="Middle","RUN 2 UP",IF(AND(O8="Centrefold Roll",B8=380),"RUN 2 UP",""))</f>
        <v/>
      </c>
      <c r="E9" s="102"/>
      <c r="F9" s="103"/>
      <c r="G9" s="15" t="s">
        <v>48</v>
      </c>
      <c r="H9" s="62" t="s">
        <v>193</v>
      </c>
      <c r="I9" s="63"/>
      <c r="J9" s="10" t="s">
        <v>55</v>
      </c>
      <c r="K9" s="64" t="s">
        <v>30</v>
      </c>
      <c r="L9" s="65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305</v>
      </c>
      <c r="S9" s="17" t="s">
        <v>78</v>
      </c>
      <c r="T9" s="29">
        <v>455</v>
      </c>
      <c r="U9" s="17" t="s">
        <v>78</v>
      </c>
      <c r="V9" s="29">
        <v>75</v>
      </c>
      <c r="W9" s="16"/>
      <c r="X9" s="90"/>
      <c r="Y9" s="91"/>
    </row>
    <row r="10" spans="1:25" ht="20.100000000000001" customHeight="1" x14ac:dyDescent="0.25">
      <c r="A10" s="10" t="s">
        <v>51</v>
      </c>
      <c r="B10" s="64">
        <v>18</v>
      </c>
      <c r="C10" s="65"/>
      <c r="D10" s="46" t="s">
        <v>134</v>
      </c>
      <c r="E10" s="127">
        <f>IF(ISNUMBER(SEARCH("sheet",O8,1)),((R9*T9*H8/540000)*U7/2000*1.3),((R9*T9*H8/540000)*U7/1000*1.08))</f>
        <v>624.48750000000007</v>
      </c>
      <c r="F10" s="128"/>
      <c r="G10" s="10" t="s">
        <v>53</v>
      </c>
      <c r="H10" s="131">
        <f>IF(ISNUMBER(SEARCH("sheet",O8,1)),(U7*T9/2000*1.08),(U7*T9/1000*1.08))</f>
        <v>14742.000000000002</v>
      </c>
      <c r="I10" s="132"/>
      <c r="J10" s="10" t="s">
        <v>41</v>
      </c>
      <c r="K10" s="64" t="s">
        <v>44</v>
      </c>
      <c r="L10" s="65"/>
      <c r="M10" s="28"/>
      <c r="N10" s="13" t="s">
        <v>141</v>
      </c>
      <c r="O10" s="100" t="s">
        <v>44</v>
      </c>
      <c r="P10" s="101"/>
      <c r="Q10" s="13" t="s">
        <v>50</v>
      </c>
      <c r="R10" s="96" t="str">
        <f>IF(K11="NONE","None",IF(K11="INLINE","Yes",IF(K11="OUT OF LINE","Yes")))</f>
        <v>None</v>
      </c>
      <c r="S10" s="96"/>
      <c r="T10" s="13" t="s">
        <v>100</v>
      </c>
      <c r="U10" s="106"/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29">
        <f>E10/B10</f>
        <v>34.693750000000001</v>
      </c>
      <c r="F11" s="130"/>
      <c r="G11" s="10" t="s">
        <v>15</v>
      </c>
      <c r="H11" s="129">
        <f>H10/B10</f>
        <v>819.00000000000011</v>
      </c>
      <c r="I11" s="130"/>
      <c r="J11" s="10" t="s">
        <v>50</v>
      </c>
      <c r="K11" s="64" t="s">
        <v>44</v>
      </c>
      <c r="L11" s="65"/>
      <c r="M11" s="28"/>
      <c r="N11" s="12"/>
      <c r="O11" s="98" t="str">
        <f>IF(O10="NONE","","V")</f>
        <v/>
      </c>
      <c r="P11" s="99"/>
      <c r="Q11" s="12"/>
      <c r="R11" s="98" t="str">
        <f>IF(R10="None","","P")</f>
        <v/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6" t="s">
        <v>13</v>
      </c>
      <c r="B12" s="87"/>
      <c r="C12" s="87"/>
      <c r="D12" s="87"/>
      <c r="E12" s="75"/>
      <c r="F12" s="75"/>
      <c r="G12" s="75"/>
      <c r="H12" s="75"/>
      <c r="I12" s="75"/>
      <c r="J12" s="75"/>
      <c r="K12" s="75"/>
      <c r="L12" s="76"/>
      <c r="M12" s="28"/>
      <c r="N12" s="71" t="s">
        <v>71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 x14ac:dyDescent="0.25">
      <c r="A13" s="10" t="s">
        <v>68</v>
      </c>
      <c r="B13" s="64" t="s">
        <v>44</v>
      </c>
      <c r="C13" s="64"/>
      <c r="D13" s="65"/>
      <c r="E13" s="18" t="s">
        <v>61</v>
      </c>
      <c r="F13" s="64" t="s">
        <v>44</v>
      </c>
      <c r="G13" s="64"/>
      <c r="H13" s="65"/>
      <c r="I13" s="10" t="s">
        <v>62</v>
      </c>
      <c r="J13" s="64" t="s">
        <v>44</v>
      </c>
      <c r="K13" s="64"/>
      <c r="L13" s="65"/>
      <c r="M13" s="28"/>
      <c r="N13" s="10" t="s">
        <v>72</v>
      </c>
      <c r="O13" s="30" t="s">
        <v>77</v>
      </c>
      <c r="P13" s="10" t="s">
        <v>73</v>
      </c>
      <c r="Q13" s="19">
        <f>O7</f>
        <v>60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8"/>
      <c r="N14" s="71" t="s">
        <v>110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3"/>
    </row>
    <row r="15" spans="1:25" ht="20.100000000000001" customHeight="1" x14ac:dyDescent="0.25">
      <c r="A15" s="74" t="s">
        <v>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28"/>
      <c r="N15" s="68" t="s">
        <v>108</v>
      </c>
      <c r="O15" s="69"/>
      <c r="P15" s="70"/>
      <c r="Q15" s="68" t="s">
        <v>107</v>
      </c>
      <c r="R15" s="69"/>
      <c r="S15" s="70"/>
      <c r="T15" s="68" t="s">
        <v>118</v>
      </c>
      <c r="U15" s="69"/>
      <c r="V15" s="70"/>
      <c r="W15" s="68" t="s">
        <v>117</v>
      </c>
      <c r="X15" s="69"/>
      <c r="Y15" s="70"/>
    </row>
    <row r="16" spans="1:25" ht="20.100000000000001" customHeight="1" x14ac:dyDescent="0.25">
      <c r="A16" s="68" t="s">
        <v>3</v>
      </c>
      <c r="B16" s="70"/>
      <c r="C16" s="68" t="s">
        <v>142</v>
      </c>
      <c r="D16" s="70"/>
      <c r="E16" s="146" t="s">
        <v>4</v>
      </c>
      <c r="F16" s="146"/>
      <c r="G16" s="146" t="s">
        <v>5</v>
      </c>
      <c r="H16" s="146"/>
      <c r="I16" s="69" t="s">
        <v>11</v>
      </c>
      <c r="J16" s="70"/>
      <c r="K16" s="69" t="s">
        <v>12</v>
      </c>
      <c r="L16" s="70"/>
      <c r="M16" s="28"/>
      <c r="N16" s="10" t="s">
        <v>28</v>
      </c>
      <c r="O16" s="64">
        <v>110</v>
      </c>
      <c r="P16" s="65"/>
      <c r="Q16" s="10" t="s">
        <v>105</v>
      </c>
      <c r="R16" s="62" t="s">
        <v>31</v>
      </c>
      <c r="S16" s="63"/>
      <c r="T16" s="11" t="s">
        <v>103</v>
      </c>
      <c r="U16" s="64" t="s">
        <v>31</v>
      </c>
      <c r="V16" s="65"/>
      <c r="W16" s="10" t="str">
        <f>IF(ISNUMBER(SEARCH("bag",O8,1)),"Total Bags","Total Sheets")</f>
        <v>Total Bags</v>
      </c>
      <c r="X16" s="66"/>
      <c r="Y16" s="67"/>
    </row>
    <row r="17" spans="1:25" ht="20.100000000000001" customHeight="1" x14ac:dyDescent="0.25">
      <c r="A17" s="61" t="s">
        <v>6</v>
      </c>
      <c r="B17" s="61"/>
      <c r="C17" s="94" t="s">
        <v>147</v>
      </c>
      <c r="D17" s="95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4" t="s">
        <v>35</v>
      </c>
      <c r="P17" s="65"/>
      <c r="Q17" s="10" t="s">
        <v>104</v>
      </c>
      <c r="R17" s="64" t="s">
        <v>31</v>
      </c>
      <c r="S17" s="65"/>
      <c r="T17" s="11" t="str">
        <f>IF(ISNUMBER(SEARCH("roll",O8,1)),"Part Rolls","Part Ctns")</f>
        <v>Part Ctns</v>
      </c>
      <c r="U17" s="64" t="s">
        <v>31</v>
      </c>
      <c r="V17" s="65"/>
      <c r="W17" s="10" t="str">
        <f>IF(ISNUMBER(SEARCH("roll",O8,1)),"Total Rolls","Total Ctns")</f>
        <v>Total Ctns</v>
      </c>
      <c r="X17" s="66"/>
      <c r="Y17" s="67"/>
    </row>
    <row r="18" spans="1:25" ht="20.100000000000001" customHeight="1" x14ac:dyDescent="0.25">
      <c r="A18" s="61" t="s">
        <v>7</v>
      </c>
      <c r="B18" s="61"/>
      <c r="C18" s="94" t="s">
        <v>146</v>
      </c>
      <c r="D18" s="95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4" t="s">
        <v>38</v>
      </c>
      <c r="P18" s="65"/>
      <c r="Q18" s="10" t="s">
        <v>106</v>
      </c>
      <c r="R18" s="64" t="s">
        <v>31</v>
      </c>
      <c r="S18" s="65"/>
      <c r="T18" s="20" t="s">
        <v>27</v>
      </c>
      <c r="U18" s="64" t="s">
        <v>36</v>
      </c>
      <c r="V18" s="65"/>
      <c r="W18" s="10" t="s">
        <v>109</v>
      </c>
      <c r="X18" s="66"/>
      <c r="Y18" s="67"/>
    </row>
    <row r="19" spans="1:25" ht="20.100000000000001" customHeight="1" x14ac:dyDescent="0.25">
      <c r="A19" s="61" t="s">
        <v>8</v>
      </c>
      <c r="B19" s="61"/>
      <c r="C19" s="94" t="s">
        <v>145</v>
      </c>
      <c r="D19" s="95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7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9"/>
    </row>
    <row r="20" spans="1:25" ht="20.100000000000001" customHeight="1" x14ac:dyDescent="0.25">
      <c r="A20" s="61" t="s">
        <v>9</v>
      </c>
      <c r="B20" s="61"/>
      <c r="C20" s="94" t="s">
        <v>144</v>
      </c>
      <c r="D20" s="95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80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2"/>
    </row>
    <row r="21" spans="1:25" ht="20.100000000000001" customHeight="1" x14ac:dyDescent="0.25">
      <c r="A21" s="61" t="s">
        <v>10</v>
      </c>
      <c r="B21" s="61"/>
      <c r="C21" s="94" t="s">
        <v>143</v>
      </c>
      <c r="D21" s="95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80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2"/>
    </row>
    <row r="22" spans="1:25" ht="20.100000000000001" customHeight="1" x14ac:dyDescent="0.2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3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5"/>
    </row>
    <row r="23" spans="1:25" ht="20.100000000000001" customHeight="1" x14ac:dyDescent="0.25">
      <c r="A23" s="147"/>
      <c r="B23" s="147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5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71" t="s">
        <v>133</v>
      </c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3"/>
    </row>
    <row r="24" spans="1:25" ht="20.100000000000001" customHeight="1" x14ac:dyDescent="0.25">
      <c r="A24" s="148"/>
      <c r="B24" s="149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4" t="s">
        <v>1</v>
      </c>
      <c r="B25" s="75"/>
      <c r="C25" s="75"/>
      <c r="D25" s="75"/>
      <c r="E25" s="75"/>
      <c r="F25" s="87"/>
      <c r="G25" s="87"/>
      <c r="H25" s="87"/>
      <c r="I25" s="87"/>
      <c r="J25" s="87"/>
      <c r="K25" s="75"/>
      <c r="L25" s="76"/>
      <c r="M25" s="28"/>
      <c r="N25" s="21" t="s">
        <v>96</v>
      </c>
      <c r="O25" s="9" t="s">
        <v>195</v>
      </c>
      <c r="P25" s="33"/>
      <c r="Q25" s="9" t="s">
        <v>196</v>
      </c>
      <c r="R25" s="9"/>
      <c r="S25" s="9"/>
      <c r="T25" s="9"/>
      <c r="U25" s="9"/>
      <c r="V25" s="9"/>
      <c r="W25" s="9" t="s">
        <v>197</v>
      </c>
      <c r="X25" s="9" t="s">
        <v>198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3" t="s">
        <v>132</v>
      </c>
      <c r="H26" s="93"/>
      <c r="I26" s="93" t="s">
        <v>131</v>
      </c>
      <c r="J26" s="93"/>
      <c r="K26" s="23" t="s">
        <v>94</v>
      </c>
      <c r="L26" s="23" t="s">
        <v>95</v>
      </c>
      <c r="M26" s="28"/>
      <c r="N26" s="74" t="s">
        <v>137</v>
      </c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6"/>
    </row>
    <row r="27" spans="1:25" ht="20.100000000000001" customHeight="1" x14ac:dyDescent="0.25">
      <c r="A27" s="21" t="s">
        <v>96</v>
      </c>
      <c r="B27" s="7" t="s">
        <v>201</v>
      </c>
      <c r="C27" s="7"/>
      <c r="D27" s="7">
        <v>26</v>
      </c>
      <c r="E27" s="58">
        <v>2.7</v>
      </c>
      <c r="F27" s="7"/>
      <c r="G27" s="92"/>
      <c r="H27" s="92"/>
      <c r="I27" s="92"/>
      <c r="J27" s="92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2"/>
      <c r="H28" s="92"/>
      <c r="I28" s="92"/>
      <c r="J28" s="92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6" t="s">
        <v>99</v>
      </c>
      <c r="B29" s="87"/>
      <c r="C29" s="87"/>
      <c r="D29" s="87"/>
      <c r="E29" s="87"/>
      <c r="F29" s="88"/>
      <c r="G29" s="88"/>
      <c r="H29" s="88"/>
      <c r="I29" s="88"/>
      <c r="J29" s="88"/>
      <c r="K29" s="87"/>
      <c r="L29" s="89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errorStyle="warning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46106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46099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2C3D12C-3B7A-4F3E-96FB-B0FC8E65550A}"/>
</file>

<file path=customXml/itemProps2.xml><?xml version="1.0" encoding="utf-8"?>
<ds:datastoreItem xmlns:ds="http://schemas.openxmlformats.org/officeDocument/2006/customXml" ds:itemID="{97B9D325-FD8F-45F5-ABD5-FADB3CAE7EA7}"/>
</file>

<file path=customXml/itemProps3.xml><?xml version="1.0" encoding="utf-8"?>
<ds:datastoreItem xmlns:ds="http://schemas.openxmlformats.org/officeDocument/2006/customXml" ds:itemID="{EB7C8643-B551-4B10-AA3B-40AC4C55A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2026-02-25T06:54:01Z</cp:lastPrinted>
  <dcterms:created xsi:type="dcterms:W3CDTF">2019-11-27T23:28:06Z</dcterms:created>
  <dcterms:modified xsi:type="dcterms:W3CDTF">2026-02-25T09:14:22Z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