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E319628E-23AD-4CB1-82CE-9B7AC6B70D62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<sst xmlns="http://schemas.openxmlformats.org/spreadsheetml/2006/main" count="304" uniqueCount="200">
  <si>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</si>
  <si>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</si>
  <si>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</si>
  <si>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</si>
  <si>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</si>
  <si>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</si>
  <si>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</si>
  <si>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</si>
  <si>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</si>
  <si>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</si>
  <si>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</si>
  <si>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</si>
  <si>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</si>
  <si>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</si>
  <si>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</si>
  <si>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</si>
  <si>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</si>
  <si>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</si>
  <si>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</si>
  <si>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</si>
  <si>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</si>
  <si>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</si>
  <si>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</si>
  <si>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</si>
  <si>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</si>
  <si>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</si>
  <si>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</si>
  <si>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</si>
  <si>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</si>
  <si>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</si>
  <si>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</si>
  <si>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</si>
  <si>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</si>
  <si>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</si>
  <si>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</si>
  <si>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</si>
  <si>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</si>
  <si>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</si>
  <si>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</si>
  <si>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</si>
  <si>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</si>
  <si>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</si>
  <si>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</si>
  <si>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</si>
  <si>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</si>
  <si>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</si>
  <si>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</si>
  <si>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</si>
  <si>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</si>
  <si>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</si>
  <si>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</si>
  <si>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</si>
  <si>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</si>
  <si>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</si>
  <si>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</si>
  <si>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</si>
  <si>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</si>
  <si>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</si>
  <si>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</si>
  <si>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</si>
  <si>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</si>
  <si>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</si>
  <si>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</si>
  <si>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</si>
  <si>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</si>
  <si>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</si>
  <si>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</si>
  <si>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</si>
  <si>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</si>
  <si>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</si>
  <si>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</si>
  <si>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</si>
  <si>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</si>
  <si>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</si>
  <si>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</si>
  <si>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</si>
  <si>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</si>
  <si>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</si>
  <si>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</si>
  <si>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</si>
  <si>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</si>
  <si>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</si>
  <si>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</si>
  <si>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</si>
  <si>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</si>
  <si>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</si>
  <si>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</si>
  <si>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</si>
  <si>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</si>
  <si>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</si>
  <si>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</si>
  <si>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</si>
  <si>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</si>
  <si>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</si>
  <si>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</si>
  <si>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</si>
  <si>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</si>
  <si>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</si>
  <si>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</si>
  <si>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</si>
  <si>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</si>
  <si>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</si>
  <si>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</si>
  <si>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</si>
  <si>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</si>
  <si>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</si>
  <si>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</si>
  <si>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</si>
  <si>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</si>
  <si>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</si>
  <si>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</si>
  <si>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</si>
  <si>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</si>
  <si>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</si>
  <si>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</si>
  <si>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</si>
  <si>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</si>
  <si>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</si>
  <si>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</si>
  <si>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</si>
  <si>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</si>
  <si>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</si>
  <si>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</si>
  <si>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</si>
  <si>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</si>
  <si>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</si>
  <si>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</si>
  <si>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</si>
  <si>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</si>
  <si>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</si>
  <si>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</si>
  <si>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</si>
  <si>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</si>
  <si>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</si>
  <si>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</si>
  <si>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</si>
  <si>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</si>
  <si>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</si>
  <si>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</si>
  <si>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</si>
  <si>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</si>
  <si>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</si>
  <si>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</si>
  <si>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</si>
  <si>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</si>
  <si>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</si>
  <si>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</si>
  <si>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</si>
  <si>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</si>
  <si>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</si>
  <si>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</si>
  <si>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</si>
  <si>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</si>
  <si>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</si>
  <si>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</si>
  <si>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</si>
  <si>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</si>
  <si>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</si>
  <si>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</si>
  <si>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</si>
  <si>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</si>
  <si>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</si>
  <si>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</si>
  <si>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</si>
  <si>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</si>
  <si>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</si>
  <si>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</si>
  <si>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</si>
  <si>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</si>
  <si>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</si>
  <si>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</si>
  <si>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</si>
  <si>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</si>
  <si>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</si>
  <si>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</si>
  <si>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</si>
  <si>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</si>
  <si>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</si>
  <si>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</si>
  <si>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</si>
  <si>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</si>
  <si>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</si>
  <si>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</si>
  <si>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</si>
  <si>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</si>
  <si>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</si>
  <si>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</si>
  <si>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</si>
  <si>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</si>
  <si>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</si>
  <si>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</si>
  <si>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</si>
  <si>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</si>
  <si>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</si>
  <si>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</si>
  <si>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RUN AT 35-38um</t>
  </si>
  <si>
    <t>MUST USE GOOD MATERIAL - MUST HAVE WATER TIGHT SEALS - CHECK REGULARLY</t>
  </si>
  <si>
    <t xml:space="preserve">LIMAX </t>
  </si>
  <si>
    <t>DENCO TRADING</t>
  </si>
  <si>
    <t>11.04.2021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</si>
</sst>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6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F14" sqref="AF14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PB35040075WH</v>
      </c>
      <c r="C1" s="123"/>
      <c r="D1" s="124"/>
      <c r="E1" s="12" t="s">
        <v>57</v>
      </c>
      <c r="F1" s="134" t="s">
        <v>198</v>
      </c>
      <c r="G1" s="135"/>
      <c r="H1" s="136"/>
      <c r="I1" s="13" t="s">
        <v>181</v>
      </c>
      <c r="J1" s="137">
        <f ca="1">TODAY()</f>
        <v>44272</v>
      </c>
      <c r="K1" s="137"/>
      <c r="L1" s="138"/>
      <c r="M1" s="34"/>
      <c r="N1" s="12" t="s">
        <v>56</v>
      </c>
      <c r="O1" s="123" t="str">
        <f>B1</f>
        <v>PB35040075WH</v>
      </c>
      <c r="P1" s="123"/>
      <c r="Q1" s="124"/>
      <c r="R1" s="12" t="s">
        <v>57</v>
      </c>
      <c r="S1" s="123" t="str">
        <f>F1</f>
        <v>DENCO TRADING</v>
      </c>
      <c r="T1" s="123"/>
      <c r="U1" s="124"/>
      <c r="V1" s="12" t="s">
        <v>181</v>
      </c>
      <c r="W1" s="137">
        <f ca="1">J1</f>
        <v>44272</v>
      </c>
      <c r="X1" s="137"/>
      <c r="Y1" s="138"/>
    </row>
    <row r="2" spans="1:28" ht="20.100000000000001" customHeight="1" x14ac:dyDescent="0.25">
      <c r="A2" s="12" t="s">
        <v>100</v>
      </c>
      <c r="B2" s="123" t="str">
        <f>IF(U10="","",U10)</f>
        <v/>
      </c>
      <c r="C2" s="123"/>
      <c r="D2" s="124"/>
      <c r="E2" s="12" t="s">
        <v>58</v>
      </c>
      <c r="F2" s="73">
        <v>939867</v>
      </c>
      <c r="G2" s="73"/>
      <c r="H2" s="74"/>
      <c r="I2" s="12" t="s">
        <v>59</v>
      </c>
      <c r="J2" s="140" t="s">
        <v>199</v>
      </c>
      <c r="K2" s="73"/>
      <c r="L2" s="74"/>
      <c r="M2" s="34"/>
      <c r="N2" s="12" t="s">
        <v>100</v>
      </c>
      <c r="O2" s="123" t="str">
        <f>IF(B2="","",B2)</f>
        <v/>
      </c>
      <c r="P2" s="123"/>
      <c r="Q2" s="124"/>
      <c r="R2" s="12" t="s">
        <v>58</v>
      </c>
      <c r="S2" s="123">
        <f>IF(F2="","",F2)</f>
        <v>939867</v>
      </c>
      <c r="T2" s="123"/>
      <c r="U2" s="124"/>
      <c r="V2" s="12" t="s">
        <v>59</v>
      </c>
      <c r="W2" s="139" t="str">
        <f>J2</f>
        <v>11.04.2021</v>
      </c>
      <c r="X2" s="123"/>
      <c r="Y2" s="124"/>
    </row>
    <row r="3" spans="1:28" ht="20.100000000000001" customHeight="1" x14ac:dyDescent="0.25">
      <c r="A3" s="125" t="s">
        <v>196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>MUST USE GOOD MATERIAL - MUST HAVE WATER TIGHT SEALS - CHECK REGULARLY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00000000000001" customHeight="1" x14ac:dyDescent="0.25">
      <c r="A6" s="142" t="s">
        <v>2</v>
      </c>
      <c r="B6" s="143"/>
      <c r="C6" s="143"/>
      <c r="D6" s="143"/>
      <c r="E6" s="143"/>
      <c r="F6" s="143"/>
      <c r="G6" s="143"/>
      <c r="H6" s="143"/>
      <c r="I6" s="143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155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21</v>
      </c>
      <c r="P7" s="74"/>
      <c r="Q7" s="12" t="str">
        <f>IF(ISNUMBER(SEARCH("roll",O8,1)),"Per Roll","Per Carton")</f>
        <v>Per Carton</v>
      </c>
      <c r="R7" s="73">
        <v>500</v>
      </c>
      <c r="S7" s="74"/>
      <c r="T7" s="12" t="str">
        <f>IF(ISNUMBER(SEARCH("bag",O8,1)),"Total Bags","Total Sheets")</f>
        <v>Total Bags</v>
      </c>
      <c r="U7" s="123">
        <f>R7*O7</f>
        <v>10500</v>
      </c>
      <c r="V7" s="124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350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75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">
      <c r="A9" s="18" t="s">
        <v>48</v>
      </c>
      <c r="B9" s="144" t="s">
        <v>194</v>
      </c>
      <c r="C9" s="145"/>
      <c r="D9" s="152" t="str">
        <f>IF(K10="Middle","RUN 2 UP",IF(AND(O8="Centrefold Roll",B8=380),"RUN 2 UP",""))</f>
        <v/>
      </c>
      <c r="E9" s="115"/>
      <c r="F9" s="116"/>
      <c r="G9" s="18" t="s">
        <v>48</v>
      </c>
      <c r="H9" s="144" t="s">
        <v>195</v>
      </c>
      <c r="I9" s="145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350</v>
      </c>
      <c r="S9" s="20" t="s">
        <v>78</v>
      </c>
      <c r="T9" s="35">
        <v>400</v>
      </c>
      <c r="U9" s="20" t="s">
        <v>78</v>
      </c>
      <c r="V9" s="35">
        <v>75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7</v>
      </c>
      <c r="C10" s="74"/>
      <c r="D10" s="54" t="s">
        <v>134</v>
      </c>
      <c r="E10" s="146">
        <f>IF(ISNUMBER(SEARCH("sheet",O8,1)),((R9*T9*H8/540000)*U7/2000*1.3),((R9*T9*H8/540000)*U7/1000*1.08))</f>
        <v>220.5</v>
      </c>
      <c r="F10" s="147"/>
      <c r="G10" s="12" t="s">
        <v>53</v>
      </c>
      <c r="H10" s="150">
        <f>IF(ISNUMBER(SEARCH("sheet",O8,1)),(U7*T9/2000*1.08),(U7*T9/1000*1.08))</f>
        <v>4536</v>
      </c>
      <c r="I10" s="151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/>
      <c r="V10" s="119"/>
      <c r="W10" s="119"/>
      <c r="X10" s="119"/>
      <c r="Y10" s="120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8">
        <f>E10/B10</f>
        <v>31.5</v>
      </c>
      <c r="F11" s="149"/>
      <c r="G11" s="12" t="s">
        <v>15</v>
      </c>
      <c r="H11" s="148">
        <f>H10/B10</f>
        <v>648</v>
      </c>
      <c r="I11" s="149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1"/>
      <c r="V11" s="121"/>
      <c r="W11" s="121"/>
      <c r="X11" s="121"/>
      <c r="Y11" s="122"/>
    </row>
    <row r="12" spans="1:28" ht="20.100000000000001" customHeight="1" x14ac:dyDescent="0.25">
      <c r="A12" s="141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21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65" t="s">
        <v>4</v>
      </c>
      <c r="F16" s="165"/>
      <c r="G16" s="165" t="s">
        <v>5</v>
      </c>
      <c r="H16" s="165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>
        <v>110</v>
      </c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23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>WHITE</v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66"/>
      <c r="B23" s="166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67"/>
      <c r="B24" s="168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 t="s">
        <v>197</v>
      </c>
      <c r="P25" s="39"/>
      <c r="Q25" s="10">
        <v>26</v>
      </c>
      <c r="R25" s="10"/>
      <c r="S25" s="10"/>
      <c r="T25" s="10"/>
      <c r="U25" s="10"/>
      <c r="V25" s="10"/>
      <c r="W25" s="10">
        <v>16</v>
      </c>
      <c r="X25" s="10">
        <v>11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153" t="s">
        <v>116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5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156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8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159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1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62" t="s">
        <v>136</v>
      </c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4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44303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44293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937DFB1-7129-4130-A2FD-11111F82A28B}"/>
</file>

<file path=customXml/itemProps2.xml><?xml version="1.0" encoding="utf-8"?>
<ds:datastoreItem xmlns:ds="http://schemas.openxmlformats.org/officeDocument/2006/customXml" ds:itemID="{117A8751-1E48-4E40-8D55-AA455BED7D77}"/>
</file>

<file path=customXml/itemProps3.xml><?xml version="1.0" encoding="utf-8"?>
<ds:datastoreItem xmlns:ds="http://schemas.openxmlformats.org/officeDocument/2006/customXml" ds:itemID="{2B7FEF08-6BE5-4E28-9F0B-B78B678F3E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2021-03-17T03:51:23Z</cp:lastPrinted>
  <dcterms:created xsi:type="dcterms:W3CDTF">2019-11-27T23:28:06Z</dcterms:created>
  <dcterms:modified xsi:type="dcterms:W3CDTF">2021-03-17T03:51:41Z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