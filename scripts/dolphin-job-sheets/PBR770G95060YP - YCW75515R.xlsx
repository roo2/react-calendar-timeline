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Nicole\Desktop\"/>
    </mc:Choice>
  </mc:AlternateContent>
  <xr:revisionPtr revIDLastSave="0" documentId="13_ncr:1_{ACC91EEE-7D9D-46F6-8613-6C731FF5E592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<sst xmlns="http://schemas.openxmlformats.org/spreadsheetml/2006/main" count="304" uniqueCount="201">
  <si>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</si>
  <si>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</si>
  <si>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</si>
  <si>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</si>
  <si>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</si>
  <si>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</si>
  <si>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</si>
  <si>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</si>
  <si>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</si>
  <si>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</si>
  <si>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</si>
  <si>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</si>
  <si>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</si>
  <si>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</si>
  <si>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</si>
  <si>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</si>
  <si>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</si>
  <si>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</si>
  <si>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</si>
  <si>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</si>
  <si>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</si>
  <si>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</si>
  <si>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</si>
  <si>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</si>
  <si>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</si>
  <si>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</si>
  <si>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</si>
  <si>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</si>
  <si>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</si>
  <si>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</si>
  <si>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</si>
  <si>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</si>
  <si>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</si>
  <si>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</si>
  <si>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</si>
  <si>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</si>
  <si>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</si>
  <si>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</si>
  <si>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</si>
  <si>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</si>
  <si>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</si>
  <si>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</si>
  <si>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</si>
  <si>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</si>
  <si>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</si>
  <si>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</si>
  <si>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</si>
  <si>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</si>
  <si>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</si>
  <si>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</si>
  <si>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</si>
  <si>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</si>
  <si>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</si>
  <si>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</si>
  <si>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</si>
  <si>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</si>
  <si>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</si>
  <si>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</si>
  <si>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</si>
  <si>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</si>
  <si>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</si>
  <si>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</si>
  <si>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</si>
  <si>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</si>
  <si>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</si>
  <si>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</si>
  <si>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</si>
  <si>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</si>
  <si>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</si>
  <si>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</si>
  <si>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</si>
  <si>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</si>
  <si>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</si>
  <si>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</si>
  <si>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</si>
  <si>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</si>
  <si>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</si>
  <si>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</si>
  <si>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</si>
  <si>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</si>
  <si>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</si>
  <si>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</si>
  <si>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</si>
  <si>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</si>
  <si>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</si>
  <si>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</si>
  <si>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</si>
  <si>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</si>
  <si>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</si>
  <si>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</si>
  <si>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</si>
  <si>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</si>
  <si>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</si>
  <si>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</si>
  <si>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</si>
  <si>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</si>
  <si>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</si>
  <si>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</si>
  <si>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</si>
  <si>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</si>
  <si>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</si>
  <si>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</si>
  <si>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</si>
  <si>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</si>
  <si>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</si>
  <si>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</si>
  <si>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</si>
  <si>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</si>
  <si>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</si>
  <si>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</si>
  <si>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</si>
  <si>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</si>
  <si>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</si>
  <si>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</si>
  <si>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</si>
  <si>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</si>
  <si>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</si>
  <si>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</si>
  <si>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</si>
  <si>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</si>
  <si>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</si>
  <si>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</si>
  <si>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</si>
  <si>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</si>
  <si>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</si>
  <si>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</si>
  <si>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</si>
  <si>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</si>
  <si>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</si>
  <si>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</si>
  <si>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</si>
  <si>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</si>
  <si>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</si>
  <si>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</si>
  <si>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</si>
  <si>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</si>
  <si>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</si>
  <si>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</si>
  <si>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</si>
  <si>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</si>
  <si>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</si>
  <si>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</si>
  <si>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</si>
  <si>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</si>
  <si>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</si>
  <si>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</si>
  <si>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</si>
  <si>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</si>
  <si>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</si>
  <si>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</si>
  <si>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</si>
  <si>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</si>
  <si>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</si>
  <si>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</si>
  <si>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</si>
  <si>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</si>
  <si>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</si>
  <si>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</si>
  <si>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</si>
  <si>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</si>
  <si>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</si>
  <si>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</si>
  <si>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</si>
  <si>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</si>
  <si>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</si>
  <si>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</si>
  <si>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</si>
  <si>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</si>
  <si>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</si>
  <si>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</si>
  <si>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</si>
  <si>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</si>
  <si>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</si>
  <si>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</si>
  <si>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</si>
  <si>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</si>
  <si>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</si>
  <si>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</si>
  <si>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</si>
  <si>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</si>
  <si>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</si>
  <si>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</si>
  <si>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</si>
  <si>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</si>
  <si>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</si>
  <si>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</si>
  <si>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</si>
  <si>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</si>
  <si>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</si>
  <si>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</si>
  <si>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</si>
  <si>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</si>
  <si>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</si>
  <si>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</si>
  <si>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QLD HEALTH</t>
  </si>
  <si>
    <t>"CLINICAL WASTE"</t>
  </si>
  <si>
    <t>RUN AT 45 - 50UM</t>
  </si>
  <si>
    <t xml:space="preserve"> +/- 10mm</t>
  </si>
  <si>
    <t>(385+385)</t>
  </si>
  <si>
    <t>12 ROLLS ON BACKORDER 06/04</t>
  </si>
  <si>
    <t>YCW75515R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</si>
</sst>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7" sqref="O7:P7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PBR770G95050YP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43927</v>
      </c>
      <c r="K1" s="136"/>
      <c r="L1" s="137"/>
      <c r="M1" s="34"/>
      <c r="N1" s="12" t="s">
        <v>56</v>
      </c>
      <c r="O1" s="123" t="str">
        <f>B1</f>
        <v>PBR770G95050YP</v>
      </c>
      <c r="P1" s="123"/>
      <c r="Q1" s="124"/>
      <c r="R1" s="12" t="s">
        <v>57</v>
      </c>
      <c r="S1" s="123" t="str">
        <f>F1</f>
        <v>QLD HEALTH</v>
      </c>
      <c r="T1" s="123"/>
      <c r="U1" s="124"/>
      <c r="V1" s="12" t="s">
        <v>181</v>
      </c>
      <c r="W1" s="136">
        <f ca="1">J1</f>
        <v>43927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>YCW75515R</v>
      </c>
      <c r="C2" s="123"/>
      <c r="D2" s="124"/>
      <c r="E2" s="12" t="s">
        <v>58</v>
      </c>
      <c r="F2" s="73">
        <v>936955</v>
      </c>
      <c r="G2" s="73"/>
      <c r="H2" s="74"/>
      <c r="I2" s="12" t="s">
        <v>59</v>
      </c>
      <c r="J2" s="139" t="s">
        <v>192</v>
      </c>
      <c r="K2" s="73"/>
      <c r="L2" s="74"/>
      <c r="M2" s="34"/>
      <c r="N2" s="12" t="s">
        <v>100</v>
      </c>
      <c r="O2" s="123" t="str">
        <f>IF(B2="","",B2)</f>
        <v>YCW75515R</v>
      </c>
      <c r="P2" s="123"/>
      <c r="Q2" s="124"/>
      <c r="R2" s="12" t="s">
        <v>58</v>
      </c>
      <c r="S2" s="123">
        <f>IF(F2="","",F2)</f>
        <v>936955</v>
      </c>
      <c r="T2" s="123"/>
      <c r="U2" s="124"/>
      <c r="V2" s="12" t="s">
        <v>59</v>
      </c>
      <c r="W2" s="138" t="str">
        <f>J2</f>
        <v>ASAP</v>
      </c>
      <c r="X2" s="123"/>
      <c r="Y2" s="124"/>
    </row>
    <row r="3" spans="1:28" ht="20.05" customHeight="1" x14ac:dyDescent="0.3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12 ROLLS ON BACKORDER 06/04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148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25</v>
      </c>
      <c r="P7" s="74"/>
      <c r="Q7" s="12" t="str">
        <f>IF(ISNUMBER(SEARCH("roll",O8,1)),"Per Roll","Per Carton")</f>
        <v>Per Roll</v>
      </c>
      <c r="R7" s="73">
        <v>250</v>
      </c>
      <c r="S7" s="74"/>
      <c r="T7" s="12" t="str">
        <f>IF(ISNUMBER(SEARCH("bag",O8,1)),"Total Bags","Total Sheets")</f>
        <v>Total Bags</v>
      </c>
      <c r="U7" s="123">
        <f>R7*O7</f>
        <v>6250</v>
      </c>
      <c r="V7" s="124"/>
      <c r="W7" s="12" t="s">
        <v>102</v>
      </c>
      <c r="X7" s="73" t="s">
        <v>31</v>
      </c>
      <c r="Y7" s="74"/>
      <c r="AB7" s="14"/>
    </row>
    <row r="8" spans="1:28" ht="20.05" customHeight="1" x14ac:dyDescent="0.3">
      <c r="A8" s="15" t="s">
        <v>16</v>
      </c>
      <c r="B8" s="111">
        <f>R9</f>
        <v>770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(385+385)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8" ht="20.05" customHeight="1" x14ac:dyDescent="0.35">
      <c r="A9" s="18" t="s">
        <v>48</v>
      </c>
      <c r="B9" s="143" t="s">
        <v>197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PBR</v>
      </c>
      <c r="P9" s="118"/>
      <c r="Q9" s="19"/>
      <c r="R9" s="35">
        <v>770</v>
      </c>
      <c r="S9" s="20" t="s">
        <v>78</v>
      </c>
      <c r="T9" s="35">
        <v>950</v>
      </c>
      <c r="U9" s="20" t="s">
        <v>78</v>
      </c>
      <c r="V9" s="35">
        <v>50</v>
      </c>
      <c r="W9" s="19"/>
      <c r="X9" s="99" t="s">
        <v>198</v>
      </c>
      <c r="Y9" s="100"/>
    </row>
    <row r="10" spans="1:28" ht="20.05" customHeight="1" x14ac:dyDescent="0.3">
      <c r="A10" s="12" t="s">
        <v>51</v>
      </c>
      <c r="B10" s="73">
        <v>12</v>
      </c>
      <c r="C10" s="74"/>
      <c r="D10" s="54" t="s">
        <v>134</v>
      </c>
      <c r="E10" s="145">
        <f>IF(ISNUMBER(SEARCH("sheet",O8,1)),((R9*T9*H8/540000)*U7/2000*1.3),((R9*T9*H8/540000)*U7/1000*1.08))</f>
        <v>457.18750000000006</v>
      </c>
      <c r="F10" s="146"/>
      <c r="G10" s="12" t="s">
        <v>53</v>
      </c>
      <c r="H10" s="149">
        <f>IF(ISNUMBER(SEARCH("sheet",O8,1)),(U7*T9/2000*1.08),(U7*T9/1000*1.08))</f>
        <v>6412.5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 t="s">
        <v>200</v>
      </c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38.098958333333336</v>
      </c>
      <c r="F11" s="148"/>
      <c r="G11" s="12" t="s">
        <v>15</v>
      </c>
      <c r="H11" s="147">
        <f>H10/B10</f>
        <v>534.375</v>
      </c>
      <c r="I11" s="148"/>
      <c r="J11" s="12" t="s">
        <v>50</v>
      </c>
      <c r="K11" s="73" t="s">
        <v>65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70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177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/>
      <c r="X13" s="12" t="s">
        <v>76</v>
      </c>
      <c r="Y13" s="37"/>
    </row>
    <row r="14" spans="1:28" ht="20.05" customHeight="1" x14ac:dyDescent="0.35">
      <c r="A14" s="15" t="s">
        <v>60</v>
      </c>
      <c r="B14" s="115" t="s">
        <v>195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/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/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23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/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>YELLOW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43957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43948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4021548-0950-4C41-8910-1F3A74925299}"/>
</file>

<file path=customXml/itemProps2.xml><?xml version="1.0" encoding="utf-8"?>
<ds:datastoreItem xmlns:ds="http://schemas.openxmlformats.org/officeDocument/2006/customXml" ds:itemID="{9CD97FB0-C934-4608-8254-42D5E65AC76D}"/>
</file>

<file path=customXml/itemProps3.xml><?xml version="1.0" encoding="utf-8"?>
<ds:datastoreItem xmlns:ds="http://schemas.openxmlformats.org/officeDocument/2006/customXml" ds:itemID="{6D89C6C9-110B-4597-AFEA-948F5D485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2020-04-02T23:38:27Z</cp:lastPrinted>
  <dcterms:created xsi:type="dcterms:W3CDTF">2019-11-27T23:28:06Z</dcterms:created>
  <dcterms:modified xsi:type="dcterms:W3CDTF">2020-04-05T23:23:13Z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