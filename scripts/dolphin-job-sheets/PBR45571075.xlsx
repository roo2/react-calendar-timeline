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3EB704F-083F-4BAA-AC48-DD6D64D61C93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<sst xmlns="http://schemas.openxmlformats.org/spreadsheetml/2006/main" count="301" uniqueCount="200">
  <si>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</si>
  <si>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</si>
  <si>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</si>
  <si>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</si>
  <si>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</si>
  <si>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</si>
  <si>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</si>
  <si>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</si>
  <si>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</si>
  <si>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</si>
  <si>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</si>
  <si>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</si>
  <si>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</si>
  <si>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</si>
  <si>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</si>
  <si>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</si>
  <si>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</si>
  <si>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</si>
  <si>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</si>
  <si>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</si>
  <si>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</si>
  <si>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</si>
  <si>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</si>
  <si>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</si>
  <si>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</si>
  <si>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</si>
  <si>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</si>
  <si>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</si>
  <si>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</si>
  <si>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</si>
  <si>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</si>
  <si>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</si>
  <si>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</si>
  <si>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</si>
  <si>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</si>
  <si>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</si>
  <si>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</si>
  <si>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</si>
  <si>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</si>
  <si>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</si>
  <si>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</si>
  <si>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</si>
  <si>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</si>
  <si>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</si>
  <si>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</si>
  <si>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</si>
  <si>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</si>
  <si>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</si>
  <si>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</si>
  <si>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</si>
  <si>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</si>
  <si>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</si>
  <si>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</si>
  <si>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</si>
  <si>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</si>
  <si>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</si>
  <si>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</si>
  <si>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</si>
  <si>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</si>
  <si>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</si>
  <si>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</si>
  <si>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</si>
  <si>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</si>
  <si>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</si>
  <si>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</si>
  <si>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</si>
  <si>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</si>
  <si>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</si>
  <si>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</si>
  <si>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</si>
  <si>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</si>
  <si>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</si>
  <si>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</si>
  <si>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</si>
  <si>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</si>
  <si>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</si>
  <si>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</si>
  <si>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</si>
  <si>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</si>
  <si>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</si>
  <si>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</si>
  <si>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</si>
  <si>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</si>
  <si>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</si>
  <si>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</si>
  <si>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</si>
  <si>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</si>
  <si>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</si>
  <si>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</si>
  <si>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</si>
  <si>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</si>
  <si>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</si>
  <si>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</si>
  <si>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</si>
  <si>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</si>
  <si>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</si>
  <si>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</si>
  <si>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</si>
  <si>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</si>
  <si>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</si>
  <si>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</si>
  <si>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</si>
  <si>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</si>
  <si>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</si>
  <si>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</si>
  <si>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</si>
  <si>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</si>
  <si>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</si>
  <si>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</si>
  <si>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</si>
  <si>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</si>
  <si>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</si>
  <si>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</si>
  <si>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</si>
  <si>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</si>
  <si>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</si>
  <si>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</si>
  <si>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</si>
  <si>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</si>
  <si>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</si>
  <si>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</si>
  <si>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</si>
  <si>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</si>
  <si>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</si>
  <si>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</si>
  <si>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</si>
  <si>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</si>
  <si>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</si>
  <si>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</si>
  <si>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</si>
  <si>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</si>
  <si>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</si>
  <si>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</si>
  <si>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</si>
  <si>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</si>
  <si>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</si>
  <si>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</si>
  <si>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</si>
  <si>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</si>
  <si>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</si>
  <si>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</si>
  <si>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</si>
  <si>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</si>
  <si>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</si>
  <si>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</si>
  <si>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</si>
  <si>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</si>
  <si>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</si>
  <si>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</si>
  <si>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</si>
  <si>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</si>
  <si>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</si>
  <si>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</si>
  <si>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</si>
  <si>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</si>
  <si>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</si>
  <si>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</si>
  <si>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</si>
  <si>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</si>
  <si>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</si>
  <si>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</si>
  <si>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</si>
  <si>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</si>
  <si>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</si>
  <si>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</si>
  <si>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</si>
  <si>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</si>
  <si>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</si>
  <si>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</si>
  <si>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</si>
  <si>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</si>
  <si>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</si>
  <si>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</si>
  <si>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</si>
  <si>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</si>
  <si>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</si>
  <si>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</si>
  <si>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</si>
  <si>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</si>
  <si>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</si>
  <si>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</si>
  <si>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</si>
  <si>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</si>
  <si>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</si>
  <si>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</si>
  <si>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</si>
  <si>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</si>
  <si>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</si>
  <si>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</si>
  <si>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</si>
  <si>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</si>
  <si>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</si>
  <si>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</si>
  <si>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</si>
  <si>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</si>
  <si>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</si>
  <si>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CORAL COAST AQUATICS</t>
  </si>
  <si>
    <t>NEW ITEM -MUST ENSURE MATERIAL IS GOOD QUALITY, NO SPLITING AND SEAL MUST BE WATER TIGHT</t>
  </si>
  <si>
    <t>NOT UNDER</t>
  </si>
  <si>
    <t>MUST BE WATER TIGHT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</si>
</sst>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K21" sqref="K21:L21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PBR45571075</v>
      </c>
      <c r="C1" s="108"/>
      <c r="D1" s="109"/>
      <c r="E1" s="18" t="s">
        <v>56</v>
      </c>
      <c r="F1" s="113" t="s">
        <v>196</v>
      </c>
      <c r="G1" s="113"/>
      <c r="H1" s="114"/>
      <c r="I1" s="18" t="s">
        <v>180</v>
      </c>
      <c r="J1" s="110">
        <f ca="1">TODAY()</f>
        <v>44340</v>
      </c>
      <c r="K1" s="110"/>
      <c r="L1" s="111"/>
      <c r="M1" s="35"/>
      <c r="N1" s="18" t="s">
        <v>55</v>
      </c>
      <c r="O1" s="108" t="str">
        <f>B1</f>
        <v>PBR45571075</v>
      </c>
      <c r="P1" s="108"/>
      <c r="Q1" s="109"/>
      <c r="R1" s="18" t="s">
        <v>56</v>
      </c>
      <c r="S1" s="108" t="str">
        <f>F1</f>
        <v>CORAL COAST AQUATICS</v>
      </c>
      <c r="T1" s="108"/>
      <c r="U1" s="109"/>
      <c r="V1" s="18" t="s">
        <v>180</v>
      </c>
      <c r="W1" s="110">
        <f ca="1">J1</f>
        <v>44340</v>
      </c>
      <c r="X1" s="110"/>
      <c r="Y1" s="111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940380</v>
      </c>
      <c r="G2" s="71"/>
      <c r="H2" s="72"/>
      <c r="I2" s="18" t="s">
        <v>58</v>
      </c>
      <c r="J2" s="122">
        <v>44371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940380</v>
      </c>
      <c r="T2" s="108"/>
      <c r="U2" s="109"/>
      <c r="V2" s="18" t="s">
        <v>58</v>
      </c>
      <c r="W2" s="112">
        <f>J2</f>
        <v>44371</v>
      </c>
      <c r="X2" s="108"/>
      <c r="Y2" s="109"/>
    </row>
    <row r="3" spans="1:25" ht="20.100000000000001" customHeight="1" x14ac:dyDescent="0.25">
      <c r="A3" s="157" t="s">
        <v>197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9"/>
      <c r="M3" s="35"/>
      <c r="N3" s="157" t="str">
        <f>A3</f>
        <v>NEW ITEM -MUST ENSURE MATERIAL IS GOOD QUALITY, NO SPLITING AND SEAL MUST BE WATER TIGHT</v>
      </c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9"/>
    </row>
    <row r="4" spans="1:25" ht="20.100000000000001" customHeight="1" x14ac:dyDescent="0.25">
      <c r="A4" s="160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2"/>
      <c r="M4" s="35"/>
      <c r="N4" s="160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2"/>
    </row>
    <row r="5" spans="1:25" ht="20.100000000000001" customHeight="1" x14ac:dyDescent="0.2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5"/>
      <c r="M5" s="35"/>
      <c r="N5" s="163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5"/>
    </row>
    <row r="6" spans="1:25" ht="20.100000000000001" customHeight="1" x14ac:dyDescent="0.25">
      <c r="A6" s="133" t="s">
        <v>1</v>
      </c>
      <c r="B6" s="134"/>
      <c r="C6" s="134"/>
      <c r="D6" s="134"/>
      <c r="E6" s="134"/>
      <c r="F6" s="134"/>
      <c r="G6" s="134"/>
      <c r="H6" s="134"/>
      <c r="I6" s="134"/>
      <c r="J6" s="90"/>
      <c r="K6" s="90"/>
      <c r="L6" s="91"/>
      <c r="M6" s="35"/>
      <c r="N6" s="117" t="s">
        <v>1</v>
      </c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40</v>
      </c>
      <c r="P7" s="72"/>
      <c r="Q7" s="18" t="str">
        <f>IF(ISNUMBER(SEARCH("roll",O8,1)),"Per Roll","Per Carton")</f>
        <v>Per Roll</v>
      </c>
      <c r="R7" s="71">
        <v>250</v>
      </c>
      <c r="S7" s="72"/>
      <c r="T7" s="18" t="str">
        <f>IF(ISNUMBER(SEARCH("bag",O8,1)),"Total Bags","Total Sheets")</f>
        <v>Total Bags</v>
      </c>
      <c r="U7" s="108">
        <f>R7*O7</f>
        <v>10000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0">
        <f>R9</f>
        <v>455</v>
      </c>
      <c r="C8" s="121"/>
      <c r="D8" s="22" t="str">
        <f>IF(ISNUMBER(SEARCH("bag",#REF!,1)),"Gusset","Centrefold")</f>
        <v>Centrefold</v>
      </c>
      <c r="E8" s="120" t="str">
        <f>IF(O8="Centrefold Roll",B8*2,IF(X9="","None",X9))</f>
        <v>None</v>
      </c>
      <c r="F8" s="121"/>
      <c r="G8" s="19" t="s">
        <v>51</v>
      </c>
      <c r="H8" s="120">
        <f>(IF(V9&lt;30,"30",V9))</f>
        <v>75</v>
      </c>
      <c r="I8" s="121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29" t="s">
        <v>164</v>
      </c>
      <c r="P8" s="130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5" t="str">
        <f>IF(AND(W8="Gusset",X9=""), "None",IF(AND(W8="Centrefold",X9=""),"None",IF(W8="Gusset","G",IF(W8="Centrefold","CF"))))</f>
        <v>None</v>
      </c>
      <c r="Y8" s="116"/>
    </row>
    <row r="9" spans="1:25" ht="20.100000000000001" customHeight="1" x14ac:dyDescent="0.3">
      <c r="A9" s="23" t="s">
        <v>47</v>
      </c>
      <c r="B9" s="135" t="s">
        <v>194</v>
      </c>
      <c r="C9" s="136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35" t="s">
        <v>198</v>
      </c>
      <c r="I9" s="136"/>
      <c r="J9" s="18" t="s">
        <v>54</v>
      </c>
      <c r="K9" s="71" t="s">
        <v>33</v>
      </c>
      <c r="L9" s="72"/>
      <c r="M9" s="35"/>
      <c r="N9" s="24"/>
      <c r="O9" s="143" t="str">
        <f>IF(O8="Poly Bag","PB",IF(O8="Poly Bag Roll","PBR",IF(O8="Centrefold Roll","CFR",IF(O8="Sheet","S",IF(O8="Sheet Roll","SR")))))</f>
        <v>PBR</v>
      </c>
      <c r="P9" s="144"/>
      <c r="Q9" s="24"/>
      <c r="R9" s="36">
        <v>455</v>
      </c>
      <c r="S9" s="25" t="s">
        <v>77</v>
      </c>
      <c r="T9" s="36">
        <v>710</v>
      </c>
      <c r="U9" s="25" t="s">
        <v>77</v>
      </c>
      <c r="V9" s="36">
        <v>75</v>
      </c>
      <c r="W9" s="24"/>
      <c r="X9" s="127"/>
      <c r="Y9" s="128"/>
    </row>
    <row r="10" spans="1:25" ht="20.100000000000001" customHeight="1" x14ac:dyDescent="0.25">
      <c r="A10" s="18" t="s">
        <v>50</v>
      </c>
      <c r="B10" s="71">
        <v>14</v>
      </c>
      <c r="C10" s="72"/>
      <c r="D10" s="56" t="s">
        <v>133</v>
      </c>
      <c r="E10" s="137">
        <f>IF(ISNUMBER(SEARCH("sheet",O8,1)),((R9*T9*H8/540000)*U7/2000*1.3),((R9*T9*H8/540000)*U7/1000*1.08))</f>
        <v>484.57500000000005</v>
      </c>
      <c r="F10" s="138"/>
      <c r="G10" s="18" t="s">
        <v>52</v>
      </c>
      <c r="H10" s="141">
        <f>IF(ISNUMBER(SEARCH("sheet",O8,1)),(U7*T9/2000*1.08),(U7*T9/1000*1.08))</f>
        <v>7668.0000000000009</v>
      </c>
      <c r="I10" s="142"/>
      <c r="J10" s="18" t="s">
        <v>40</v>
      </c>
      <c r="K10" s="71" t="s">
        <v>43</v>
      </c>
      <c r="L10" s="72"/>
      <c r="M10" s="35"/>
      <c r="N10" s="26" t="s">
        <v>140</v>
      </c>
      <c r="O10" s="129" t="s">
        <v>43</v>
      </c>
      <c r="P10" s="130"/>
      <c r="Q10" s="20" t="s">
        <v>49</v>
      </c>
      <c r="R10" s="115" t="str">
        <f>IF(K11="NONE","None",IF(K11="INLINE","Yes",IF(K11="OUT OF LINE","Yes")))</f>
        <v>None</v>
      </c>
      <c r="S10" s="115"/>
      <c r="T10" s="20" t="s">
        <v>99</v>
      </c>
      <c r="U10" s="123"/>
      <c r="V10" s="123"/>
      <c r="W10" s="123"/>
      <c r="X10" s="123"/>
      <c r="Y10" s="124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39">
        <f>E10/B10</f>
        <v>34.612500000000004</v>
      </c>
      <c r="F11" s="140"/>
      <c r="G11" s="18" t="s">
        <v>14</v>
      </c>
      <c r="H11" s="139">
        <f>H10/B10</f>
        <v>547.71428571428578</v>
      </c>
      <c r="I11" s="140"/>
      <c r="J11" s="18" t="s">
        <v>49</v>
      </c>
      <c r="K11" s="71" t="s">
        <v>43</v>
      </c>
      <c r="L11" s="72"/>
      <c r="M11" s="35"/>
      <c r="N11" s="19"/>
      <c r="O11" s="120" t="str">
        <f>IF(O10="NONE","","V")</f>
        <v/>
      </c>
      <c r="P11" s="121"/>
      <c r="Q11" s="19"/>
      <c r="R11" s="120" t="str">
        <f>IF(R10="None","","P")</f>
        <v/>
      </c>
      <c r="S11" s="120"/>
      <c r="T11" s="19"/>
      <c r="U11" s="125"/>
      <c r="V11" s="125"/>
      <c r="W11" s="125"/>
      <c r="X11" s="125"/>
      <c r="Y11" s="126"/>
    </row>
    <row r="12" spans="1:25" ht="20.100000000000001" customHeight="1" x14ac:dyDescent="0.25">
      <c r="A12" s="131" t="s">
        <v>12</v>
      </c>
      <c r="B12" s="132"/>
      <c r="C12" s="132"/>
      <c r="D12" s="132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40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135" t="s">
        <v>30</v>
      </c>
      <c r="S16" s="136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55"/>
      <c r="J17" s="156"/>
      <c r="K17" s="155"/>
      <c r="L17" s="156"/>
      <c r="M17" s="35"/>
      <c r="N17" s="18" t="s">
        <v>25</v>
      </c>
      <c r="O17" s="71"/>
      <c r="P17" s="72"/>
      <c r="Q17" s="18" t="s">
        <v>103</v>
      </c>
      <c r="R17" s="135" t="s">
        <v>30</v>
      </c>
      <c r="S17" s="136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55"/>
      <c r="J18" s="156"/>
      <c r="K18" s="155"/>
      <c r="L18" s="156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55"/>
      <c r="J19" s="156"/>
      <c r="K19" s="155"/>
      <c r="L19" s="156"/>
      <c r="M19" s="35"/>
      <c r="N19" s="166" t="s">
        <v>199</v>
      </c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8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55"/>
      <c r="J20" s="156"/>
      <c r="K20" s="155"/>
      <c r="L20" s="156"/>
      <c r="M20" s="35"/>
      <c r="N20" s="169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1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55"/>
      <c r="J21" s="156"/>
      <c r="K21" s="155"/>
      <c r="L21" s="156"/>
      <c r="M21" s="35"/>
      <c r="N21" s="169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1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55"/>
      <c r="J22" s="156"/>
      <c r="K22" s="155"/>
      <c r="L22" s="156"/>
      <c r="M22" s="35"/>
      <c r="N22" s="172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4"/>
    </row>
    <row r="23" spans="1:25" ht="20.100000000000001" customHeight="1" x14ac:dyDescent="0.25">
      <c r="A23" s="148"/>
      <c r="B23" s="148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55"/>
      <c r="J23" s="156"/>
      <c r="K23" s="155"/>
      <c r="L23" s="156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49"/>
      <c r="B24" s="150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55"/>
      <c r="J24" s="156"/>
      <c r="K24" s="155"/>
      <c r="L24" s="156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54"/>
      <c r="H27" s="154"/>
      <c r="I27" s="154"/>
      <c r="J27" s="154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54"/>
      <c r="H28" s="154"/>
      <c r="I28" s="154"/>
      <c r="J28" s="154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51" t="s">
        <v>98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3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45" t="s">
        <v>135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44371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44361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9D96302-700C-4EC3-AFC5-689DA4B09004}"/>
</file>

<file path=customXml/itemProps2.xml><?xml version="1.0" encoding="utf-8"?>
<ds:datastoreItem xmlns:ds="http://schemas.openxmlformats.org/officeDocument/2006/customXml" ds:itemID="{0EB7053E-7ADE-4CA1-ABC8-8AF50DA8A7ED}"/>
</file>

<file path=customXml/itemProps3.xml><?xml version="1.0" encoding="utf-8"?>
<ds:datastoreItem xmlns:ds="http://schemas.openxmlformats.org/officeDocument/2006/customXml" ds:itemID="{4CD80EA6-7003-4EED-89E3-4D835807B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2021-05-24T04:20:29Z</cp:lastPrinted>
  <dcterms:created xsi:type="dcterms:W3CDTF">2019-11-27T23:28:06Z</dcterms:created>
  <dcterms:modified xsi:type="dcterms:W3CDTF">2021-05-24T04:47:14Z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