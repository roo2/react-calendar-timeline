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C25F41B-2B66-40F2-96FC-403B29D1AFA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<sst xmlns="http://schemas.openxmlformats.org/spreadsheetml/2006/main" count="304" uniqueCount="201">
  <si>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</si>
  <si>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</si>
  <si>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</si>
  <si>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</si>
  <si>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</si>
  <si>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</si>
  <si>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</si>
  <si>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</si>
  <si>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</si>
  <si>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</si>
  <si>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</si>
  <si>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</si>
  <si>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</si>
  <si>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</si>
  <si>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</si>
  <si>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</si>
  <si>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</si>
  <si>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</si>
  <si>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</si>
  <si>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</si>
  <si>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</si>
  <si>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</si>
  <si>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</si>
  <si>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</si>
  <si>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</si>
  <si>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</si>
  <si>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</si>
  <si>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</si>
  <si>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</si>
  <si>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</si>
  <si>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</si>
  <si>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</si>
  <si>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</si>
  <si>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</si>
  <si>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</si>
  <si>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</si>
  <si>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</si>
  <si>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</si>
  <si>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</si>
  <si>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</si>
  <si>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</si>
  <si>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</si>
  <si>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</si>
  <si>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</si>
  <si>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</si>
  <si>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</si>
  <si>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</si>
  <si>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</si>
  <si>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</si>
  <si>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</si>
  <si>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</si>
  <si>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</si>
  <si>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</si>
  <si>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</si>
  <si>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</si>
  <si>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</si>
  <si>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</si>
  <si>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</si>
  <si>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</si>
  <si>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</si>
  <si>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</si>
  <si>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</si>
  <si>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</si>
  <si>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</si>
  <si>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</si>
  <si>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</si>
  <si>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</si>
  <si>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</si>
  <si>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</si>
  <si>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</si>
  <si>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</si>
  <si>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</si>
  <si>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</si>
  <si>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</si>
  <si>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</si>
  <si>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</si>
  <si>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</si>
  <si>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</si>
  <si>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</si>
  <si>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</si>
  <si>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</si>
  <si>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</si>
  <si>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</si>
  <si>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</si>
  <si>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</si>
  <si>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</si>
  <si>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</si>
  <si>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</si>
  <si>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</si>
  <si>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</si>
  <si>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</si>
  <si>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</si>
  <si>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</si>
  <si>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</si>
  <si>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</si>
  <si>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</si>
  <si>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</si>
  <si>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</si>
  <si>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</si>
  <si>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</si>
  <si>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</si>
  <si>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</si>
  <si>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</si>
  <si>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</si>
  <si>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</si>
  <si>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</si>
  <si>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</si>
  <si>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</si>
  <si>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</si>
  <si>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</si>
  <si>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</si>
  <si>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</si>
  <si>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</si>
  <si>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</si>
  <si>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</si>
  <si>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</si>
  <si>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</si>
  <si>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</si>
  <si>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</si>
  <si>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</si>
  <si>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</si>
  <si>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</si>
  <si>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</si>
  <si>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</si>
  <si>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</si>
  <si>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</si>
  <si>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</si>
  <si>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</si>
  <si>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</si>
  <si>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</si>
  <si>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</si>
  <si>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</si>
  <si>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</si>
  <si>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</si>
  <si>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</si>
  <si>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</si>
  <si>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</si>
  <si>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</si>
  <si>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</si>
  <si>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</si>
  <si>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</si>
  <si>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</si>
  <si>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</si>
  <si>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</si>
  <si>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</si>
  <si>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</si>
  <si>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</si>
  <si>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</si>
  <si>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</si>
  <si>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</si>
  <si>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</si>
  <si>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</si>
  <si>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</si>
  <si>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</si>
  <si>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</si>
  <si>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</si>
  <si>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</si>
  <si>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</si>
  <si>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</si>
  <si>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</si>
  <si>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</si>
  <si>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</si>
  <si>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</si>
  <si>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</si>
  <si>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</si>
  <si>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</si>
  <si>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</si>
  <si>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</si>
  <si>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</si>
  <si>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</si>
  <si>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</si>
  <si>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</si>
  <si>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</si>
  <si>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</si>
  <si>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</si>
  <si>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</si>
  <si>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</si>
  <si>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</si>
  <si>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</si>
  <si>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</si>
  <si>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</si>
  <si>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</si>
  <si>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</si>
  <si>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</si>
  <si>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</si>
  <si>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</si>
  <si>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</si>
  <si>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</si>
  <si>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</si>
  <si>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</si>
  <si>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</si>
  <si>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</si>
  <si>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</si>
  <si>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</si>
  <si>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(390+300)</t>
  </si>
  <si>
    <t xml:space="preserve"> +/- 5mm</t>
  </si>
  <si>
    <t xml:space="preserve">5KG PRAWN LINER </t>
  </si>
  <si>
    <t>RUN AT 35um</t>
  </si>
  <si>
    <t>DANIEL STREET</t>
  </si>
  <si>
    <t>"DANIEL STREET FISH MARKET "</t>
  </si>
  <si>
    <t>PRINTED -"DANIEL STREET FISH MARKET"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</si>
</sst>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PBR690G46035P</v>
      </c>
      <c r="C1" s="95"/>
      <c r="D1" s="96"/>
      <c r="E1" s="16" t="s">
        <v>56</v>
      </c>
      <c r="F1" s="61" t="s">
        <v>198</v>
      </c>
      <c r="G1" s="61"/>
      <c r="H1" s="62"/>
      <c r="I1" s="16" t="s">
        <v>180</v>
      </c>
      <c r="J1" s="106">
        <f ca="1">TODAY()</f>
        <v>44817</v>
      </c>
      <c r="K1" s="106"/>
      <c r="L1" s="107"/>
      <c r="M1" s="30"/>
      <c r="N1" s="16" t="s">
        <v>55</v>
      </c>
      <c r="O1" s="95" t="str">
        <f>B1</f>
        <v>PBR690G46035P</v>
      </c>
      <c r="P1" s="95"/>
      <c r="Q1" s="96"/>
      <c r="R1" s="16" t="s">
        <v>56</v>
      </c>
      <c r="S1" s="95" t="str">
        <f>F1</f>
        <v>DANIEL STREET</v>
      </c>
      <c r="T1" s="95"/>
      <c r="U1" s="96"/>
      <c r="V1" s="16" t="s">
        <v>180</v>
      </c>
      <c r="W1" s="106">
        <f ca="1">J1</f>
        <v>44817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 xml:space="preserve">5KG PRAWN LINER </v>
      </c>
      <c r="C2" s="95"/>
      <c r="D2" s="96"/>
      <c r="E2" s="16" t="s">
        <v>57</v>
      </c>
      <c r="F2" s="61">
        <v>943857</v>
      </c>
      <c r="G2" s="61"/>
      <c r="H2" s="62"/>
      <c r="I2" s="16" t="s">
        <v>58</v>
      </c>
      <c r="J2" s="116" t="s">
        <v>192</v>
      </c>
      <c r="K2" s="61"/>
      <c r="L2" s="62"/>
      <c r="M2" s="30"/>
      <c r="N2" s="16" t="s">
        <v>99</v>
      </c>
      <c r="O2" s="95" t="str">
        <f>IF(B2="","",B2)</f>
        <v xml:space="preserve">5KG PRAWN LINER </v>
      </c>
      <c r="P2" s="95"/>
      <c r="Q2" s="96"/>
      <c r="R2" s="16" t="s">
        <v>57</v>
      </c>
      <c r="S2" s="95">
        <f>IF(F2="","",F2)</f>
        <v>943857</v>
      </c>
      <c r="T2" s="95"/>
      <c r="U2" s="96"/>
      <c r="V2" s="16" t="s">
        <v>58</v>
      </c>
      <c r="W2" s="108" t="str">
        <f>J2</f>
        <v>ASAP</v>
      </c>
      <c r="X2" s="95"/>
      <c r="Y2" s="96"/>
    </row>
    <row r="3" spans="1:25" ht="20.149999999999999" customHeight="1" x14ac:dyDescent="0.75">
      <c r="A3" s="97" t="s">
        <v>200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PRINTED -"DANIEL STREET FISH MARKET"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3" t="s">
        <v>1</v>
      </c>
      <c r="B6" s="124"/>
      <c r="C6" s="124"/>
      <c r="D6" s="124"/>
      <c r="E6" s="124"/>
      <c r="F6" s="124"/>
      <c r="G6" s="124"/>
      <c r="H6" s="124"/>
      <c r="I6" s="124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20</v>
      </c>
      <c r="P7" s="62"/>
      <c r="Q7" s="16" t="str">
        <f>IF(ISNUMBER(SEARCH("roll",O8,1)),"Per Roll","Per Carton")</f>
        <v>Per Roll</v>
      </c>
      <c r="R7" s="61">
        <v>500</v>
      </c>
      <c r="S7" s="62"/>
      <c r="T7" s="16" t="str">
        <f>IF(ISNUMBER(SEARCH("bag",O8,1)),"Total Bags","Total Sheets")</f>
        <v>Total Bags</v>
      </c>
      <c r="U7" s="95">
        <f>R7*O7</f>
        <v>10000</v>
      </c>
      <c r="V7" s="96"/>
      <c r="W7" s="16" t="s">
        <v>101</v>
      </c>
      <c r="X7" s="61" t="s">
        <v>30</v>
      </c>
      <c r="Y7" s="62"/>
    </row>
    <row r="8" spans="1:25" ht="20.149999999999999" customHeight="1" x14ac:dyDescent="0.8">
      <c r="A8" s="17" t="s">
        <v>15</v>
      </c>
      <c r="B8" s="114">
        <f>R9</f>
        <v>690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(390+300)</v>
      </c>
      <c r="F8" s="115"/>
      <c r="G8" s="17" t="s">
        <v>51</v>
      </c>
      <c r="H8" s="114">
        <f>(IF(V9&lt;30,"30",V9))</f>
        <v>35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19" t="s">
        <v>164</v>
      </c>
      <c r="P8" s="120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1" t="s">
        <v>47</v>
      </c>
      <c r="B9" s="125" t="s">
        <v>195</v>
      </c>
      <c r="C9" s="126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5" t="s">
        <v>197</v>
      </c>
      <c r="I9" s="126"/>
      <c r="J9" s="16" t="s">
        <v>54</v>
      </c>
      <c r="K9" s="61" t="s">
        <v>33</v>
      </c>
      <c r="L9" s="62"/>
      <c r="M9" s="30"/>
      <c r="N9" s="22"/>
      <c r="O9" s="133" t="str">
        <f>IF(O8="Poly Bag","PB",IF(O8="Poly Bag Roll","PBR",IF(O8="Centrefold Roll","CFR",IF(O8="Sheet","S",IF(O8="Sheet Roll","SR")))))</f>
        <v>PBR</v>
      </c>
      <c r="P9" s="134"/>
      <c r="Q9" s="22"/>
      <c r="R9" s="31">
        <v>690</v>
      </c>
      <c r="S9" s="23" t="s">
        <v>77</v>
      </c>
      <c r="T9" s="31">
        <v>460</v>
      </c>
      <c r="U9" s="23" t="s">
        <v>77</v>
      </c>
      <c r="V9" s="31">
        <v>35</v>
      </c>
      <c r="W9" s="22"/>
      <c r="X9" s="117" t="s">
        <v>194</v>
      </c>
      <c r="Y9" s="118"/>
    </row>
    <row r="10" spans="1:25" ht="20.149999999999999" customHeight="1" x14ac:dyDescent="0.8">
      <c r="A10" s="16" t="s">
        <v>50</v>
      </c>
      <c r="B10" s="61">
        <v>6</v>
      </c>
      <c r="C10" s="62"/>
      <c r="D10" s="49" t="s">
        <v>133</v>
      </c>
      <c r="E10" s="127">
        <f>IF(ISNUMBER(SEARCH("sheet",O8,1)),((R9*T9*H8/540000)*U7/2000*1.3),((R9*T9*H8/540000)*U7/1000*1.08))</f>
        <v>222.18000000000004</v>
      </c>
      <c r="F10" s="128"/>
      <c r="G10" s="16" t="s">
        <v>52</v>
      </c>
      <c r="H10" s="131">
        <f>IF(ISNUMBER(SEARCH("sheet",O8,1)),(U7*T9/2000*1.08),(U7*T9/1000*1.08))</f>
        <v>4968</v>
      </c>
      <c r="I10" s="132"/>
      <c r="J10" s="16" t="s">
        <v>40</v>
      </c>
      <c r="K10" s="61" t="s">
        <v>43</v>
      </c>
      <c r="L10" s="62"/>
      <c r="M10" s="30"/>
      <c r="N10" s="18" t="s">
        <v>140</v>
      </c>
      <c r="O10" s="119" t="s">
        <v>43</v>
      </c>
      <c r="P10" s="120"/>
      <c r="Q10" s="18" t="s">
        <v>49</v>
      </c>
      <c r="R10" s="109" t="str">
        <f>IF(K11="NONE","None",IF(K11="INLINE","Yes",IF(K11="OUT OF LINE","Yes")))</f>
        <v>Yes</v>
      </c>
      <c r="S10" s="109"/>
      <c r="T10" s="18" t="s">
        <v>99</v>
      </c>
      <c r="U10" s="98" t="s">
        <v>196</v>
      </c>
      <c r="V10" s="98"/>
      <c r="W10" s="98"/>
      <c r="X10" s="98"/>
      <c r="Y10" s="99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29">
        <f>E10/B10</f>
        <v>37.030000000000008</v>
      </c>
      <c r="F11" s="130"/>
      <c r="G11" s="16" t="s">
        <v>14</v>
      </c>
      <c r="H11" s="129">
        <f>H10/B10</f>
        <v>828</v>
      </c>
      <c r="I11" s="130"/>
      <c r="J11" s="16" t="s">
        <v>49</v>
      </c>
      <c r="K11" s="61" t="s">
        <v>63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>P</v>
      </c>
      <c r="S11" s="114"/>
      <c r="T11" s="17"/>
      <c r="U11" s="104"/>
      <c r="V11" s="104"/>
      <c r="W11" s="104"/>
      <c r="X11" s="104"/>
      <c r="Y11" s="105"/>
    </row>
    <row r="12" spans="1:25" ht="20.149999999999999" customHeight="1" x14ac:dyDescent="0.75">
      <c r="A12" s="121" t="s">
        <v>12</v>
      </c>
      <c r="B12" s="122"/>
      <c r="C12" s="122"/>
      <c r="D12" s="122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68</v>
      </c>
      <c r="C13" s="61"/>
      <c r="D13" s="62"/>
      <c r="E13" s="24" t="s">
        <v>60</v>
      </c>
      <c r="F13" s="61" t="s">
        <v>65</v>
      </c>
      <c r="G13" s="61"/>
      <c r="H13" s="62"/>
      <c r="I13" s="16" t="s">
        <v>61</v>
      </c>
      <c r="J13" s="61" t="s">
        <v>149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20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 t="s">
        <v>199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0"/>
      <c r="J17" s="141"/>
      <c r="K17" s="140"/>
      <c r="L17" s="141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0"/>
      <c r="J18" s="141"/>
      <c r="K18" s="140"/>
      <c r="L18" s="141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0"/>
      <c r="J19" s="141"/>
      <c r="K19" s="140"/>
      <c r="L19" s="141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0"/>
      <c r="J20" s="141"/>
      <c r="K20" s="140"/>
      <c r="L20" s="141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0"/>
      <c r="J21" s="141"/>
      <c r="K21" s="140"/>
      <c r="L21" s="141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0"/>
      <c r="J22" s="141"/>
      <c r="K22" s="140"/>
      <c r="L22" s="141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5"/>
      <c r="B23" s="135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0"/>
      <c r="J23" s="141"/>
      <c r="K23" s="140"/>
      <c r="L23" s="141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36"/>
      <c r="B24" s="137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87</v>
      </c>
      <c r="H24" s="35"/>
      <c r="I24" s="140"/>
      <c r="J24" s="141"/>
      <c r="K24" s="140"/>
      <c r="L24" s="141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39"/>
      <c r="H27" s="139"/>
      <c r="I27" s="139"/>
      <c r="J27" s="139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39"/>
      <c r="H28" s="139"/>
      <c r="I28" s="139"/>
      <c r="J28" s="139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1" t="s">
        <v>98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38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44847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44838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E892FB5-5F04-4972-8E40-7BE2A4E841BA}"/>
</file>

<file path=customXml/itemProps2.xml><?xml version="1.0" encoding="utf-8"?>
<ds:datastoreItem xmlns:ds="http://schemas.openxmlformats.org/officeDocument/2006/customXml" ds:itemID="{0BBF2665-EF47-4E31-9BAD-AE4EAE2159CE}"/>
</file>

<file path=customXml/itemProps3.xml><?xml version="1.0" encoding="utf-8"?>
<ds:datastoreItem xmlns:ds="http://schemas.openxmlformats.org/officeDocument/2006/customXml" ds:itemID="{090EAAC4-24B4-445D-BF1E-E7D31E203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2022-09-13T01:08:05Z</cp:lastPrinted>
  <dcterms:created xsi:type="dcterms:W3CDTF">2019-11-27T23:28:06Z</dcterms:created>
  <dcterms:modified xsi:type="dcterms:W3CDTF">2022-09-13T01:12:25Z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