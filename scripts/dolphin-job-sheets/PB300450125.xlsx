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59788E31-EBA1-4245-B845-FDABBAC9ED0A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l="1"/>
  <c r="H11" i="1" s="1"/>
  <c r="U13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<sst xmlns="http://schemas.openxmlformats.org/spreadsheetml/2006/main" count="303" uniqueCount="199">
  <si>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</si>
  <si>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</si>
  <si>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</si>
  <si>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</si>
  <si>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</si>
  <si>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</si>
  <si>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</si>
  <si>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</si>
  <si>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</si>
  <si>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</si>
  <si>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</si>
  <si>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</si>
  <si>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</si>
  <si>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</si>
  <si>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</si>
  <si>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</si>
  <si>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</si>
  <si>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</si>
  <si>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</si>
  <si>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</si>
  <si>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</si>
  <si>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</si>
  <si>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</si>
  <si>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</si>
  <si>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</si>
  <si>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</si>
  <si>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</si>
  <si>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</si>
  <si>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</si>
  <si>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</si>
  <si>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</si>
  <si>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</si>
  <si>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</si>
  <si>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</si>
  <si>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</si>
  <si>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</si>
  <si>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</si>
  <si>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</si>
  <si>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</si>
  <si>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</si>
  <si>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</si>
  <si>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</si>
  <si>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</si>
  <si>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</si>
  <si>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</si>
  <si>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</si>
  <si>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</si>
  <si>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</si>
  <si>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</si>
  <si>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</si>
  <si>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</si>
  <si>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</si>
  <si>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</si>
  <si>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</si>
  <si>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</si>
  <si>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</si>
  <si>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</si>
  <si>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</si>
  <si>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</si>
  <si>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</si>
  <si>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</si>
  <si>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</si>
  <si>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</si>
  <si>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</si>
  <si>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</si>
  <si>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</si>
  <si>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</si>
  <si>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</si>
  <si>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</si>
  <si>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</si>
  <si>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</si>
  <si>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</si>
  <si>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</si>
  <si>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</si>
  <si>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</si>
  <si>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</si>
  <si>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</si>
  <si>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</si>
  <si>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</si>
  <si>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</si>
  <si>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</si>
  <si>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</si>
  <si>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</si>
  <si>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</si>
  <si>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</si>
  <si>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</si>
  <si>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</si>
  <si>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</si>
  <si>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</si>
  <si>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</si>
  <si>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</si>
  <si>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</si>
  <si>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</si>
  <si>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</si>
  <si>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</si>
  <si>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</si>
  <si>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</si>
  <si>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</si>
  <si>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</si>
  <si>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</si>
  <si>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</si>
  <si>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</si>
  <si>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</si>
  <si>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</si>
  <si>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</si>
  <si>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</si>
  <si>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</si>
  <si>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</si>
  <si>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</si>
  <si>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</si>
  <si>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</si>
  <si>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</si>
  <si>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</si>
  <si>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</si>
  <si>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</si>
  <si>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</si>
  <si>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</si>
  <si>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</si>
  <si>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</si>
  <si>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</si>
  <si>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</si>
  <si>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</si>
  <si>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</si>
  <si>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</si>
  <si>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</si>
  <si>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</si>
  <si>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</si>
  <si>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</si>
  <si>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</si>
  <si>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</si>
  <si>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</si>
  <si>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</si>
  <si>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</si>
  <si>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</si>
  <si>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</si>
  <si>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</si>
  <si>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</si>
  <si>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</si>
  <si>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</si>
  <si>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</si>
  <si>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</si>
  <si>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</si>
  <si>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</si>
  <si>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</si>
  <si>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</si>
  <si>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</si>
  <si>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</si>
  <si>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</si>
  <si>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</si>
  <si>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</si>
  <si>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</si>
  <si>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</si>
  <si>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</si>
  <si>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</si>
  <si>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</si>
  <si>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</si>
  <si>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</si>
  <si>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</si>
  <si>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</si>
  <si>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</si>
  <si>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</si>
  <si>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</si>
  <si>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</si>
  <si>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</si>
  <si>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</si>
  <si>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</si>
  <si>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</si>
  <si>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</si>
  <si>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</si>
  <si>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</si>
  <si>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</si>
  <si>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</si>
  <si>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</si>
  <si>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</si>
  <si>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</si>
  <si>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</si>
  <si>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</si>
  <si>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</si>
  <si>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</si>
  <si>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</si>
  <si>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</si>
  <si>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</si>
  <si>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</si>
  <si>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</si>
  <si>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</si>
  <si>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</si>
  <si>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</si>
  <si>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</si>
  <si>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</si>
  <si>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</si>
  <si>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</si>
  <si>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</si>
  <si>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</si>
  <si>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</si>
  <si>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</si>
  <si>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BLACKWOODS</t>
  </si>
  <si>
    <t>RUN AT 120um</t>
  </si>
  <si>
    <t>NEW ITEM</t>
  </si>
  <si>
    <t>937601-03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</si>
</sst>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8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7" xfId="0" applyFont="1" applyBorder="1" applyAlignment="1" applyProtection="1">
      <alignment horizontal="center" vertical="top"/>
      <protection locked="0"/>
    </xf>
    <xf numFmtId="0" fontId="13" fillId="0" borderId="3" xfId="0" applyFont="1" applyBorder="1" applyAlignment="1" applyProtection="1">
      <alignment horizontal="center" vertical="top"/>
      <protection locked="0"/>
    </xf>
    <xf numFmtId="0" fontId="13" fillId="0" borderId="8" xfId="0" applyFont="1" applyBorder="1" applyAlignment="1" applyProtection="1">
      <alignment horizontal="center" vertical="top"/>
      <protection locked="0"/>
    </xf>
    <xf numFmtId="0" fontId="13" fillId="0" borderId="9" xfId="0" applyFont="1" applyBorder="1" applyAlignment="1" applyProtection="1">
      <alignment horizontal="center" vertical="top"/>
      <protection locked="0"/>
    </xf>
    <xf numFmtId="0" fontId="13" fillId="0" borderId="0" xfId="0" applyFont="1" applyBorder="1" applyAlignment="1" applyProtection="1">
      <alignment horizontal="center" vertical="top"/>
      <protection locked="0"/>
    </xf>
    <xf numFmtId="0" fontId="13" fillId="0" borderId="10" xfId="0" applyFont="1" applyBorder="1" applyAlignment="1" applyProtection="1">
      <alignment horizontal="center" vertical="top"/>
      <protection locked="0"/>
    </xf>
    <xf numFmtId="0" fontId="13" fillId="0" borderId="11" xfId="0" applyFont="1" applyBorder="1" applyAlignment="1" applyProtection="1">
      <alignment horizontal="center" vertical="top"/>
      <protection locked="0"/>
    </xf>
    <xf numFmtId="0" fontId="13" fillId="0" borderId="1" xfId="0" applyFont="1" applyBorder="1" applyAlignment="1" applyProtection="1">
      <alignment horizontal="center" vertical="top"/>
      <protection locked="0"/>
    </xf>
    <xf numFmtId="0" fontId="13" fillId="0" borderId="12" xfId="0" applyFont="1" applyBorder="1" applyAlignment="1" applyProtection="1">
      <alignment horizontal="center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A3" sqref="A3:L5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3" t="str">
        <f>O9&amp;R9&amp;IF(X8="G","G","")&amp;IF(O8="Centrefold Roll","("&amp;E8&amp;")","")&amp;T9&amp;V9&amp;C22&amp;C23&amp;C24&amp;O11&amp;R11</f>
        <v>PB300450120</v>
      </c>
      <c r="C1" s="123"/>
      <c r="D1" s="124"/>
      <c r="E1" s="12" t="s">
        <v>57</v>
      </c>
      <c r="F1" s="134" t="s">
        <v>195</v>
      </c>
      <c r="G1" s="134"/>
      <c r="H1" s="135"/>
      <c r="I1" s="13" t="s">
        <v>181</v>
      </c>
      <c r="J1" s="136">
        <f ca="1">TODAY()</f>
        <v>44007</v>
      </c>
      <c r="K1" s="136"/>
      <c r="L1" s="137"/>
      <c r="M1" s="34"/>
      <c r="N1" s="12" t="s">
        <v>56</v>
      </c>
      <c r="O1" s="123" t="str">
        <f>B1</f>
        <v>PB300450120</v>
      </c>
      <c r="P1" s="123"/>
      <c r="Q1" s="124"/>
      <c r="R1" s="12" t="s">
        <v>57</v>
      </c>
      <c r="S1" s="123" t="str">
        <f>F1</f>
        <v>BLACKWOODS</v>
      </c>
      <c r="T1" s="123"/>
      <c r="U1" s="124"/>
      <c r="V1" s="12" t="s">
        <v>181</v>
      </c>
      <c r="W1" s="136">
        <f ca="1">J1</f>
        <v>44007</v>
      </c>
      <c r="X1" s="136"/>
      <c r="Y1" s="137"/>
    </row>
    <row r="2" spans="1:28" ht="20.100000000000001" customHeight="1" x14ac:dyDescent="0.25">
      <c r="A2" s="12" t="s">
        <v>100</v>
      </c>
      <c r="B2" s="123" t="str">
        <f>IF(U10="","",U10)</f>
        <v/>
      </c>
      <c r="C2" s="123"/>
      <c r="D2" s="124"/>
      <c r="E2" s="12" t="s">
        <v>58</v>
      </c>
      <c r="F2" s="73" t="s">
        <v>198</v>
      </c>
      <c r="G2" s="73"/>
      <c r="H2" s="74"/>
      <c r="I2" s="12" t="s">
        <v>59</v>
      </c>
      <c r="J2" s="139">
        <v>44026</v>
      </c>
      <c r="K2" s="73"/>
      <c r="L2" s="74"/>
      <c r="M2" s="34"/>
      <c r="N2" s="12" t="s">
        <v>100</v>
      </c>
      <c r="O2" s="123" t="str">
        <f>IF(B2="","",B2)</f>
        <v/>
      </c>
      <c r="P2" s="123"/>
      <c r="Q2" s="124"/>
      <c r="R2" s="12" t="s">
        <v>58</v>
      </c>
      <c r="S2" s="123" t="str">
        <f>IF(F2="","",F2)</f>
        <v>937601-03</v>
      </c>
      <c r="T2" s="123"/>
      <c r="U2" s="124"/>
      <c r="V2" s="12" t="s">
        <v>59</v>
      </c>
      <c r="W2" s="138">
        <f>J2</f>
        <v>44026</v>
      </c>
      <c r="X2" s="123"/>
      <c r="Y2" s="124"/>
    </row>
    <row r="3" spans="1:28" ht="20.100000000000001" customHeight="1" x14ac:dyDescent="0.25">
      <c r="A3" s="125" t="s">
        <v>197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4"/>
      <c r="N3" s="125" t="str">
        <f>A3</f>
        <v>NEW ITEM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8" ht="20.100000000000001" customHeight="1" x14ac:dyDescent="0.2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4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8" ht="20.100000000000001" customHeight="1" x14ac:dyDescent="0.2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4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8" ht="20.100000000000001" customHeight="1" x14ac:dyDescent="0.25">
      <c r="A6" s="141" t="s">
        <v>2</v>
      </c>
      <c r="B6" s="142"/>
      <c r="C6" s="142"/>
      <c r="D6" s="142"/>
      <c r="E6" s="142"/>
      <c r="F6" s="142"/>
      <c r="G6" s="142"/>
      <c r="H6" s="142"/>
      <c r="I6" s="142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100000000000001" customHeight="1" x14ac:dyDescent="0.3">
      <c r="A7" s="12" t="s">
        <v>49</v>
      </c>
      <c r="B7" s="115" t="s">
        <v>163</v>
      </c>
      <c r="C7" s="115"/>
      <c r="D7" s="115"/>
      <c r="E7" s="115"/>
      <c r="F7" s="115"/>
      <c r="G7" s="115"/>
      <c r="H7" s="115"/>
      <c r="I7" s="116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200</v>
      </c>
      <c r="P7" s="74"/>
      <c r="Q7" s="12" t="str">
        <f>IF(ISNUMBER(SEARCH("roll",O8,1)),"Per Roll","Per Carton")</f>
        <v>Per Carton</v>
      </c>
      <c r="R7" s="73">
        <v>500</v>
      </c>
      <c r="S7" s="74"/>
      <c r="T7" s="12" t="str">
        <f>IF(ISNUMBER(SEARCH("bag",O8,1)),"Total Bags","Total Sheets")</f>
        <v>Total Bags</v>
      </c>
      <c r="U7" s="123">
        <f>R7*O7</f>
        <v>100000</v>
      </c>
      <c r="V7" s="124"/>
      <c r="W7" s="12" t="s">
        <v>102</v>
      </c>
      <c r="X7" s="73" t="s">
        <v>31</v>
      </c>
      <c r="Y7" s="74"/>
      <c r="AB7" s="14"/>
    </row>
    <row r="8" spans="1:28" ht="20.100000000000001" customHeight="1" x14ac:dyDescent="0.25">
      <c r="A8" s="15" t="s">
        <v>16</v>
      </c>
      <c r="B8" s="111">
        <f>R9</f>
        <v>300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None</v>
      </c>
      <c r="F8" s="112"/>
      <c r="G8" s="15" t="s">
        <v>52</v>
      </c>
      <c r="H8" s="111">
        <f>(IF(V9&lt;30,"30",V9))</f>
        <v>120</v>
      </c>
      <c r="I8" s="112"/>
      <c r="J8" s="12" t="s">
        <v>54</v>
      </c>
      <c r="K8" s="123" t="str">
        <f>IF(X8="None","Layflat Tube",IF(X8="","Layflat Tube",IF(X8="CF","Layflat Tube",IF(X8="G","Gusset Tube",IF(X9="","Layflat Tube",)))))</f>
        <v>Layflat Tube</v>
      </c>
      <c r="L8" s="124"/>
      <c r="M8" s="34"/>
      <c r="N8" s="16" t="s">
        <v>54</v>
      </c>
      <c r="O8" s="113" t="s">
        <v>164</v>
      </c>
      <c r="P8" s="11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8" ht="20.100000000000001" customHeight="1" x14ac:dyDescent="0.3">
      <c r="A9" s="18" t="s">
        <v>48</v>
      </c>
      <c r="B9" s="143" t="s">
        <v>193</v>
      </c>
      <c r="C9" s="144"/>
      <c r="D9" s="151" t="str">
        <f>IF(K10="Middle","RUN 2 UP",IF(AND(O8="Centrefold Roll",B8=380),"RUN 2 UP",""))</f>
        <v/>
      </c>
      <c r="E9" s="115"/>
      <c r="F9" s="116"/>
      <c r="G9" s="18" t="s">
        <v>48</v>
      </c>
      <c r="H9" s="143" t="s">
        <v>196</v>
      </c>
      <c r="I9" s="144"/>
      <c r="J9" s="12" t="s">
        <v>55</v>
      </c>
      <c r="K9" s="73" t="s">
        <v>30</v>
      </c>
      <c r="L9" s="74"/>
      <c r="M9" s="34"/>
      <c r="N9" s="19"/>
      <c r="O9" s="117" t="str">
        <f>IF(O8="Poly Bag","PB",IF(O8="Poly Bag Roll","PBR",IF(O8="Centrefold Roll","CFR",IF(O8="Sheet","S",IF(O8="Sheet Roll","SR")))))</f>
        <v>PB</v>
      </c>
      <c r="P9" s="118"/>
      <c r="Q9" s="19"/>
      <c r="R9" s="35">
        <v>300</v>
      </c>
      <c r="S9" s="20" t="s">
        <v>78</v>
      </c>
      <c r="T9" s="35">
        <v>450</v>
      </c>
      <c r="U9" s="20" t="s">
        <v>78</v>
      </c>
      <c r="V9" s="35">
        <v>120</v>
      </c>
      <c r="W9" s="19"/>
      <c r="X9" s="99"/>
      <c r="Y9" s="100"/>
    </row>
    <row r="10" spans="1:28" ht="20.100000000000001" customHeight="1" x14ac:dyDescent="0.25">
      <c r="A10" s="12" t="s">
        <v>51</v>
      </c>
      <c r="B10" s="73">
        <v>130</v>
      </c>
      <c r="C10" s="74"/>
      <c r="D10" s="54" t="s">
        <v>134</v>
      </c>
      <c r="E10" s="145">
        <f>IF(ISNUMBER(SEARCH("sheet",O8,1)),((R9*T9*H8/540000)*U7/2000*1.3),((R9*T9*H8/540000)*U7/1000*1.08))</f>
        <v>3240</v>
      </c>
      <c r="F10" s="146"/>
      <c r="G10" s="12" t="s">
        <v>53</v>
      </c>
      <c r="H10" s="149">
        <f>IF(ISNUMBER(SEARCH("sheet",O8,1)),(U7*T9/2000*1.08),(U7*T9/1000*1.08))</f>
        <v>48600</v>
      </c>
      <c r="I10" s="150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44</v>
      </c>
      <c r="P10" s="114"/>
      <c r="Q10" s="16" t="s">
        <v>50</v>
      </c>
      <c r="R10" s="109" t="str">
        <f>IF(K11="NONE","None",IF(K11="INLINE","Yes",IF(K11="OUT OF LINE","Yes")))</f>
        <v>None</v>
      </c>
      <c r="S10" s="109"/>
      <c r="T10" s="16" t="s">
        <v>100</v>
      </c>
      <c r="U10" s="119"/>
      <c r="V10" s="119"/>
      <c r="W10" s="119"/>
      <c r="X10" s="119"/>
      <c r="Y10" s="120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47">
        <f>E10/B10</f>
        <v>24.923076923076923</v>
      </c>
      <c r="F11" s="148"/>
      <c r="G11" s="12" t="s">
        <v>15</v>
      </c>
      <c r="H11" s="147">
        <f>H10/B10</f>
        <v>373.84615384615387</v>
      </c>
      <c r="I11" s="148"/>
      <c r="J11" s="12" t="s">
        <v>50</v>
      </c>
      <c r="K11" s="73" t="s">
        <v>44</v>
      </c>
      <c r="L11" s="74"/>
      <c r="M11" s="34"/>
      <c r="N11" s="15"/>
      <c r="O11" s="111" t="str">
        <f>IF(O10="NONE","","V")</f>
        <v/>
      </c>
      <c r="P11" s="112"/>
      <c r="Q11" s="15"/>
      <c r="R11" s="111" t="str">
        <f>IF(R10="None","","P")</f>
        <v/>
      </c>
      <c r="S11" s="112"/>
      <c r="T11" s="15"/>
      <c r="U11" s="121"/>
      <c r="V11" s="121"/>
      <c r="W11" s="121"/>
      <c r="X11" s="121"/>
      <c r="Y11" s="122"/>
    </row>
    <row r="12" spans="1:28" ht="20.100000000000001" customHeight="1" x14ac:dyDescent="0.25">
      <c r="A12" s="140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100000000000001" customHeight="1" x14ac:dyDescent="0.25">
      <c r="A13" s="12" t="s">
        <v>68</v>
      </c>
      <c r="B13" s="73" t="s">
        <v>44</v>
      </c>
      <c r="C13" s="73"/>
      <c r="D13" s="74"/>
      <c r="E13" s="22" t="s">
        <v>61</v>
      </c>
      <c r="F13" s="73" t="s">
        <v>44</v>
      </c>
      <c r="G13" s="73"/>
      <c r="H13" s="74"/>
      <c r="I13" s="23" t="s">
        <v>62</v>
      </c>
      <c r="J13" s="73" t="s">
        <v>44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200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>
        <v>100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100000000000001" customHeight="1" x14ac:dyDescent="0.25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100000000000001" customHeight="1" x14ac:dyDescent="0.25">
      <c r="A16" s="77" t="s">
        <v>3</v>
      </c>
      <c r="B16" s="79"/>
      <c r="C16" s="77" t="s">
        <v>142</v>
      </c>
      <c r="D16" s="79"/>
      <c r="E16" s="164" t="s">
        <v>4</v>
      </c>
      <c r="F16" s="164"/>
      <c r="G16" s="164" t="s">
        <v>5</v>
      </c>
      <c r="H16" s="164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 t="s">
        <v>38</v>
      </c>
      <c r="P16" s="74"/>
      <c r="Q16" s="12" t="s">
        <v>105</v>
      </c>
      <c r="R16" s="73" t="s">
        <v>23</v>
      </c>
      <c r="S16" s="74"/>
      <c r="T16" s="13" t="s">
        <v>103</v>
      </c>
      <c r="U16" s="73" t="s">
        <v>23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100000000000001" customHeight="1" x14ac:dyDescent="0.25">
      <c r="A17" s="72" t="s">
        <v>6</v>
      </c>
      <c r="B17" s="72"/>
      <c r="C17" s="107" t="s">
        <v>147</v>
      </c>
      <c r="D17" s="108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35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Ctns</v>
      </c>
      <c r="U17" s="73" t="s">
        <v>23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100000000000001" customHeight="1" x14ac:dyDescent="0.25">
      <c r="A18" s="72" t="s">
        <v>7</v>
      </c>
      <c r="B18" s="72"/>
      <c r="C18" s="107" t="s">
        <v>146</v>
      </c>
      <c r="D18" s="108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38</v>
      </c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100000000000001" customHeight="1" x14ac:dyDescent="0.25">
      <c r="A19" s="72" t="s">
        <v>8</v>
      </c>
      <c r="B19" s="72"/>
      <c r="C19" s="107" t="s">
        <v>145</v>
      </c>
      <c r="D19" s="108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100000000000001" customHeight="1" x14ac:dyDescent="0.25">
      <c r="A20" s="72" t="s">
        <v>9</v>
      </c>
      <c r="B20" s="72"/>
      <c r="C20" s="107" t="s">
        <v>144</v>
      </c>
      <c r="D20" s="108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100000000000001" customHeight="1" x14ac:dyDescent="0.25">
      <c r="A21" s="72" t="s">
        <v>10</v>
      </c>
      <c r="B21" s="72"/>
      <c r="C21" s="107" t="s">
        <v>143</v>
      </c>
      <c r="D21" s="108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100000000000001" customHeight="1" x14ac:dyDescent="0.25">
      <c r="A22" s="72" t="str">
        <f>(IF(B7="NATURAL","",B7))</f>
        <v/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08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100000000000001" customHeight="1" x14ac:dyDescent="0.25">
      <c r="A23" s="165"/>
      <c r="B23" s="165"/>
      <c r="C23" s="10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8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100000000000001" customHeight="1" x14ac:dyDescent="0.25">
      <c r="A24" s="166"/>
      <c r="B24" s="167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152" t="s">
        <v>116</v>
      </c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4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7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158"/>
      <c r="B35" s="159"/>
      <c r="C35" s="159"/>
      <c r="D35" s="159"/>
      <c r="E35" s="159"/>
      <c r="F35" s="159"/>
      <c r="G35" s="159"/>
      <c r="H35" s="159"/>
      <c r="I35" s="159"/>
      <c r="J35" s="159"/>
      <c r="K35" s="159"/>
      <c r="L35" s="160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61" t="s">
        <v>136</v>
      </c>
      <c r="B36" s="162"/>
      <c r="C36" s="162"/>
      <c r="D36" s="162"/>
      <c r="E36" s="162"/>
      <c r="F36" s="162"/>
      <c r="G36" s="162"/>
      <c r="H36" s="162"/>
      <c r="I36" s="162"/>
      <c r="J36" s="162"/>
      <c r="K36" s="162"/>
      <c r="L36" s="163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44037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44028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194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9A3C1724-1AAB-45A9-8BAE-7A922CA56012}"/>
</file>

<file path=customXml/itemProps2.xml><?xml version="1.0" encoding="utf-8"?>
<ds:datastoreItem xmlns:ds="http://schemas.openxmlformats.org/officeDocument/2006/customXml" ds:itemID="{856C42ED-F1DB-4610-812A-1A279A6AD5BC}"/>
</file>

<file path=customXml/itemProps3.xml><?xml version="1.0" encoding="utf-8"?>
<ds:datastoreItem xmlns:ds="http://schemas.openxmlformats.org/officeDocument/2006/customXml" ds:itemID="{CEE69A85-58A0-4797-BB72-01DB30E57D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</cp:lastModifiedBy>
  <cp:lastPrinted>2020-06-24T23:51:02Z</cp:lastPrinted>
  <dcterms:created xsi:type="dcterms:W3CDTF">2019-11-27T23:28:06Z</dcterms:created>
  <dcterms:modified xsi:type="dcterms:W3CDTF">2020-06-24T23:52:50Z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