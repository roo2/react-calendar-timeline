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934DFFBD-C947-4AD7-B0AE-6EEA398F99FF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<sst xmlns="http://schemas.openxmlformats.org/spreadsheetml/2006/main" count="305" uniqueCount="200">
  <si>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</si>
  <si>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</si>
  <si>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</si>
  <si>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</si>
  <si>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</si>
  <si>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</si>
  <si>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</si>
  <si>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</si>
  <si>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</si>
  <si>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</si>
  <si>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</si>
  <si>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</si>
  <si>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</si>
  <si>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</si>
  <si>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</si>
  <si>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</si>
  <si>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</si>
  <si>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</si>
  <si>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</si>
  <si>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</si>
  <si>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</si>
  <si>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</si>
  <si>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</si>
  <si>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</si>
  <si>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</si>
  <si>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</si>
  <si>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</si>
  <si>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</si>
  <si>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</si>
  <si>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</si>
  <si>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</si>
  <si>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</si>
  <si>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</si>
  <si>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</si>
  <si>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</si>
  <si>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</si>
  <si>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</si>
  <si>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</si>
  <si>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</si>
  <si>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</si>
  <si>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</si>
  <si>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</si>
  <si>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</si>
  <si>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</si>
  <si>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</si>
  <si>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</si>
  <si>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</si>
  <si>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</si>
  <si>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</si>
  <si>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</si>
  <si>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</si>
  <si>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</si>
  <si>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</si>
  <si>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</si>
  <si>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</si>
  <si>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</si>
  <si>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</si>
  <si>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</si>
  <si>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</si>
  <si>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</si>
  <si>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</si>
  <si>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</si>
  <si>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</si>
  <si>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</si>
  <si>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</si>
  <si>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</si>
  <si>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</si>
  <si>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</si>
  <si>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</si>
  <si>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</si>
  <si>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</si>
  <si>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</si>
  <si>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</si>
  <si>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</si>
  <si>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</si>
  <si>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</si>
  <si>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</si>
  <si>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</si>
  <si>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</si>
  <si>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</si>
  <si>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</si>
  <si>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</si>
  <si>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</si>
  <si>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</si>
  <si>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</si>
  <si>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</si>
  <si>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</si>
  <si>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</si>
  <si>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</si>
  <si>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</si>
  <si>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</si>
  <si>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</si>
  <si>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</si>
  <si>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</si>
  <si>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</si>
  <si>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</si>
  <si>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</si>
  <si>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</si>
  <si>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</si>
  <si>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</si>
  <si>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</si>
  <si>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</si>
  <si>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</si>
  <si>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</si>
  <si>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</si>
  <si>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</si>
  <si>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</si>
  <si>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</si>
  <si>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</si>
  <si>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</si>
  <si>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</si>
  <si>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</si>
  <si>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</si>
  <si>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</si>
  <si>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</si>
  <si>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</si>
  <si>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</si>
  <si>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</si>
  <si>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</si>
  <si>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</si>
  <si>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</si>
  <si>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</si>
  <si>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</si>
  <si>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</si>
  <si>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</si>
  <si>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</si>
  <si>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</si>
  <si>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</si>
  <si>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</si>
  <si>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</si>
  <si>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</si>
  <si>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</si>
  <si>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</si>
  <si>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</si>
  <si>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</si>
  <si>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</si>
  <si>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</si>
  <si>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</si>
  <si>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</si>
  <si>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</si>
  <si>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</si>
  <si>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</si>
  <si>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</si>
  <si>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</si>
  <si>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</si>
  <si>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</si>
  <si>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</si>
  <si>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</si>
  <si>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</si>
  <si>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</si>
  <si>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</si>
  <si>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</si>
  <si>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</si>
  <si>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</si>
  <si>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</si>
  <si>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</si>
  <si>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</si>
  <si>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</si>
  <si>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</si>
  <si>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</si>
  <si>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</si>
  <si>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</si>
  <si>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</si>
  <si>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</si>
  <si>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</si>
  <si>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</si>
  <si>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</si>
  <si>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</si>
  <si>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</si>
  <si>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</si>
  <si>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</si>
  <si>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</si>
  <si>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</si>
  <si>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</si>
  <si>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</si>
  <si>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</si>
  <si>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</si>
  <si>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</si>
  <si>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</si>
  <si>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</si>
  <si>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</si>
  <si>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</si>
  <si>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</si>
  <si>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</si>
  <si>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</si>
  <si>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</si>
  <si>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</si>
  <si>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</si>
  <si>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</si>
  <si>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</si>
  <si>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</si>
  <si>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</si>
  <si>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</si>
  <si>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</si>
  <si>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</si>
  <si>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 xml:space="preserve"> +/- 5um</t>
  </si>
  <si>
    <t>RED AND BLACK PRINT "TOTALLY WORKWEAR"</t>
  </si>
  <si>
    <t>TOTALLY WORKWEAR</t>
  </si>
  <si>
    <t>BOUTIQUE BAG</t>
  </si>
  <si>
    <t>NEW ITEM - TREAT BOTH SIDES - DIE CUT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</si>
</sst>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0" sqref="B10:C10"/>
    </sheetView>
  </sheetViews>
  <sheetFormatPr defaultRowHeight="15.05" x14ac:dyDescent="0.3"/>
  <sheetData>
    <row r="1" spans="1:28" ht="20.05" customHeight="1" x14ac:dyDescent="0.3">
      <c r="A1" s="12" t="s">
        <v>56</v>
      </c>
      <c r="B1" s="122" t="str">
        <f>O9&amp;R9&amp;IF(X8="G","G","")&amp;IF(O8="Centrefold Roll","("&amp;E8&amp;")","")&amp;T9&amp;V9&amp;C22&amp;C23&amp;C24&amp;O11&amp;R11</f>
        <v>PB50060050WHP</v>
      </c>
      <c r="C1" s="122"/>
      <c r="D1" s="123"/>
      <c r="E1" s="12" t="s">
        <v>57</v>
      </c>
      <c r="F1" s="133" t="s">
        <v>197</v>
      </c>
      <c r="G1" s="134"/>
      <c r="H1" s="135"/>
      <c r="I1" s="13" t="s">
        <v>181</v>
      </c>
      <c r="J1" s="95">
        <f ca="1">TODAY()</f>
        <v>44005</v>
      </c>
      <c r="K1" s="95"/>
      <c r="L1" s="96"/>
      <c r="M1" s="34"/>
      <c r="N1" s="12" t="s">
        <v>56</v>
      </c>
      <c r="O1" s="122" t="str">
        <f>B1</f>
        <v>PB50060050WHP</v>
      </c>
      <c r="P1" s="122"/>
      <c r="Q1" s="123"/>
      <c r="R1" s="12" t="s">
        <v>57</v>
      </c>
      <c r="S1" s="122" t="str">
        <f>F1</f>
        <v>TOTALLY WORKWEAR</v>
      </c>
      <c r="T1" s="122"/>
      <c r="U1" s="123"/>
      <c r="V1" s="12" t="s">
        <v>181</v>
      </c>
      <c r="W1" s="95">
        <f ca="1">J1</f>
        <v>44005</v>
      </c>
      <c r="X1" s="95"/>
      <c r="Y1" s="96"/>
    </row>
    <row r="2" spans="1:28" ht="20.05" customHeight="1" x14ac:dyDescent="0.3">
      <c r="A2" s="12" t="s">
        <v>100</v>
      </c>
      <c r="B2" s="122" t="str">
        <f>IF(U10="","",U10)</f>
        <v>BOUTIQUE BAG</v>
      </c>
      <c r="C2" s="122"/>
      <c r="D2" s="123"/>
      <c r="E2" s="12" t="s">
        <v>58</v>
      </c>
      <c r="F2" s="98">
        <v>937556</v>
      </c>
      <c r="G2" s="98"/>
      <c r="H2" s="99"/>
      <c r="I2" s="12" t="s">
        <v>59</v>
      </c>
      <c r="J2" s="97">
        <v>44031</v>
      </c>
      <c r="K2" s="98"/>
      <c r="L2" s="99"/>
      <c r="M2" s="34"/>
      <c r="N2" s="12" t="s">
        <v>100</v>
      </c>
      <c r="O2" s="122" t="str">
        <f>IF(B2="","",B2)</f>
        <v>BOUTIQUE BAG</v>
      </c>
      <c r="P2" s="122"/>
      <c r="Q2" s="123"/>
      <c r="R2" s="12" t="s">
        <v>58</v>
      </c>
      <c r="S2" s="122">
        <f>IF(F2="","",F2)</f>
        <v>937556</v>
      </c>
      <c r="T2" s="122"/>
      <c r="U2" s="123"/>
      <c r="V2" s="12" t="s">
        <v>59</v>
      </c>
      <c r="W2" s="136">
        <f>J2</f>
        <v>44031</v>
      </c>
      <c r="X2" s="122"/>
      <c r="Y2" s="123"/>
    </row>
    <row r="3" spans="1:28" ht="20.05" customHeight="1" x14ac:dyDescent="0.3">
      <c r="A3" s="124" t="s">
        <v>199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NEW ITEM - TREAT BOTH SIDES - DIE CUT HANDLE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05" customHeight="1" x14ac:dyDescent="0.3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05" customHeight="1" x14ac:dyDescent="0.3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05" customHeight="1" x14ac:dyDescent="0.3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05" customHeight="1" x14ac:dyDescent="0.35">
      <c r="A7" s="12" t="s">
        <v>49</v>
      </c>
      <c r="B7" s="119" t="s">
        <v>155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32</v>
      </c>
      <c r="P7" s="99"/>
      <c r="Q7" s="12" t="str">
        <f>IF(ISNUMBER(SEARCH("roll",O8,1)),"Per Roll","Per Carton")</f>
        <v>Per Carton</v>
      </c>
      <c r="R7" s="98">
        <v>500</v>
      </c>
      <c r="S7" s="99"/>
      <c r="T7" s="12" t="str">
        <f>IF(ISNUMBER(SEARCH("bag",O8,1)),"Total Bags","Total Sheets")</f>
        <v>Total Bags</v>
      </c>
      <c r="U7" s="122">
        <f>R7*O7</f>
        <v>16000</v>
      </c>
      <c r="V7" s="123"/>
      <c r="W7" s="12" t="s">
        <v>102</v>
      </c>
      <c r="X7" s="98" t="s">
        <v>23</v>
      </c>
      <c r="Y7" s="99"/>
      <c r="AB7" s="14"/>
    </row>
    <row r="8" spans="1:28" ht="20.05" customHeight="1" x14ac:dyDescent="0.3">
      <c r="A8" s="15" t="s">
        <v>16</v>
      </c>
      <c r="B8" s="100">
        <f>R9</f>
        <v>500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50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9" t="s">
        <v>164</v>
      </c>
      <c r="P8" s="14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None</v>
      </c>
      <c r="Y8" s="138"/>
    </row>
    <row r="9" spans="1:28" ht="20.05" customHeight="1" x14ac:dyDescent="0.35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195</v>
      </c>
      <c r="I9" s="111"/>
      <c r="J9" s="12" t="s">
        <v>55</v>
      </c>
      <c r="K9" s="98" t="s">
        <v>30</v>
      </c>
      <c r="L9" s="99"/>
      <c r="M9" s="34"/>
      <c r="N9" s="19"/>
      <c r="O9" s="141" t="str">
        <f>IF(O8="Poly Bag","PB",IF(O8="Poly Bag Roll","PBR",IF(O8="Centrefold Roll","CFR",IF(O8="Sheet","S",IF(O8="Sheet Roll","SR")))))</f>
        <v>PB</v>
      </c>
      <c r="P9" s="142"/>
      <c r="Q9" s="19"/>
      <c r="R9" s="35">
        <v>500</v>
      </c>
      <c r="S9" s="20" t="s">
        <v>78</v>
      </c>
      <c r="T9" s="35">
        <v>600</v>
      </c>
      <c r="U9" s="20" t="s">
        <v>78</v>
      </c>
      <c r="V9" s="35">
        <v>50</v>
      </c>
      <c r="W9" s="19"/>
      <c r="X9" s="152"/>
      <c r="Y9" s="153"/>
    </row>
    <row r="10" spans="1:28" ht="20.05" customHeight="1" x14ac:dyDescent="0.3">
      <c r="A10" s="12" t="s">
        <v>51</v>
      </c>
      <c r="B10" s="98">
        <v>12</v>
      </c>
      <c r="C10" s="99"/>
      <c r="D10" s="54" t="s">
        <v>134</v>
      </c>
      <c r="E10" s="112">
        <f>IF(ISNUMBER(SEARCH("sheet",O8,1)),((R9*T9*H8/540000)*U7/2000*1.3),((R9*T9*H8/540000)*U7/1000*1.08))</f>
        <v>480.00000000000006</v>
      </c>
      <c r="F10" s="113"/>
      <c r="G10" s="12" t="s">
        <v>53</v>
      </c>
      <c r="H10" s="116">
        <f>IF(ISNUMBER(SEARCH("sheet",O8,1)),(U7*T9/2000*1.08),(U7*T9/1000*1.08))</f>
        <v>10368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9" t="s">
        <v>44</v>
      </c>
      <c r="P10" s="140"/>
      <c r="Q10" s="16" t="s">
        <v>50</v>
      </c>
      <c r="R10" s="137" t="str">
        <f>IF(K11="NONE","None",IF(K11="INLINE","Yes",IF(K11="OUT OF LINE","Yes")))</f>
        <v>Yes</v>
      </c>
      <c r="S10" s="137"/>
      <c r="T10" s="16" t="s">
        <v>100</v>
      </c>
      <c r="U10" s="144" t="s">
        <v>198</v>
      </c>
      <c r="V10" s="144"/>
      <c r="W10" s="144"/>
      <c r="X10" s="144"/>
      <c r="Y10" s="145"/>
    </row>
    <row r="11" spans="1:28" ht="20.05" customHeight="1" x14ac:dyDescent="0.3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40.000000000000007</v>
      </c>
      <c r="F11" s="115"/>
      <c r="G11" s="12" t="s">
        <v>15</v>
      </c>
      <c r="H11" s="114">
        <f>H10/B10</f>
        <v>864</v>
      </c>
      <c r="I11" s="115"/>
      <c r="J11" s="12" t="s">
        <v>50</v>
      </c>
      <c r="K11" s="98" t="s">
        <v>64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>P</v>
      </c>
      <c r="S11" s="101"/>
      <c r="T11" s="15"/>
      <c r="U11" s="146"/>
      <c r="V11" s="146"/>
      <c r="W11" s="146"/>
      <c r="X11" s="146"/>
      <c r="Y11" s="147"/>
    </row>
    <row r="12" spans="1:28" ht="20.05" customHeight="1" x14ac:dyDescent="0.3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3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05" customHeight="1" x14ac:dyDescent="0.3">
      <c r="A13" s="12" t="s">
        <v>68</v>
      </c>
      <c r="B13" s="98" t="s">
        <v>70</v>
      </c>
      <c r="C13" s="98"/>
      <c r="D13" s="99"/>
      <c r="E13" s="22" t="s">
        <v>61</v>
      </c>
      <c r="F13" s="98" t="s">
        <v>67</v>
      </c>
      <c r="G13" s="98"/>
      <c r="H13" s="99"/>
      <c r="I13" s="23" t="s">
        <v>62</v>
      </c>
      <c r="J13" s="98" t="s">
        <v>177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32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05" customHeight="1" x14ac:dyDescent="0.35">
      <c r="A14" s="15" t="s">
        <v>60</v>
      </c>
      <c r="B14" s="119" t="s">
        <v>196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3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05" customHeight="1" x14ac:dyDescent="0.3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05" customHeight="1" x14ac:dyDescent="0.3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 t="s">
        <v>38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8"/>
      <c r="Y16" s="159"/>
    </row>
    <row r="17" spans="1:25" ht="20.05" customHeight="1" x14ac:dyDescent="0.3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8"/>
      <c r="Y17" s="159"/>
    </row>
    <row r="18" spans="1:25" ht="20.05" customHeight="1" x14ac:dyDescent="0.3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8"/>
      <c r="Y18" s="159"/>
    </row>
    <row r="19" spans="1:25" ht="20.05" customHeight="1" x14ac:dyDescent="0.3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60" t="s">
        <v>116</v>
      </c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2"/>
    </row>
    <row r="20" spans="1:25" ht="20.05" customHeight="1" x14ac:dyDescent="0.3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3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5"/>
    </row>
    <row r="21" spans="1:25" ht="20.05" customHeight="1" x14ac:dyDescent="0.3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3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</row>
    <row r="22" spans="1:25" ht="20.05" customHeight="1" x14ac:dyDescent="0.3">
      <c r="A22" s="85" t="str">
        <f>(IF(B7="NATURAL","",B7))</f>
        <v>WHITE</v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66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8"/>
    </row>
    <row r="23" spans="1:25" ht="20.05" customHeight="1" x14ac:dyDescent="0.3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3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05" customHeight="1" x14ac:dyDescent="0.3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44035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44026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A690069-B6F6-48BE-86D1-57A4DE734943}"/>
</file>

<file path=customXml/itemProps2.xml><?xml version="1.0" encoding="utf-8"?>
<ds:datastoreItem xmlns:ds="http://schemas.openxmlformats.org/officeDocument/2006/customXml" ds:itemID="{966560A7-2DE1-4ADA-84B5-B7B0991FA5F3}"/>
</file>

<file path=customXml/itemProps3.xml><?xml version="1.0" encoding="utf-8"?>
<ds:datastoreItem xmlns:ds="http://schemas.openxmlformats.org/officeDocument/2006/customXml" ds:itemID="{4D5BC049-450C-410E-B103-1FDFC2788A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2020-06-21T23:38:02Z</cp:lastPrinted>
  <dcterms:created xsi:type="dcterms:W3CDTF">2019-11-27T23:28:06Z</dcterms:created>
  <dcterms:modified xsi:type="dcterms:W3CDTF">2020-06-23T05:14:42Z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