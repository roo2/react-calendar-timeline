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8646226-D99C-4951-ADE4-A9FEB96045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C25" i="1" l="1"/>
  <c r="D9" i="1" l="1"/>
  <c r="E11" i="1" s="1"/>
  <c r="E10" i="1" s="1"/>
  <c r="B11" i="1" l="1"/>
  <c r="A11" i="1"/>
  <c r="D8" i="1" l="1"/>
  <c r="K8" i="1" l="1"/>
  <c r="A24" i="1" l="1"/>
  <c r="C24" i="1" s="1"/>
  <c r="B1" i="1" s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<sst xmlns="http://schemas.openxmlformats.org/spreadsheetml/2006/main" count="223" uniqueCount="164">
  <si>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</si>
  <si>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</si>
  <si>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</si>
  <si>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</si>
  <si>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</si>
  <si>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</si>
  <si>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</si>
  <si>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</si>
  <si>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</si>
  <si>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</si>
  <si>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</si>
  <si>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</si>
  <si>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</si>
  <si>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</si>
  <si>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</si>
  <si>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</si>
  <si>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</si>
  <si>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</si>
  <si>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</si>
  <si>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</si>
  <si>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</si>
  <si>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</si>
  <si>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</si>
  <si>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</si>
  <si>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</si>
  <si>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</si>
  <si>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</si>
  <si>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</si>
  <si>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</si>
  <si>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</si>
  <si>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</si>
  <si>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</si>
  <si>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</si>
  <si>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</si>
  <si>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</si>
  <si>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</si>
  <si>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</si>
  <si>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</si>
  <si>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</si>
  <si>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</si>
  <si>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</si>
  <si>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</si>
  <si>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</si>
  <si>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</si>
  <si>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</si>
  <si>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</si>
  <si>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</si>
  <si>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</si>
  <si>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</si>
  <si>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</si>
  <si>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</si>
  <si>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</si>
  <si>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</si>
  <si>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</si>
  <si>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</si>
  <si>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</si>
  <si>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</si>
  <si>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</si>
  <si>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</si>
  <si>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</si>
  <si>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</si>
  <si>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</si>
  <si>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</si>
  <si>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</si>
  <si>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</si>
  <si>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</si>
  <si>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</si>
  <si>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</si>
  <si>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</si>
  <si>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</si>
  <si>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</si>
  <si>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</si>
  <si>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</si>
  <si>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</si>
  <si>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</si>
  <si>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</si>
  <si>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</si>
  <si>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</si>
  <si>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</si>
  <si>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</si>
  <si>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</si>
  <si>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</si>
  <si>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</si>
  <si>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</si>
  <si>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</si>
  <si>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</si>
  <si>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</si>
  <si>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</si>
  <si>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</si>
  <si>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</si>
  <si>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</si>
  <si>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</si>
  <si>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</si>
  <si>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</si>
  <si>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</si>
  <si>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</si>
  <si>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</si>
  <si>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</si>
  <si>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</si>
  <si>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</si>
  <si>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</si>
  <si>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</si>
  <si>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</si>
  <si>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</si>
  <si>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</si>
  <si>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</si>
  <si>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</si>
  <si>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</si>
  <si>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</si>
  <si>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</si>
  <si>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</si>
  <si>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</si>
  <si>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</si>
  <si>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</si>
  <si>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</si>
  <si>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</si>
  <si>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</si>
  <si>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</si>
  <si>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</si>
  <si>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</si>
  <si>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</si>
  <si>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</si>
  <si>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</si>
  <si>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</si>
  <si>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</si>
  <si>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</si>
  <si>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</si>
  <si>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</si>
  <si>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</si>
  <si>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</si>
  <si>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</si>
  <si>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</si>
  <si>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</si>
  <si>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</si>
  <si>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</si>
  <si>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</si>
  <si>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</si>
  <si>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</si>
  <si>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</si>
  <si>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</si>
  <si>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</si>
  <si>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</si>
  <si>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</si>
  <si>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</si>
  <si>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</si>
  <si>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</si>
  <si>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</si>
  <si>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</si>
  <si>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</si>
  <si>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</si>
  <si>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</si>
  <si>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</si>
  <si>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</si>
  <si>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</si>
  <si>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</si>
  <si>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</si>
  <si>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</si>
  <si>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</si>
  <si>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</si>
  <si>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</si>
  <si>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EZYBAKE</t>
  </si>
  <si>
    <t>NOT UNDER</t>
  </si>
  <si>
    <t>ANTISTATIC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</si>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</sst>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2" sqref="E22:F22"/>
    </sheetView>
  </sheetViews>
  <sheetFormatPr defaultRowHeight="15" x14ac:dyDescent="0.25"/>
  <sheetData>
    <row r="1" spans="1:14" ht="20.100000000000001" customHeight="1" x14ac:dyDescent="0.25">
      <c r="A1" s="11" t="s">
        <v>53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SR48030BTAS</v>
      </c>
      <c r="C1" s="61"/>
      <c r="D1" s="62"/>
      <c r="E1" s="11" t="s">
        <v>54</v>
      </c>
      <c r="F1" s="51" t="s">
        <v>160</v>
      </c>
      <c r="G1" s="51"/>
      <c r="H1" s="52"/>
      <c r="I1" s="11" t="s">
        <v>146</v>
      </c>
      <c r="J1" s="76">
        <f ca="1">TODAY()</f>
        <v>45218</v>
      </c>
      <c r="K1" s="76"/>
      <c r="L1" s="77"/>
    </row>
    <row r="2" spans="1:14" ht="20.100000000000001" customHeight="1" x14ac:dyDescent="0.25">
      <c r="A2" s="11" t="s">
        <v>93</v>
      </c>
      <c r="B2" s="65" t="str">
        <f>(ROUNDUP(E11,0)&amp;"KG")&amp;" "&amp;(ROUNDUP(H11,0)&amp;"M")</f>
        <v>10KG 750M</v>
      </c>
      <c r="C2" s="65"/>
      <c r="D2" s="66"/>
      <c r="E2" s="11" t="s">
        <v>55</v>
      </c>
      <c r="F2" s="51">
        <v>946505</v>
      </c>
      <c r="G2" s="51"/>
      <c r="H2" s="52"/>
      <c r="I2" s="11" t="s">
        <v>56</v>
      </c>
      <c r="J2" s="78" t="s">
        <v>158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154</v>
      </c>
      <c r="B7" s="51" t="s">
        <v>156</v>
      </c>
      <c r="C7" s="52"/>
      <c r="D7" s="11" t="s">
        <v>46</v>
      </c>
      <c r="E7" s="107" t="s">
        <v>125</v>
      </c>
      <c r="F7" s="107"/>
      <c r="G7" s="107"/>
      <c r="H7" s="107"/>
      <c r="I7" s="107"/>
      <c r="J7" s="91" t="s">
        <v>143</v>
      </c>
      <c r="K7" s="91"/>
      <c r="L7" s="92"/>
    </row>
    <row r="8" spans="1:14" ht="20.100000000000001" customHeight="1" x14ac:dyDescent="0.25">
      <c r="A8" s="12" t="s">
        <v>13</v>
      </c>
      <c r="B8" s="97">
        <v>480</v>
      </c>
      <c r="C8" s="98"/>
      <c r="D8" s="12" t="str">
        <f>IF(B7="Tube","Gusset","Centrefold")</f>
        <v>Centrefold</v>
      </c>
      <c r="E8" s="93" t="str">
        <f>IF(B7="Cont Centrefold",B8*2,"")</f>
        <v/>
      </c>
      <c r="F8" s="94"/>
      <c r="G8" s="12" t="s">
        <v>49</v>
      </c>
      <c r="H8" s="97">
        <v>30</v>
      </c>
      <c r="I8" s="98"/>
      <c r="J8" s="11" t="s">
        <v>51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45</v>
      </c>
      <c r="B9" s="81" t="s">
        <v>144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45</v>
      </c>
      <c r="H9" s="81" t="s">
        <v>161</v>
      </c>
      <c r="I9" s="82"/>
      <c r="J9" s="11" t="s">
        <v>52</v>
      </c>
      <c r="K9" s="51" t="s">
        <v>27</v>
      </c>
      <c r="L9" s="52"/>
    </row>
    <row r="10" spans="1:14" ht="20.100000000000001" customHeight="1" x14ac:dyDescent="0.25">
      <c r="A10" s="11" t="s">
        <v>48</v>
      </c>
      <c r="B10" s="51">
        <v>16</v>
      </c>
      <c r="C10" s="52"/>
      <c r="D10" s="36" t="s">
        <v>103</v>
      </c>
      <c r="E10" s="85">
        <f>E11*B10*2</f>
        <v>320</v>
      </c>
      <c r="F10" s="86"/>
      <c r="G10" s="11" t="s">
        <v>50</v>
      </c>
      <c r="H10" s="65">
        <f>H11*B10</f>
        <v>12000</v>
      </c>
      <c r="I10" s="66"/>
      <c r="J10" s="11" t="s">
        <v>38</v>
      </c>
      <c r="K10" s="51" t="s">
        <v>40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>Sheet Rolls</v>
      </c>
      <c r="B11" s="83">
        <f>IF(AND(B7="Cont Centrefold",D9="RUN 2 UP"),B10*2,IF(B7="Cont Centrefold",B10,IF(B7="Cont Sheet Roll",B10*2,"")))</f>
        <v>32</v>
      </c>
      <c r="C11" s="84"/>
      <c r="D11" s="42" t="s">
        <v>104</v>
      </c>
      <c r="E11" s="87">
        <f>IF(D9="RUN 2 UP",(B8*H8*H11/540000),(B8*H8*H11/540000)/2)</f>
        <v>10</v>
      </c>
      <c r="F11" s="88"/>
      <c r="G11" s="42" t="s">
        <v>12</v>
      </c>
      <c r="H11" s="89">
        <v>750</v>
      </c>
      <c r="I11" s="90"/>
      <c r="J11" s="42" t="s">
        <v>47</v>
      </c>
      <c r="K11" s="95" t="s">
        <v>41</v>
      </c>
      <c r="L11" s="96"/>
      <c r="N11"/>
    </row>
    <row r="12" spans="1:14" ht="20.100000000000001" customHeight="1" x14ac:dyDescent="0.25">
      <c r="A12" s="105" t="s">
        <v>10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58</v>
      </c>
      <c r="B13" s="51" t="s">
        <v>41</v>
      </c>
      <c r="C13" s="51"/>
      <c r="D13" s="52"/>
      <c r="E13" s="14" t="s">
        <v>59</v>
      </c>
      <c r="F13" s="51" t="s">
        <v>41</v>
      </c>
      <c r="G13" s="51"/>
      <c r="H13" s="52"/>
      <c r="I13" s="11" t="s">
        <v>60</v>
      </c>
      <c r="J13" s="51" t="s">
        <v>41</v>
      </c>
      <c r="K13" s="51"/>
      <c r="L13" s="52"/>
    </row>
    <row r="14" spans="1:14" ht="20.100000000000001" customHeight="1" x14ac:dyDescent="0.3">
      <c r="A14" s="12" t="s">
        <v>57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69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70</v>
      </c>
      <c r="B16" s="51" t="s">
        <v>74</v>
      </c>
      <c r="C16" s="51"/>
      <c r="D16" s="52"/>
      <c r="E16" s="11" t="s">
        <v>71</v>
      </c>
      <c r="F16" s="61">
        <v>10</v>
      </c>
      <c r="G16" s="61"/>
      <c r="H16" s="62"/>
      <c r="I16" s="11" t="s">
        <v>73</v>
      </c>
      <c r="J16" s="51"/>
      <c r="K16" s="51"/>
      <c r="L16" s="52"/>
    </row>
    <row r="17" spans="1:12" ht="20.100000000000001" customHeight="1" x14ac:dyDescent="0.25">
      <c r="A17" s="53" t="s">
        <v>147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110</v>
      </c>
      <c r="D18" s="92"/>
      <c r="E18" s="99" t="s">
        <v>3</v>
      </c>
      <c r="F18" s="92"/>
      <c r="G18" s="99" t="s">
        <v>4</v>
      </c>
      <c r="H18" s="92"/>
      <c r="I18" s="99" t="s">
        <v>8</v>
      </c>
      <c r="J18" s="92"/>
      <c r="K18" s="99" t="s">
        <v>9</v>
      </c>
      <c r="L18" s="92"/>
    </row>
    <row r="19" spans="1:12" ht="20.100000000000001" customHeight="1" x14ac:dyDescent="0.25">
      <c r="A19" s="49" t="s">
        <v>5</v>
      </c>
      <c r="B19" s="49"/>
      <c r="C19" s="63" t="s">
        <v>113</v>
      </c>
      <c r="D19" s="64"/>
      <c r="E19" s="103"/>
      <c r="F19" s="104"/>
      <c r="G19" s="10" t="s">
        <v>75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112</v>
      </c>
      <c r="D20" s="64"/>
      <c r="E20" s="103"/>
      <c r="F20" s="104"/>
      <c r="G20" s="10" t="s">
        <v>76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111</v>
      </c>
      <c r="D21" s="64"/>
      <c r="E21" s="103"/>
      <c r="F21" s="104"/>
      <c r="G21" s="10" t="s">
        <v>77</v>
      </c>
      <c r="H21" s="31"/>
      <c r="I21" s="56"/>
      <c r="J21" s="57"/>
      <c r="K21" s="56"/>
      <c r="L21" s="57"/>
    </row>
    <row r="22" spans="1:12" ht="20.100000000000001" customHeight="1" x14ac:dyDescent="0.25">
      <c r="A22" s="49"/>
      <c r="B22" s="49"/>
      <c r="C22" s="63"/>
      <c r="D22" s="64"/>
      <c r="E22" s="103"/>
      <c r="F22" s="104"/>
      <c r="G22" s="10" t="s">
        <v>78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163</v>
      </c>
      <c r="B23" s="49"/>
      <c r="C23" s="63"/>
      <c r="D23" s="64"/>
      <c r="E23" s="103">
        <v>0.01</v>
      </c>
      <c r="F23" s="104"/>
      <c r="G23" s="10" t="s">
        <v>79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>BLUE TINT</v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BT</v>
      </c>
      <c r="D24" s="64"/>
      <c r="E24" s="103">
        <v>0.02</v>
      </c>
      <c r="F24" s="104"/>
      <c r="G24" s="10" t="s">
        <v>80</v>
      </c>
      <c r="H24" s="31"/>
      <c r="I24" s="56"/>
      <c r="J24" s="57"/>
      <c r="K24" s="56"/>
      <c r="L24" s="57"/>
    </row>
    <row r="25" spans="1:12" ht="20.100000000000001" customHeight="1" x14ac:dyDescent="0.25">
      <c r="A25" s="49" t="s">
        <v>162</v>
      </c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AS</v>
      </c>
      <c r="D25" s="64"/>
      <c r="E25" s="103">
        <v>0.01</v>
      </c>
      <c r="F25" s="104"/>
      <c r="G25" s="10" t="s">
        <v>81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145</v>
      </c>
      <c r="C27" s="16" t="s">
        <v>85</v>
      </c>
      <c r="D27" s="17" t="s">
        <v>83</v>
      </c>
      <c r="E27" s="17" t="s">
        <v>84</v>
      </c>
      <c r="F27" s="17" t="s">
        <v>86</v>
      </c>
      <c r="G27" s="50" t="s">
        <v>102</v>
      </c>
      <c r="H27" s="50"/>
      <c r="I27" s="50" t="s">
        <v>101</v>
      </c>
      <c r="J27" s="50"/>
      <c r="K27" s="17" t="s">
        <v>87</v>
      </c>
      <c r="L27" s="17" t="s">
        <v>88</v>
      </c>
    </row>
    <row r="28" spans="1:12" ht="20.100000000000001" customHeight="1" x14ac:dyDescent="0.25">
      <c r="A28" s="16" t="s">
        <v>89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90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92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99</v>
      </c>
      <c r="B31" s="24"/>
      <c r="C31" s="22"/>
      <c r="D31" s="19" t="s">
        <v>85</v>
      </c>
      <c r="E31" s="25"/>
      <c r="F31" s="22"/>
      <c r="G31" s="21" t="s">
        <v>91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98</v>
      </c>
      <c r="B32" s="24"/>
      <c r="C32" s="22"/>
      <c r="D32" s="19" t="s">
        <v>96</v>
      </c>
      <c r="E32" s="25"/>
      <c r="F32" s="29"/>
      <c r="G32" s="19" t="s">
        <v>91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97</v>
      </c>
      <c r="B33" s="30"/>
      <c r="C33" s="28"/>
      <c r="D33" s="20" t="s">
        <v>82</v>
      </c>
      <c r="E33" s="26"/>
      <c r="F33" s="28"/>
      <c r="G33" s="20" t="s">
        <v>95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100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105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11</v>
      </c>
      <c r="B38" s="1" t="s">
        <v>18</v>
      </c>
      <c r="C38" s="16" t="s">
        <v>26</v>
      </c>
      <c r="D38" s="17" t="s">
        <v>104</v>
      </c>
      <c r="E38" s="17" t="s">
        <v>12</v>
      </c>
      <c r="F38" s="17" t="s">
        <v>13</v>
      </c>
      <c r="G38" s="17" t="s">
        <v>49</v>
      </c>
      <c r="H38" s="18" t="s">
        <v>14</v>
      </c>
      <c r="I38" s="18" t="s">
        <v>15</v>
      </c>
      <c r="J38" s="17" t="s">
        <v>16</v>
      </c>
      <c r="K38" s="17" t="s">
        <v>17</v>
      </c>
      <c r="L38" s="17" t="s">
        <v>19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11</v>
      </c>
      <c r="B45" s="16" t="s">
        <v>18</v>
      </c>
      <c r="C45" s="17" t="s">
        <v>104</v>
      </c>
      <c r="D45" s="17" t="s">
        <v>12</v>
      </c>
      <c r="E45" s="17" t="s">
        <v>13</v>
      </c>
      <c r="F45" s="17" t="s">
        <v>49</v>
      </c>
      <c r="G45" s="18" t="s">
        <v>14</v>
      </c>
      <c r="H45" s="18" t="s">
        <v>15</v>
      </c>
      <c r="I45" s="17" t="s">
        <v>26</v>
      </c>
      <c r="J45" s="17" t="s">
        <v>16</v>
      </c>
      <c r="K45" s="17" t="s">
        <v>17</v>
      </c>
      <c r="L45" s="17" t="s">
        <v>19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25" workbookViewId="0">
      <selection activeCell="H46" sqref="H4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37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21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45249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74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45239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33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158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54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129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106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142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20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114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107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28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116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20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117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118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22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119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130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140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131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120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159</v>
      </c>
      <c r="T19" s="1"/>
      <c r="V19" s="1"/>
    </row>
    <row r="20" spans="1:23" x14ac:dyDescent="0.25">
      <c r="A20" s="41" t="s">
        <v>122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132</v>
      </c>
      <c r="T20" s="1"/>
      <c r="V20" s="1"/>
    </row>
    <row r="21" spans="1:23" x14ac:dyDescent="0.25">
      <c r="A21" s="41" t="s">
        <v>123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133</v>
      </c>
      <c r="T21" s="1"/>
      <c r="V21" s="1"/>
      <c r="W21" s="2"/>
    </row>
    <row r="22" spans="1:23" x14ac:dyDescent="0.25">
      <c r="A22" s="41" t="s">
        <v>124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125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109</v>
      </c>
      <c r="T23" s="1"/>
      <c r="V23" s="1"/>
      <c r="W23" s="2"/>
    </row>
    <row r="24" spans="1:23" x14ac:dyDescent="0.25">
      <c r="A24" s="41" t="s">
        <v>126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41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127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151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128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152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141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153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148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108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154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25</v>
      </c>
      <c r="U30" s="1"/>
      <c r="V30" s="1"/>
    </row>
    <row r="31" spans="1:23" x14ac:dyDescent="0.25">
      <c r="A31" s="5" t="s">
        <v>155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134</v>
      </c>
      <c r="U31" s="1"/>
      <c r="V31" s="1"/>
    </row>
    <row r="32" spans="1:23" x14ac:dyDescent="0.25">
      <c r="A32" s="5" t="s">
        <v>156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157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43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27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135</v>
      </c>
      <c r="U36" s="1"/>
      <c r="V36" s="1"/>
    </row>
    <row r="37" spans="1:22" x14ac:dyDescent="0.25">
      <c r="A37" s="5" t="s">
        <v>31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136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35</v>
      </c>
      <c r="U38" s="1"/>
      <c r="V38" s="1"/>
    </row>
    <row r="39" spans="1:22" x14ac:dyDescent="0.25">
      <c r="A39" s="39" t="s">
        <v>44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41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23</v>
      </c>
    </row>
    <row r="41" spans="1:22" x14ac:dyDescent="0.25">
      <c r="A41" s="5" t="s">
        <v>39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32</v>
      </c>
    </row>
    <row r="42" spans="1:22" x14ac:dyDescent="0.25">
      <c r="A42" s="5" t="s">
        <v>40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34</v>
      </c>
    </row>
    <row r="43" spans="1:22" x14ac:dyDescent="0.25">
      <c r="A43" s="5" t="s">
        <v>42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137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61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94</v>
      </c>
    </row>
    <row r="46" spans="1:22" x14ac:dyDescent="0.25">
      <c r="A46" s="5" t="s">
        <v>41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35</v>
      </c>
    </row>
    <row r="47" spans="1:22" x14ac:dyDescent="0.25">
      <c r="A47" s="5" t="s">
        <v>63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29</v>
      </c>
    </row>
    <row r="48" spans="1:22" x14ac:dyDescent="0.25">
      <c r="A48" s="5" t="s">
        <v>62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138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149</v>
      </c>
    </row>
    <row r="50" spans="1:20" x14ac:dyDescent="0.25">
      <c r="A50" s="39" t="s">
        <v>66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150</v>
      </c>
    </row>
    <row r="51" spans="1:20" x14ac:dyDescent="0.25">
      <c r="A51" s="5" t="s">
        <v>41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139</v>
      </c>
    </row>
    <row r="53" spans="1:20" x14ac:dyDescent="0.25">
      <c r="A53" s="5" t="s">
        <v>67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28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20</v>
      </c>
    </row>
    <row r="55" spans="1:20" x14ac:dyDescent="0.25">
      <c r="A55" s="39" t="s">
        <v>59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41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24</v>
      </c>
    </row>
    <row r="57" spans="1:20" x14ac:dyDescent="0.25">
      <c r="A57" s="5" t="s">
        <v>64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33</v>
      </c>
      <c r="O57" s="1"/>
      <c r="P57" s="1"/>
      <c r="Q57" s="1"/>
      <c r="R57" s="1"/>
      <c r="S57" s="1"/>
      <c r="T57" s="1"/>
    </row>
    <row r="58" spans="1:20" x14ac:dyDescent="0.25">
      <c r="A58" s="5" t="s">
        <v>65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30</v>
      </c>
    </row>
    <row r="59" spans="1:20" x14ac:dyDescent="0.25">
      <c r="A59" s="37"/>
    </row>
    <row r="60" spans="1:20" x14ac:dyDescent="0.25">
      <c r="A60" s="38" t="s">
        <v>60</v>
      </c>
      <c r="O60" s="1"/>
      <c r="Q60" s="1"/>
      <c r="R60" s="3"/>
      <c r="S60" s="1"/>
    </row>
    <row r="61" spans="1:20" x14ac:dyDescent="0.25">
      <c r="A61" s="37" t="s">
        <v>41</v>
      </c>
      <c r="O61" s="1"/>
      <c r="Q61" s="1"/>
      <c r="R61" s="1"/>
      <c r="S61" s="1"/>
    </row>
    <row r="62" spans="1:20" x14ac:dyDescent="0.25">
      <c r="A62" s="40" t="s">
        <v>142</v>
      </c>
      <c r="O62" s="1"/>
      <c r="Q62" s="1"/>
      <c r="R62" s="1"/>
      <c r="S62" s="1"/>
    </row>
    <row r="63" spans="1:20" x14ac:dyDescent="0.25">
      <c r="A63" s="41" t="s">
        <v>121</v>
      </c>
      <c r="O63" s="1"/>
      <c r="Q63" s="1"/>
      <c r="R63" s="1"/>
      <c r="S63" s="1"/>
      <c r="T63" s="1"/>
    </row>
    <row r="64" spans="1:20" x14ac:dyDescent="0.25">
      <c r="A64" s="41" t="s">
        <v>114</v>
      </c>
      <c r="O64" s="1"/>
      <c r="Q64" s="1"/>
      <c r="R64" s="1"/>
      <c r="S64" s="1"/>
      <c r="T64" s="1"/>
    </row>
    <row r="65" spans="1:20" x14ac:dyDescent="0.25">
      <c r="A65" s="41" t="s">
        <v>115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116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117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118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119</v>
      </c>
      <c r="N69" s="4"/>
    </row>
    <row r="70" spans="1:20" x14ac:dyDescent="0.25">
      <c r="A70" s="41" t="s">
        <v>140</v>
      </c>
    </row>
    <row r="71" spans="1:20" x14ac:dyDescent="0.25">
      <c r="A71" s="41" t="s">
        <v>120</v>
      </c>
    </row>
    <row r="72" spans="1:20" x14ac:dyDescent="0.25">
      <c r="A72" s="41" t="s">
        <v>118</v>
      </c>
    </row>
    <row r="73" spans="1:20" x14ac:dyDescent="0.25">
      <c r="A73" s="41" t="s">
        <v>119</v>
      </c>
    </row>
    <row r="74" spans="1:20" x14ac:dyDescent="0.25">
      <c r="A74" s="41" t="s">
        <v>140</v>
      </c>
    </row>
    <row r="75" spans="1:20" x14ac:dyDescent="0.25">
      <c r="A75" s="41" t="s">
        <v>120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21D5C40-A5F1-43A6-8DB8-EF464DAA0BEC}"/>
</file>

<file path=customXml/itemProps2.xml><?xml version="1.0" encoding="utf-8"?>
<ds:datastoreItem xmlns:ds="http://schemas.openxmlformats.org/officeDocument/2006/customXml" ds:itemID="{0774022F-9FD1-4AEB-BC6E-29DE700C6D7E}"/>
</file>

<file path=customXml/itemProps3.xml><?xml version="1.0" encoding="utf-8"?>
<ds:datastoreItem xmlns:ds="http://schemas.openxmlformats.org/officeDocument/2006/customXml" ds:itemID="{C1DDD17E-E876-4427-BC47-1556F47C6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2023-09-13T02:46:52Z</cp:lastPrinted>
  <dcterms:created xsi:type="dcterms:W3CDTF">2019-11-27T23:28:06Z</dcterms:created>
  <dcterms:modified xsi:type="dcterms:W3CDTF">2023-10-19T04:19:17Z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