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753AE845-8582-40FB-BD4F-1D7468AABDD7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<sst xmlns="http://schemas.openxmlformats.org/spreadsheetml/2006/main" count="306" uniqueCount="201">
  <si>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</si>
  <si>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</si>
  <si>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</si>
  <si>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</si>
  <si>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</si>
  <si>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</si>
  <si>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</si>
  <si>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</si>
  <si>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</si>
  <si>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</si>
  <si>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</si>
  <si>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</si>
  <si>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</si>
  <si>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</si>
  <si>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</si>
  <si>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</si>
  <si>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</si>
  <si>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</si>
  <si>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</si>
  <si>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</si>
  <si>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</si>
  <si>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</si>
  <si>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</si>
  <si>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</si>
  <si>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</si>
  <si>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</si>
  <si>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</si>
  <si>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</si>
  <si>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</si>
  <si>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</si>
  <si>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</si>
  <si>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</si>
  <si>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</si>
  <si>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</si>
  <si>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</si>
  <si>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</si>
  <si>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</si>
  <si>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</si>
  <si>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</si>
  <si>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</si>
  <si>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</si>
  <si>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</si>
  <si>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</si>
  <si>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</si>
  <si>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</si>
  <si>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</si>
  <si>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</si>
  <si>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</si>
  <si>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</si>
  <si>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</si>
  <si>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</si>
  <si>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</si>
  <si>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</si>
  <si>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</si>
  <si>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</si>
  <si>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</si>
  <si>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</si>
  <si>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</si>
  <si>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</si>
  <si>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</si>
  <si>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</si>
  <si>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</si>
  <si>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</si>
  <si>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</si>
  <si>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</si>
  <si>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</si>
  <si>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</si>
  <si>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</si>
  <si>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</si>
  <si>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</si>
  <si>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</si>
  <si>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</si>
  <si>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</si>
  <si>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</si>
  <si>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</si>
  <si>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</si>
  <si>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</si>
  <si>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</si>
  <si>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</si>
  <si>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</si>
  <si>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</si>
  <si>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</si>
  <si>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</si>
  <si>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</si>
  <si>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</si>
  <si>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</si>
  <si>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</si>
  <si>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</si>
  <si>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</si>
  <si>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</si>
  <si>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</si>
  <si>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</si>
  <si>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</si>
  <si>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</si>
  <si>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</si>
  <si>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</si>
  <si>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</si>
  <si>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</si>
  <si>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</si>
  <si>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</si>
  <si>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</si>
  <si>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</si>
  <si>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</si>
  <si>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</si>
  <si>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</si>
  <si>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</si>
  <si>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</si>
  <si>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</si>
  <si>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</si>
  <si>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</si>
  <si>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</si>
  <si>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</si>
  <si>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</si>
  <si>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</si>
  <si>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</si>
  <si>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</si>
  <si>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</si>
  <si>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</si>
  <si>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</si>
  <si>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</si>
  <si>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</si>
  <si>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</si>
  <si>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</si>
  <si>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</si>
  <si>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</si>
  <si>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</si>
  <si>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</si>
  <si>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</si>
  <si>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</si>
  <si>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</si>
  <si>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</si>
  <si>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</si>
  <si>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</si>
  <si>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</si>
  <si>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</si>
  <si>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</si>
  <si>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</si>
  <si>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</si>
  <si>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</si>
  <si>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</si>
  <si>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</si>
  <si>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</si>
  <si>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</si>
  <si>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</si>
  <si>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</si>
  <si>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</si>
  <si>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</si>
  <si>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</si>
  <si>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</si>
  <si>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</si>
  <si>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</si>
  <si>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</si>
  <si>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</si>
  <si>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</si>
  <si>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</si>
  <si>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</si>
  <si>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</si>
  <si>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</si>
  <si>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</si>
  <si>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</si>
  <si>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</si>
  <si>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</si>
  <si>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</si>
  <si>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</si>
  <si>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</si>
  <si>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</si>
  <si>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</si>
  <si>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</si>
  <si>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</si>
  <si>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</si>
  <si>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</si>
  <si>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</si>
  <si>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</si>
  <si>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</si>
  <si>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</si>
  <si>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</si>
  <si>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</si>
  <si>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</si>
  <si>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</si>
  <si>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</si>
  <si>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</si>
  <si>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</si>
  <si>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</si>
  <si>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</si>
  <si>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</si>
  <si>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</si>
  <si>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</si>
  <si>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</si>
  <si>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</si>
  <si>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</si>
  <si>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</si>
  <si>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</si>
  <si>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</si>
  <si>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</si>
  <si>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</si>
  <si>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 xml:space="preserve"> +/- 5um</t>
  </si>
  <si>
    <t>(400+340)</t>
  </si>
  <si>
    <t>LIMAX</t>
  </si>
  <si>
    <t>KILCOY GLOBAL FOODS</t>
  </si>
  <si>
    <t xml:space="preserve">ALPHA BLUE </t>
  </si>
  <si>
    <t>170MM GUSSET EITHER SIDE  - 340TOTAL GUSSETT - MUST BE STRONG BLUE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</si>
</sst>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1" xfId="0" applyFont="1" applyBorder="1" applyAlignment="1" applyProtection="1">
      <alignment horizontal="left"/>
      <protection locked="0"/>
    </xf>
    <xf numFmtId="0" fontId="3" fillId="0" borderId="12" xfId="0" applyFont="1" applyBorder="1" applyAlignment="1" applyProtection="1">
      <alignment horizontal="left"/>
      <protection locked="0"/>
    </xf>
    <xf numFmtId="0" fontId="16" fillId="5" borderId="15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9" fontId="16" fillId="5" borderId="17" xfId="0" applyNumberFormat="1" applyFont="1" applyFill="1" applyBorder="1" applyAlignment="1" applyProtection="1">
      <alignment horizontal="center"/>
      <protection locked="0"/>
    </xf>
    <xf numFmtId="0" fontId="16" fillId="5" borderId="18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19" sqref="N19:Y22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PBR740G600450</v>
      </c>
      <c r="C1" s="108"/>
      <c r="D1" s="109"/>
      <c r="E1" s="11" t="s">
        <v>57</v>
      </c>
      <c r="F1" s="62" t="s">
        <v>198</v>
      </c>
      <c r="G1" s="62"/>
      <c r="H1" s="63"/>
      <c r="I1" s="12" t="s">
        <v>181</v>
      </c>
      <c r="J1" s="119">
        <f ca="1">TODAY()</f>
        <v>45132</v>
      </c>
      <c r="K1" s="119"/>
      <c r="L1" s="120"/>
      <c r="M1" s="29"/>
      <c r="N1" s="11" t="s">
        <v>56</v>
      </c>
      <c r="O1" s="108" t="str">
        <f>B1</f>
        <v>PBR740G600450</v>
      </c>
      <c r="P1" s="108"/>
      <c r="Q1" s="109"/>
      <c r="R1" s="11" t="s">
        <v>57</v>
      </c>
      <c r="S1" s="108" t="str">
        <f>F1</f>
        <v>KILCOY GLOBAL FOODS</v>
      </c>
      <c r="T1" s="108"/>
      <c r="U1" s="109"/>
      <c r="V1" s="11" t="s">
        <v>181</v>
      </c>
      <c r="W1" s="119">
        <f ca="1">J1</f>
        <v>45132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946200</v>
      </c>
      <c r="G2" s="62"/>
      <c r="H2" s="63"/>
      <c r="I2" s="11" t="s">
        <v>59</v>
      </c>
      <c r="J2" s="122" t="s">
        <v>192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946200</v>
      </c>
      <c r="T2" s="108"/>
      <c r="U2" s="109"/>
      <c r="V2" s="11" t="s">
        <v>59</v>
      </c>
      <c r="W2" s="121" t="str">
        <f>J2</f>
        <v>ASAP</v>
      </c>
      <c r="X2" s="108"/>
      <c r="Y2" s="109"/>
    </row>
    <row r="3" spans="1:25" ht="20.149999999999999" customHeight="1" x14ac:dyDescent="0.75">
      <c r="A3" s="110" t="s">
        <v>200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170MM GUSSET EITHER SIDE  - 340TOTAL GUSSETT - MUST BE STRONG BLUE TINT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Rolls</v>
      </c>
      <c r="O7" s="62">
        <v>50</v>
      </c>
      <c r="P7" s="63"/>
      <c r="Q7" s="11" t="str">
        <f>IF(ISNUMBER(SEARCH("roll",O8,1)),"Per Roll","Per Carton")</f>
        <v>Per Roll</v>
      </c>
      <c r="R7" s="62">
        <v>250</v>
      </c>
      <c r="S7" s="63"/>
      <c r="T7" s="11" t="str">
        <f>IF(ISNUMBER(SEARCH("bag",O8,1)),"Total Bags","Total Sheets")</f>
        <v>Total Bags</v>
      </c>
      <c r="U7" s="108">
        <f>R7*O7</f>
        <v>12500</v>
      </c>
      <c r="V7" s="109"/>
      <c r="W7" s="11" t="s">
        <v>102</v>
      </c>
      <c r="X7" s="62" t="s">
        <v>31</v>
      </c>
      <c r="Y7" s="63"/>
    </row>
    <row r="8" spans="1:25" ht="20.149999999999999" customHeight="1" x14ac:dyDescent="0.8">
      <c r="A8" s="13" t="s">
        <v>16</v>
      </c>
      <c r="B8" s="96">
        <f>R9</f>
        <v>740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(400+340)</v>
      </c>
      <c r="F8" s="97"/>
      <c r="G8" s="13" t="s">
        <v>52</v>
      </c>
      <c r="H8" s="96">
        <f>(IF(V9&lt;30,"30",V9))</f>
        <v>45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Gusset Tube</v>
      </c>
      <c r="L8" s="109"/>
      <c r="M8" s="29"/>
      <c r="N8" s="14" t="s">
        <v>54</v>
      </c>
      <c r="O8" s="98" t="s">
        <v>165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G</v>
      </c>
      <c r="Y8" s="95"/>
    </row>
    <row r="9" spans="1:25" ht="20.149999999999999" customHeight="1" x14ac:dyDescent="0.9">
      <c r="A9" s="16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195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PBR</v>
      </c>
      <c r="P9" s="103"/>
      <c r="Q9" s="17"/>
      <c r="R9" s="30">
        <v>740</v>
      </c>
      <c r="S9" s="18" t="s">
        <v>78</v>
      </c>
      <c r="T9" s="30">
        <v>600</v>
      </c>
      <c r="U9" s="18" t="s">
        <v>78</v>
      </c>
      <c r="V9" s="30">
        <v>45</v>
      </c>
      <c r="W9" s="17"/>
      <c r="X9" s="88" t="s">
        <v>196</v>
      </c>
      <c r="Y9" s="89"/>
    </row>
    <row r="10" spans="1:25" ht="20.149999999999999" customHeight="1" x14ac:dyDescent="0.8">
      <c r="A10" s="11" t="s">
        <v>51</v>
      </c>
      <c r="B10" s="62">
        <v>12</v>
      </c>
      <c r="C10" s="63"/>
      <c r="D10" s="47" t="s">
        <v>134</v>
      </c>
      <c r="E10" s="127">
        <f>IF(ISNUMBER(SEARCH("sheet",O8,1)),((R9*T9*H8/540000)*U7/2000*1.3),((R9*T9*H8/540000)*U7/1000*1.08))</f>
        <v>499.50000000000006</v>
      </c>
      <c r="F10" s="128"/>
      <c r="G10" s="11" t="s">
        <v>53</v>
      </c>
      <c r="H10" s="131">
        <f>IF(ISNUMBER(SEARCH("sheet",O8,1)),(U7*T9/2000*1.08),(U7*T9/1000*1.08))</f>
        <v>8100.0000000000009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41.625000000000007</v>
      </c>
      <c r="F11" s="130"/>
      <c r="G11" s="11" t="s">
        <v>15</v>
      </c>
      <c r="H11" s="129">
        <f>H10/B10</f>
        <v>675.00000000000011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50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/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180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Rolls</v>
      </c>
      <c r="U17" s="62" t="s">
        <v>31</v>
      </c>
      <c r="V17" s="63"/>
      <c r="W17" s="11" t="str">
        <f>IF(ISNUMBER(SEARCH("roll",O8,1)),"Total Rolls","Total Ctns")</f>
        <v>Total Rolls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thickBot="1" x14ac:dyDescent="0.9">
      <c r="A22" s="139" t="str">
        <f>(IF(B7="NATURAL","",B7))</f>
        <v/>
      </c>
      <c r="B22" s="139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145"/>
      <c r="F22" s="146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thickBot="1" x14ac:dyDescent="1.05">
      <c r="A23" s="142" t="s">
        <v>199</v>
      </c>
      <c r="B23" s="143"/>
      <c r="C23" s="138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138"/>
      <c r="E23" s="149">
        <v>0.04</v>
      </c>
      <c r="F23" s="150"/>
      <c r="G23" s="144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0"/>
      <c r="B24" s="141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147"/>
      <c r="F24" s="148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197</v>
      </c>
      <c r="P25" s="34"/>
      <c r="Q25" s="10">
        <v>26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45163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45153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311C4D5-6871-41B5-A843-52EA7EEC0738}"/>
</file>

<file path=customXml/itemProps2.xml><?xml version="1.0" encoding="utf-8"?>
<ds:datastoreItem xmlns:ds="http://schemas.openxmlformats.org/officeDocument/2006/customXml" ds:itemID="{0E404993-2A37-44DF-9177-D7FE521DFF5E}"/>
</file>

<file path=customXml/itemProps3.xml><?xml version="1.0" encoding="utf-8"?>
<ds:datastoreItem xmlns:ds="http://schemas.openxmlformats.org/officeDocument/2006/customXml" ds:itemID="{0E52A1F1-0C84-46DD-9FD4-4E4CE2A1BD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2023-07-24T23:54:02Z</cp:lastPrinted>
  <dcterms:created xsi:type="dcterms:W3CDTF">2019-11-27T23:28:06Z</dcterms:created>
  <dcterms:modified xsi:type="dcterms:W3CDTF">2023-07-24T23:54:23Z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