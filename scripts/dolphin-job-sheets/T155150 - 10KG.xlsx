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8D08F13-3C32-42D5-9B1D-4C9682C6FE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<sst xmlns="http://schemas.openxmlformats.org/spreadsheetml/2006/main" count="227" uniqueCount="168">
  <si>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</si>
  <si>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</si>
  <si>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</si>
  <si>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</si>
  <si>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</si>
  <si>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</si>
  <si>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</si>
  <si>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</si>
  <si>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</si>
  <si>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</si>
  <si>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</si>
  <si>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</si>
  <si>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</si>
  <si>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</si>
  <si>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</si>
  <si>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</si>
  <si>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</si>
  <si>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</si>
  <si>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</si>
  <si>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</si>
  <si>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</si>
  <si>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</si>
  <si>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</si>
  <si>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</si>
  <si>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</si>
  <si>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</si>
  <si>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</si>
  <si>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</si>
  <si>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</si>
  <si>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</si>
  <si>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</si>
  <si>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</si>
  <si>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</si>
  <si>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</si>
  <si>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</si>
  <si>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</si>
  <si>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</si>
  <si>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</si>
  <si>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</si>
  <si>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</si>
  <si>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</si>
  <si>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</si>
  <si>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</si>
  <si>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</si>
  <si>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</si>
  <si>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</si>
  <si>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</si>
  <si>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</si>
  <si>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</si>
  <si>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</si>
  <si>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</si>
  <si>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</si>
  <si>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</si>
  <si>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</si>
  <si>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</si>
  <si>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</si>
  <si>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</si>
  <si>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</si>
  <si>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</si>
  <si>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</si>
  <si>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</si>
  <si>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</si>
  <si>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</si>
  <si>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</si>
  <si>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</si>
  <si>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</si>
  <si>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</si>
  <si>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</si>
  <si>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</si>
  <si>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</si>
  <si>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</si>
  <si>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</si>
  <si>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</si>
  <si>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</si>
  <si>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</si>
  <si>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</si>
  <si>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</si>
  <si>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</si>
  <si>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</si>
  <si>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</si>
  <si>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</si>
  <si>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</si>
  <si>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</si>
  <si>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</si>
  <si>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</si>
  <si>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</si>
  <si>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</si>
  <si>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</si>
  <si>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</si>
  <si>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</si>
  <si>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</si>
  <si>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</si>
  <si>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</si>
  <si>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</si>
  <si>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</si>
  <si>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</si>
  <si>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</si>
  <si>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</si>
  <si>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</si>
  <si>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</si>
  <si>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</si>
  <si>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</si>
  <si>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</si>
  <si>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</si>
  <si>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</si>
  <si>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</si>
  <si>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</si>
  <si>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</si>
  <si>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</si>
  <si>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</si>
  <si>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</si>
  <si>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</si>
  <si>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</si>
  <si>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</si>
  <si>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</si>
  <si>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</si>
  <si>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</si>
  <si>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</si>
  <si>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</si>
  <si>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</si>
  <si>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</si>
  <si>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</si>
  <si>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</si>
  <si>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</si>
  <si>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</si>
  <si>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</si>
  <si>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</si>
  <si>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</si>
  <si>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</si>
  <si>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</si>
  <si>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</si>
  <si>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</si>
  <si>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</si>
  <si>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</si>
  <si>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</si>
  <si>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</si>
  <si>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</si>
  <si>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</si>
  <si>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</si>
  <si>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</si>
  <si>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</si>
  <si>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</si>
  <si>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</si>
  <si>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</si>
  <si>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</si>
  <si>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</si>
  <si>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</si>
  <si>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</si>
  <si>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</si>
  <si>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</si>
  <si>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</si>
  <si>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</si>
  <si>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</si>
  <si>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</si>
  <si>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</si>
  <si>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</si>
  <si>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</si>
  <si>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</si>
  <si>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</si>
  <si>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</si>
  <si>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</si>
  <si>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</si>
  <si>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</si>
  <si>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</si>
  <si>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</si>
  <si>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TUFF MANUFACTURING</t>
  </si>
  <si>
    <t>#1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</si>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</sst>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T155150FALSE</v>
      </c>
      <c r="C1" s="100"/>
      <c r="D1" s="101"/>
      <c r="E1" s="9" t="s">
        <v>55</v>
      </c>
      <c r="F1" s="45" t="s">
        <v>165</v>
      </c>
      <c r="G1" s="45"/>
      <c r="H1" s="46"/>
      <c r="I1" s="9" t="s">
        <v>148</v>
      </c>
      <c r="J1" s="111">
        <f ca="1">TODAY()</f>
        <v>46085</v>
      </c>
      <c r="K1" s="111"/>
      <c r="L1" s="112"/>
    </row>
    <row r="2" spans="1:14" ht="20.100000000000001" customHeight="1" x14ac:dyDescent="0.25">
      <c r="A2" s="9" t="s">
        <v>94</v>
      </c>
      <c r="B2" s="91" t="str">
        <f>IF(B7="Tube",(ROUNDUP(E11,0)&amp;"KG"),(ROUNDUP(H11,0)&amp;"M"))</f>
        <v>10KG</v>
      </c>
      <c r="C2" s="91"/>
      <c r="D2" s="92"/>
      <c r="E2" s="9" t="s">
        <v>56</v>
      </c>
      <c r="F2" s="45">
        <v>950678</v>
      </c>
      <c r="G2" s="45"/>
      <c r="H2" s="46"/>
      <c r="I2" s="9" t="s">
        <v>57</v>
      </c>
      <c r="J2" s="113">
        <v>45684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9" t="s">
        <v>158</v>
      </c>
      <c r="B7" s="45" t="s">
        <v>159</v>
      </c>
      <c r="C7" s="46"/>
      <c r="D7" s="9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0" t="s">
        <v>14</v>
      </c>
      <c r="B8" s="67">
        <v>155</v>
      </c>
      <c r="C8" s="68"/>
      <c r="D8" s="10" t="str">
        <f>IF(B7="Tube","Gusset","Centrefold")</f>
        <v>Gusset</v>
      </c>
      <c r="E8" s="96" t="str">
        <f>IF(B7="Cont Centrefold",B8*2,"")</f>
        <v/>
      </c>
      <c r="F8" s="97"/>
      <c r="G8" s="10" t="s">
        <v>50</v>
      </c>
      <c r="H8" s="67">
        <v>150</v>
      </c>
      <c r="I8" s="68"/>
      <c r="J8" s="9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1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1" t="s">
        <v>46</v>
      </c>
      <c r="H9" s="83" t="s">
        <v>164</v>
      </c>
      <c r="I9" s="84"/>
      <c r="J9" s="9" t="s">
        <v>53</v>
      </c>
      <c r="K9" s="45" t="s">
        <v>28</v>
      </c>
      <c r="L9" s="46"/>
    </row>
    <row r="10" spans="1:14" ht="20.100000000000001" customHeight="1" x14ac:dyDescent="0.25">
      <c r="A10" s="9" t="s">
        <v>49</v>
      </c>
      <c r="B10" s="45">
        <v>10</v>
      </c>
      <c r="C10" s="46"/>
      <c r="D10" s="34" t="s">
        <v>104</v>
      </c>
      <c r="E10" s="87">
        <f>E11*B10</f>
        <v>100</v>
      </c>
      <c r="F10" s="88"/>
      <c r="G10" s="9" t="s">
        <v>51</v>
      </c>
      <c r="H10" s="91">
        <f>H11*B10</f>
        <v>2322.5806451612907</v>
      </c>
      <c r="I10" s="92"/>
      <c r="J10" s="9" t="s">
        <v>39</v>
      </c>
      <c r="K10" s="45" t="s">
        <v>42</v>
      </c>
      <c r="L10" s="46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0" t="s">
        <v>105</v>
      </c>
      <c r="E11" s="89">
        <v>10</v>
      </c>
      <c r="F11" s="90"/>
      <c r="G11" s="40" t="s">
        <v>13</v>
      </c>
      <c r="H11" s="93">
        <f>E11*540000/B8/H8</f>
        <v>232.25806451612905</v>
      </c>
      <c r="I11" s="94"/>
      <c r="J11" s="40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9" t="s">
        <v>59</v>
      </c>
      <c r="B13" s="45" t="s">
        <v>42</v>
      </c>
      <c r="C13" s="45"/>
      <c r="D13" s="46"/>
      <c r="E13" s="12" t="s">
        <v>60</v>
      </c>
      <c r="F13" s="45" t="s">
        <v>42</v>
      </c>
      <c r="G13" s="45"/>
      <c r="H13" s="46"/>
      <c r="I13" s="9" t="s">
        <v>61</v>
      </c>
      <c r="J13" s="45" t="s">
        <v>42</v>
      </c>
      <c r="K13" s="45"/>
      <c r="L13" s="46"/>
    </row>
    <row r="14" spans="1:14" ht="20.100000000000001" customHeight="1" x14ac:dyDescent="0.3">
      <c r="A14" s="10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9" t="s">
        <v>71</v>
      </c>
      <c r="B16" s="45" t="s">
        <v>75</v>
      </c>
      <c r="C16" s="45"/>
      <c r="D16" s="46"/>
      <c r="E16" s="9" t="s">
        <v>72</v>
      </c>
      <c r="F16" s="100">
        <f>B10</f>
        <v>10</v>
      </c>
      <c r="G16" s="100"/>
      <c r="H16" s="101"/>
      <c r="I16" s="9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8" t="s">
        <v>76</v>
      </c>
      <c r="H19" s="29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8" t="s">
        <v>77</v>
      </c>
      <c r="H20" s="29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8" t="s">
        <v>78</v>
      </c>
      <c r="H21" s="29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8" t="s">
        <v>79</v>
      </c>
      <c r="H22" s="29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8" t="s">
        <v>80</v>
      </c>
      <c r="H23" s="29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8" t="s">
        <v>81</v>
      </c>
      <c r="H24" s="29"/>
      <c r="I24" s="65"/>
      <c r="J24" s="66"/>
      <c r="K24" s="65"/>
      <c r="L24" s="66"/>
    </row>
    <row r="25" spans="1:12" ht="20.100000000000001" customHeight="1" x14ac:dyDescent="0.25">
      <c r="A25" s="77" t="s">
        <v>167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8" t="s">
        <v>82</v>
      </c>
      <c r="H25" s="29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118" t="s">
        <v>103</v>
      </c>
      <c r="H27" s="118"/>
      <c r="I27" s="118" t="s">
        <v>102</v>
      </c>
      <c r="J27" s="118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166</v>
      </c>
      <c r="C28" s="6"/>
      <c r="D28" s="21">
        <v>87</v>
      </c>
      <c r="E28" s="43">
        <v>2</v>
      </c>
      <c r="F28" s="6"/>
      <c r="G28" s="114"/>
      <c r="H28" s="114"/>
      <c r="I28" s="114"/>
      <c r="J28" s="114"/>
      <c r="K28" s="6"/>
      <c r="L28" s="21"/>
    </row>
    <row r="29" spans="1:12" ht="20.100000000000001" customHeight="1" x14ac:dyDescent="0.25">
      <c r="A29" s="14" t="s">
        <v>91</v>
      </c>
      <c r="B29" s="6" t="s">
        <v>166</v>
      </c>
      <c r="C29" s="6"/>
      <c r="D29" s="21">
        <v>92</v>
      </c>
      <c r="E29" s="43">
        <v>2.4</v>
      </c>
      <c r="F29" s="6"/>
      <c r="G29" s="114"/>
      <c r="H29" s="114"/>
      <c r="I29" s="114"/>
      <c r="J29" s="114"/>
      <c r="K29" s="6"/>
      <c r="L29" s="21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46116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46106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7527AD5-B4F6-400A-84BE-84D7A7F8BCBF}"/>
</file>

<file path=customXml/itemProps2.xml><?xml version="1.0" encoding="utf-8"?>
<ds:datastoreItem xmlns:ds="http://schemas.openxmlformats.org/officeDocument/2006/customXml" ds:itemID="{3A47A6E8-AF9C-4B67-AEF0-F4B647E30D81}"/>
</file>

<file path=customXml/itemProps3.xml><?xml version="1.0" encoding="utf-8"?>
<ds:datastoreItem xmlns:ds="http://schemas.openxmlformats.org/officeDocument/2006/customXml" ds:itemID="{344EDC37-D51B-4BDE-83F4-CDEBDF70F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2025-01-06T05:03:04Z</cp:lastPrinted>
  <dcterms:created xsi:type="dcterms:W3CDTF">2019-11-27T23:28:06Z</dcterms:created>
  <dcterms:modified xsi:type="dcterms:W3CDTF">2026-03-04T08:22:34Z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