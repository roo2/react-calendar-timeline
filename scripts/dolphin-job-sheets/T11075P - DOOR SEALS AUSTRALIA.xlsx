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CF9AE7D-BCBE-4D5C-8631-1C0A54F33A7C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<sst xmlns="http://schemas.openxmlformats.org/spreadsheetml/2006/main" count="227" uniqueCount="168">
  <si>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</si>
  <si>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</si>
  <si>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</si>
  <si>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</si>
  <si>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</si>
  <si>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</si>
  <si>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</si>
  <si>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</si>
  <si>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</si>
  <si>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</si>
  <si>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</si>
  <si>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</si>
  <si>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</si>
  <si>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</si>
  <si>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</si>
  <si>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</si>
  <si>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</si>
  <si>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</si>
  <si>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</si>
  <si>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</si>
  <si>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</si>
  <si>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</si>
  <si>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</si>
  <si>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</si>
  <si>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</si>
  <si>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</si>
  <si>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</si>
  <si>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</si>
  <si>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</si>
  <si>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</si>
  <si>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</si>
  <si>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</si>
  <si>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</si>
  <si>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</si>
  <si>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</si>
  <si>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</si>
  <si>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</si>
  <si>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</si>
  <si>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</si>
  <si>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</si>
  <si>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</si>
  <si>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</si>
  <si>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</si>
  <si>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</si>
  <si>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</si>
  <si>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</si>
  <si>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</si>
  <si>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</si>
  <si>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</si>
  <si>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</si>
  <si>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</si>
  <si>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</si>
  <si>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</si>
  <si>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</si>
  <si>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</si>
  <si>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</si>
  <si>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</si>
  <si>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</si>
  <si>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</si>
  <si>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</si>
  <si>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</si>
  <si>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</si>
  <si>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</si>
  <si>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</si>
  <si>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</si>
  <si>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</si>
  <si>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</si>
  <si>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</si>
  <si>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</si>
  <si>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</si>
  <si>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</si>
  <si>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</si>
  <si>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</si>
  <si>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</si>
  <si>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</si>
  <si>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</si>
  <si>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</si>
  <si>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</si>
  <si>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</si>
  <si>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</si>
  <si>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</si>
  <si>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</si>
  <si>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</si>
  <si>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</si>
  <si>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</si>
  <si>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</si>
  <si>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</si>
  <si>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</si>
  <si>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</si>
  <si>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</si>
  <si>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</si>
  <si>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</si>
  <si>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</si>
  <si>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</si>
  <si>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</si>
  <si>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</si>
  <si>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</si>
  <si>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</si>
  <si>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</si>
  <si>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</si>
  <si>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</si>
  <si>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</si>
  <si>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</si>
  <si>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</si>
  <si>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</si>
  <si>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</si>
  <si>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</si>
  <si>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</si>
  <si>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</si>
  <si>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</si>
  <si>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</si>
  <si>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</si>
  <si>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</si>
  <si>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</si>
  <si>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</si>
  <si>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</si>
  <si>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</si>
  <si>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</si>
  <si>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</si>
  <si>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</si>
  <si>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</si>
  <si>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</si>
  <si>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</si>
  <si>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</si>
  <si>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</si>
  <si>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</si>
  <si>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</si>
  <si>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</si>
  <si>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</si>
  <si>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</si>
  <si>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</si>
  <si>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</si>
  <si>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</si>
  <si>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</si>
  <si>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</si>
  <si>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</si>
  <si>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</si>
  <si>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</si>
  <si>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</si>
  <si>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</si>
  <si>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</si>
  <si>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</si>
  <si>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</si>
  <si>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</si>
  <si>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</si>
  <si>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</si>
  <si>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</si>
  <si>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</si>
  <si>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</si>
  <si>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</si>
  <si>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</si>
  <si>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</si>
  <si>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</si>
  <si>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</si>
  <si>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</si>
  <si>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</si>
  <si>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</si>
  <si>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</si>
  <si>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</si>
  <si>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</si>
  <si>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</si>
  <si>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</si>
  <si>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</si>
  <si>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DOOR SEALS AUSTRALIA</t>
  </si>
  <si>
    <t>"DOOR SEALS AUSTRALIA"</t>
  </si>
  <si>
    <t>RUN AT 70-75um</t>
  </si>
  <si>
    <t xml:space="preserve"> +/- 5mm</t>
  </si>
  <si>
    <t>MUST HAVE AIR IN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</si>
</sst>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topLeftCell="A46" zoomScale="80" zoomScaleNormal="80" workbookViewId="0">
      <selection activeCell="K11" sqref="K11:L11"/>
    </sheetView>
  </sheetViews>
  <sheetFormatPr defaultRowHeight="15.05" x14ac:dyDescent="0.3"/>
  <sheetData>
    <row r="1" spans="1:14" ht="20.05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T11075P</v>
      </c>
      <c r="C1" s="112"/>
      <c r="D1" s="113"/>
      <c r="E1" s="12" t="s">
        <v>55</v>
      </c>
      <c r="F1" s="123" t="s">
        <v>163</v>
      </c>
      <c r="G1" s="123"/>
      <c r="H1" s="124"/>
      <c r="I1" s="12" t="s">
        <v>147</v>
      </c>
      <c r="J1" s="125">
        <f ca="1">TODAY()</f>
        <v>44011</v>
      </c>
      <c r="K1" s="125"/>
      <c r="L1" s="126"/>
    </row>
    <row r="2" spans="1:14" ht="20.05" customHeight="1" x14ac:dyDescent="0.3">
      <c r="A2" s="12" t="s">
        <v>94</v>
      </c>
      <c r="B2" s="103" t="str">
        <f>IF(B7="Tube",(ROUNDUP(E11,0)&amp;"KG"),(ROUNDUP(H11,0)&amp;"M"))</f>
        <v>10KG</v>
      </c>
      <c r="C2" s="103"/>
      <c r="D2" s="104"/>
      <c r="E2" s="12" t="s">
        <v>56</v>
      </c>
      <c r="F2" s="55">
        <v>937615</v>
      </c>
      <c r="G2" s="55"/>
      <c r="H2" s="56"/>
      <c r="I2" s="12" t="s">
        <v>57</v>
      </c>
      <c r="J2" s="127" t="s">
        <v>161</v>
      </c>
      <c r="K2" s="55"/>
      <c r="L2" s="56"/>
    </row>
    <row r="3" spans="1:14" ht="20.05" customHeight="1" x14ac:dyDescent="0.3">
      <c r="A3" s="114" t="s">
        <v>167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05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05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05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05" customHeight="1" x14ac:dyDescent="0.35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05" customHeight="1" x14ac:dyDescent="0.3">
      <c r="A8" s="13" t="s">
        <v>14</v>
      </c>
      <c r="B8" s="77">
        <v>110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75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05" customHeight="1" x14ac:dyDescent="0.35">
      <c r="A9" s="14" t="s">
        <v>46</v>
      </c>
      <c r="B9" s="95" t="s">
        <v>166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10</v>
      </c>
      <c r="C10" s="56"/>
      <c r="D10" s="42" t="s">
        <v>104</v>
      </c>
      <c r="E10" s="99">
        <f>E11*B10</f>
        <v>100</v>
      </c>
      <c r="F10" s="100"/>
      <c r="G10" s="12" t="s">
        <v>51</v>
      </c>
      <c r="H10" s="103">
        <f>H11*B10</f>
        <v>6545.454545454545</v>
      </c>
      <c r="I10" s="104"/>
      <c r="J10" s="12" t="s">
        <v>39</v>
      </c>
      <c r="K10" s="55" t="s">
        <v>42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10</v>
      </c>
      <c r="F11" s="102"/>
      <c r="G11" s="51" t="s">
        <v>13</v>
      </c>
      <c r="H11" s="105">
        <f>E11*540000/B8/H8</f>
        <v>654.5454545454545</v>
      </c>
      <c r="I11" s="106"/>
      <c r="J11" s="51" t="s">
        <v>48</v>
      </c>
      <c r="K11" s="110" t="s">
        <v>64</v>
      </c>
      <c r="L11" s="111"/>
      <c r="N11"/>
    </row>
    <row r="12" spans="1:14" ht="20.05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05" customHeight="1" x14ac:dyDescent="0.3">
      <c r="A13" s="12" t="s">
        <v>59</v>
      </c>
      <c r="B13" s="55" t="s">
        <v>69</v>
      </c>
      <c r="C13" s="55"/>
      <c r="D13" s="56"/>
      <c r="E13" s="16" t="s">
        <v>60</v>
      </c>
      <c r="F13" s="55" t="s">
        <v>65</v>
      </c>
      <c r="G13" s="55"/>
      <c r="H13" s="56"/>
      <c r="I13" s="17" t="s">
        <v>61</v>
      </c>
      <c r="J13" s="55" t="s">
        <v>118</v>
      </c>
      <c r="K13" s="55"/>
      <c r="L13" s="56"/>
    </row>
    <row r="14" spans="1:14" ht="20.05" customHeight="1" x14ac:dyDescent="0.35">
      <c r="A14" s="13" t="s">
        <v>58</v>
      </c>
      <c r="B14" s="54" t="s">
        <v>164</v>
      </c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05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10</v>
      </c>
      <c r="G16" s="112"/>
      <c r="H16" s="113"/>
      <c r="I16" s="12" t="s">
        <v>74</v>
      </c>
      <c r="J16" s="55"/>
      <c r="K16" s="55"/>
      <c r="L16" s="56"/>
    </row>
    <row r="17" spans="1:12" ht="20.05" customHeight="1" x14ac:dyDescent="0.3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05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05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05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05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05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05" customHeight="1" x14ac:dyDescent="0.3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05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05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05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44041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44032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C93508D-00F1-4B2A-A810-86F1C6B79402}"/>
</file>

<file path=customXml/itemProps2.xml><?xml version="1.0" encoding="utf-8"?>
<ds:datastoreItem xmlns:ds="http://schemas.openxmlformats.org/officeDocument/2006/customXml" ds:itemID="{19AAD593-CA08-42C8-BD0E-6EDEE059203F}"/>
</file>

<file path=customXml/itemProps3.xml><?xml version="1.0" encoding="utf-8"?>
<ds:datastoreItem xmlns:ds="http://schemas.openxmlformats.org/officeDocument/2006/customXml" ds:itemID="{8F347B94-FF4E-463E-B3FE-E7C948DB9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2020-06-29T02:10:10Z</cp:lastPrinted>
  <dcterms:created xsi:type="dcterms:W3CDTF">2019-11-27T23:28:06Z</dcterms:created>
  <dcterms:modified xsi:type="dcterms:W3CDTF">2020-06-29T02:10:15Z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