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B1D2DAC5-8BBA-4B43-B7F8-8F8649783FA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O9" i="1" l="1"/>
  <c r="A11" i="1" l="1"/>
  <c r="W13" i="1" l="1"/>
  <c r="W2" i="1" l="1"/>
  <c r="T17" i="1" l="1"/>
  <c r="T7" i="1"/>
  <c r="Q7" i="1"/>
  <c r="N7" i="1"/>
  <c r="W17" i="1"/>
  <c r="W16" i="1"/>
  <c r="S1" i="1"/>
  <c r="S2" i="1"/>
  <c r="U7" i="1"/>
  <c r="R10" i="1"/>
  <c r="R11" i="1" s="1"/>
  <c r="O11" i="1"/>
  <c r="Q13" i="1"/>
  <c r="U13" i="1" l="1"/>
  <c r="H10" i="1"/>
  <c r="C24" i="1"/>
  <c r="C23" i="1"/>
  <c r="B2" i="1" l="1"/>
  <c r="O2" i="1" s="1"/>
  <c r="H8" i="1" l="1"/>
  <c r="E10" i="1" s="1"/>
  <c r="A22" i="1"/>
  <c r="C22" i="1" s="1"/>
  <c r="B8" i="1" l="1"/>
  <c r="D9" i="1" l="1"/>
  <c r="B11" i="1" s="1"/>
  <c r="E8" i="1"/>
  <c r="X9" i="1" s="1"/>
  <c r="X8" i="1" s="1"/>
  <c r="J1" i="1"/>
  <c r="B1" i="1" l="1"/>
  <c r="K8" i="1"/>
  <c r="A5" i="2"/>
  <c r="W1" i="1"/>
  <c r="A4" i="2"/>
  <c r="H11" i="1"/>
  <c r="E11" i="1"/>
  <c r="O1" i="1" l="1"/>
</calcChain>
</file>

<file path=xl/sharedStrings.xml><?xml version="1.0" encoding="utf-8"?>
<sst xmlns="http://schemas.openxmlformats.org/spreadsheetml/2006/main" count="305" uniqueCount="199">
  <si>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</si>
  <si>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</si>
  <si>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</si>
  <si>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</si>
  <si>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</si>
  <si>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</si>
  <si>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</si>
  <si>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</si>
  <si>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</si>
  <si>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</si>
  <si>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</si>
  <si>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</si>
  <si>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</si>
  <si>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</si>
  <si>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</si>
  <si>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</si>
  <si>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</si>
  <si>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</si>
  <si>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</si>
  <si>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</si>
  <si>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</si>
  <si>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</si>
  <si>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</si>
  <si>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</si>
  <si>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</si>
  <si>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</si>
  <si>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</si>
  <si>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</si>
  <si>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</si>
  <si>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</si>
  <si>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</si>
  <si>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</si>
  <si>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</si>
  <si>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</si>
  <si>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</si>
  <si>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</si>
  <si>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</si>
  <si>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</si>
  <si>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</si>
  <si>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</si>
  <si>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</si>
  <si>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</si>
  <si>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</si>
  <si>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</si>
  <si>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</si>
  <si>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</si>
  <si>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</si>
  <si>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</si>
  <si>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</si>
  <si>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</si>
  <si>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</si>
  <si>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</si>
  <si>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</si>
  <si>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</si>
  <si>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</si>
  <si>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</si>
  <si>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</si>
  <si>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</si>
  <si>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</si>
  <si>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</si>
  <si>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</si>
  <si>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</si>
  <si>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</si>
  <si>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</si>
  <si>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</si>
  <si>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</si>
  <si>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</si>
  <si>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</si>
  <si>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</si>
  <si>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</si>
  <si>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</si>
  <si>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</si>
  <si>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</si>
  <si>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</si>
  <si>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</si>
  <si>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</si>
  <si>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</si>
  <si>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</si>
  <si>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</si>
  <si>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</si>
  <si>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</si>
  <si>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</si>
  <si>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</si>
  <si>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</si>
  <si>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</si>
  <si>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</si>
  <si>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</si>
  <si>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</si>
  <si>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</si>
  <si>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</si>
  <si>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</si>
  <si>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</si>
  <si>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</si>
  <si>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</si>
  <si>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</si>
  <si>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</si>
  <si>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</si>
  <si>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</si>
  <si>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</si>
  <si>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</si>
  <si>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</si>
  <si>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</si>
  <si>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</si>
  <si>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</si>
  <si>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</si>
  <si>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</si>
  <si>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</si>
  <si>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</si>
  <si>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</si>
  <si>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</si>
  <si>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</si>
  <si>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</si>
  <si>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</si>
  <si>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</si>
  <si>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</si>
  <si>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</si>
  <si>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</si>
  <si>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</si>
  <si>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</si>
  <si>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</si>
  <si>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</si>
  <si>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</si>
  <si>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</si>
  <si>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</si>
  <si>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</si>
  <si>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</si>
  <si>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</si>
  <si>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</si>
  <si>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</si>
  <si>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</si>
  <si>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</si>
  <si>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</si>
  <si>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</si>
  <si>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</si>
  <si>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</si>
  <si>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</si>
  <si>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</si>
  <si>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</si>
  <si>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</si>
  <si>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</si>
  <si>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</si>
  <si>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</si>
  <si>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</si>
  <si>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</si>
  <si>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</si>
  <si>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</si>
  <si>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</si>
  <si>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</si>
  <si>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</si>
  <si>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</si>
  <si>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</si>
  <si>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</si>
  <si>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</si>
  <si>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</si>
  <si>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</si>
  <si>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</si>
  <si>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</si>
  <si>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</si>
  <si>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</si>
  <si>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</si>
  <si>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</si>
  <si>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</si>
  <si>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</si>
  <si>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</si>
  <si>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</si>
  <si>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</si>
  <si>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</si>
  <si>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</si>
  <si>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</si>
  <si>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</si>
  <si>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</si>
  <si>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</si>
  <si>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</si>
  <si>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</si>
  <si>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</si>
  <si>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</si>
  <si>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</si>
  <si>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</si>
  <si>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</si>
  <si>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</si>
  <si>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</si>
  <si>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</si>
  <si>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</si>
  <si>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</si>
  <si>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</si>
  <si>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</si>
  <si>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</si>
  <si>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</si>
  <si>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</si>
  <si>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</si>
  <si>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</si>
  <si>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</si>
  <si>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</si>
  <si>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</si>
  <si>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WAREHOUSE STOCK</t>
  </si>
  <si>
    <t>WAREHOUSE</t>
  </si>
  <si>
    <t xml:space="preserve"> +/-10mm</t>
  </si>
  <si>
    <t>FOOD GRADE TOP SHEET</t>
  </si>
  <si>
    <t xml:space="preserve"> +/-5um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</si>
</sst>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0" fillId="0" borderId="0" xfId="0" applyProtection="1">
      <protection locked="0"/>
    </xf>
    <xf numFmtId="0" fontId="3" fillId="0" borderId="9" xfId="0" applyFont="1" applyBorder="1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4" xfId="0" applyFont="1" applyBorder="1" applyProtection="1"/>
    <xf numFmtId="0" fontId="3" fillId="0" borderId="7" xfId="0" applyFont="1" applyBorder="1" applyProtection="1"/>
    <xf numFmtId="0" fontId="3" fillId="0" borderId="7" xfId="0" applyFont="1" applyFill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0" borderId="0" xfId="0" applyFont="1" applyBorder="1" applyAlignment="1" applyProtection="1">
      <alignment horizontal="center"/>
    </xf>
    <xf numFmtId="0" fontId="3" fillId="0" borderId="9" xfId="0" applyFont="1" applyBorder="1" applyProtection="1"/>
    <xf numFmtId="0" fontId="3" fillId="0" borderId="11" xfId="0" applyFont="1" applyBorder="1" applyProtection="1"/>
    <xf numFmtId="0" fontId="3" fillId="0" borderId="0" xfId="0" applyFont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5" borderId="4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5" xfId="0" applyFont="1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10" fillId="0" borderId="5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6" fillId="0" borderId="7" xfId="0" applyFont="1" applyBorder="1" applyAlignment="1" applyProtection="1">
      <alignment horizontal="center" vertical="center"/>
      <protection locked="0"/>
    </xf>
    <xf numFmtId="0" fontId="3" fillId="4" borderId="2" xfId="0" applyFont="1" applyFill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H9" sqref="H9:I9"/>
    </sheetView>
  </sheetViews>
  <sheetFormatPr defaultRowHeight="15" x14ac:dyDescent="0.25"/>
  <sheetData>
    <row r="1" spans="1:25" ht="20.100000000000001" customHeight="1" x14ac:dyDescent="0.25">
      <c r="A1" s="26" t="s">
        <v>55</v>
      </c>
      <c r="B1" s="109" t="str">
        <f>O9&amp;R9&amp;IF(X8="G","G","")&amp;IF(O8="Centrefold Roll","("&amp;E8&amp;")","")&amp;T9&amp;V9&amp;C22&amp;C23&amp;C24&amp;O11&amp;R11</f>
        <v>CFR840(1680)168030BT</v>
      </c>
      <c r="C1" s="109"/>
      <c r="D1" s="110"/>
      <c r="E1" s="26" t="s">
        <v>56</v>
      </c>
      <c r="F1" s="133" t="s">
        <v>195</v>
      </c>
      <c r="G1" s="133"/>
      <c r="H1" s="134"/>
      <c r="I1" s="26" t="s">
        <v>180</v>
      </c>
      <c r="J1" s="130">
        <f ca="1">TODAY()</f>
        <v>44474</v>
      </c>
      <c r="K1" s="130"/>
      <c r="L1" s="131"/>
      <c r="M1" s="12"/>
      <c r="N1" s="26" t="s">
        <v>55</v>
      </c>
      <c r="O1" s="109" t="str">
        <f>B1</f>
        <v>CFR840(1680)168030BT</v>
      </c>
      <c r="P1" s="109"/>
      <c r="Q1" s="110"/>
      <c r="R1" s="26" t="s">
        <v>56</v>
      </c>
      <c r="S1" s="109" t="str">
        <f>F1</f>
        <v>WAREHOUSE</v>
      </c>
      <c r="T1" s="109"/>
      <c r="U1" s="110"/>
      <c r="V1" s="26" t="s">
        <v>180</v>
      </c>
      <c r="W1" s="130">
        <f ca="1">J1</f>
        <v>44474</v>
      </c>
      <c r="X1" s="130"/>
      <c r="Y1" s="131"/>
    </row>
    <row r="2" spans="1:25" ht="20.100000000000001" customHeight="1" x14ac:dyDescent="0.25">
      <c r="A2" s="26" t="s">
        <v>99</v>
      </c>
      <c r="B2" s="109" t="str">
        <f>IF(U10="","",U10)</f>
        <v>FOOD GRADE TOP SHEET</v>
      </c>
      <c r="C2" s="109"/>
      <c r="D2" s="110"/>
      <c r="E2" s="26" t="s">
        <v>57</v>
      </c>
      <c r="F2" s="111">
        <v>54889</v>
      </c>
      <c r="G2" s="111"/>
      <c r="H2" s="112"/>
      <c r="I2" s="26" t="s">
        <v>58</v>
      </c>
      <c r="J2" s="139">
        <v>43960</v>
      </c>
      <c r="K2" s="111"/>
      <c r="L2" s="112"/>
      <c r="M2" s="12"/>
      <c r="N2" s="26" t="s">
        <v>99</v>
      </c>
      <c r="O2" s="109" t="str">
        <f>IF(B2="","",B2)</f>
        <v>FOOD GRADE TOP SHEET</v>
      </c>
      <c r="P2" s="109"/>
      <c r="Q2" s="110"/>
      <c r="R2" s="26" t="s">
        <v>57</v>
      </c>
      <c r="S2" s="109">
        <f>IF(F2="","",F2)</f>
        <v>54889</v>
      </c>
      <c r="T2" s="109"/>
      <c r="U2" s="110"/>
      <c r="V2" s="26" t="s">
        <v>58</v>
      </c>
      <c r="W2" s="132">
        <f>J2</f>
        <v>43960</v>
      </c>
      <c r="X2" s="109"/>
      <c r="Y2" s="110"/>
    </row>
    <row r="3" spans="1:25" ht="20.100000000000001" customHeight="1" x14ac:dyDescent="0.25">
      <c r="A3" s="135" t="s">
        <v>194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3"/>
      <c r="M3" s="12"/>
      <c r="N3" s="121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3"/>
    </row>
    <row r="4" spans="1:25" ht="20.100000000000001" customHeight="1" x14ac:dyDescent="0.25">
      <c r="A4" s="124"/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6"/>
      <c r="M4" s="12"/>
      <c r="N4" s="124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6"/>
    </row>
    <row r="5" spans="1:25" ht="20.100000000000001" customHeight="1" x14ac:dyDescent="0.25">
      <c r="A5" s="127"/>
      <c r="B5" s="128"/>
      <c r="C5" s="128"/>
      <c r="D5" s="128"/>
      <c r="E5" s="128"/>
      <c r="F5" s="128"/>
      <c r="G5" s="128"/>
      <c r="H5" s="128"/>
      <c r="I5" s="128"/>
      <c r="J5" s="128"/>
      <c r="K5" s="128"/>
      <c r="L5" s="129"/>
      <c r="M5" s="12"/>
      <c r="N5" s="127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9"/>
    </row>
    <row r="6" spans="1:25" ht="20.100000000000001" customHeight="1" x14ac:dyDescent="0.25">
      <c r="A6" s="100" t="s">
        <v>1</v>
      </c>
      <c r="B6" s="101"/>
      <c r="C6" s="101"/>
      <c r="D6" s="101"/>
      <c r="E6" s="101"/>
      <c r="F6" s="101"/>
      <c r="G6" s="101"/>
      <c r="H6" s="101"/>
      <c r="I6" s="101"/>
      <c r="J6" s="102"/>
      <c r="K6" s="102"/>
      <c r="L6" s="103"/>
      <c r="M6" s="12"/>
      <c r="N6" s="104" t="s">
        <v>1</v>
      </c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6"/>
    </row>
    <row r="7" spans="1:25" ht="20.100000000000001" customHeight="1" x14ac:dyDescent="0.3">
      <c r="A7" s="26" t="s">
        <v>48</v>
      </c>
      <c r="B7" s="119" t="s">
        <v>158</v>
      </c>
      <c r="C7" s="119"/>
      <c r="D7" s="119"/>
      <c r="E7" s="119"/>
      <c r="F7" s="119"/>
      <c r="G7" s="119"/>
      <c r="H7" s="119"/>
      <c r="I7" s="120"/>
      <c r="J7" s="136" t="s">
        <v>178</v>
      </c>
      <c r="K7" s="136"/>
      <c r="L7" s="86"/>
      <c r="M7" s="12"/>
      <c r="N7" s="26" t="str">
        <f>IF(ISNUMBER(SEARCH("roll",O8,1)),"No. Rolls","No. Cartons")</f>
        <v>No. Rolls</v>
      </c>
      <c r="O7" s="111">
        <v>10</v>
      </c>
      <c r="P7" s="112"/>
      <c r="Q7" s="26" t="str">
        <f>IF(ISNUMBER(SEARCH("roll",O8,1)),"Per Roll","Per Carton")</f>
        <v>Per Roll</v>
      </c>
      <c r="R7" s="111">
        <v>250</v>
      </c>
      <c r="S7" s="112"/>
      <c r="T7" s="26" t="str">
        <f>IF(ISNUMBER(SEARCH("bag",O8,1)),"Total Bags","Total Sheets")</f>
        <v>Total Sheets</v>
      </c>
      <c r="U7" s="109">
        <f>R7*O7</f>
        <v>2500</v>
      </c>
      <c r="V7" s="110"/>
      <c r="W7" s="26" t="s">
        <v>101</v>
      </c>
      <c r="X7" s="111" t="s">
        <v>30</v>
      </c>
      <c r="Y7" s="112"/>
    </row>
    <row r="8" spans="1:25" ht="20.100000000000001" customHeight="1" x14ac:dyDescent="0.25">
      <c r="A8" s="33" t="s">
        <v>15</v>
      </c>
      <c r="B8" s="137">
        <f>R9</f>
        <v>840</v>
      </c>
      <c r="C8" s="138"/>
      <c r="D8" s="33" t="str">
        <f>IF(ISNUMBER(SEARCH("bag",O8,1)),"Gusset","Centrefold")</f>
        <v>Centrefold</v>
      </c>
      <c r="E8" s="137">
        <f>IF(O8="Centrefold Roll",B8*2,IF(X9="","None",X9))</f>
        <v>1680</v>
      </c>
      <c r="F8" s="138"/>
      <c r="G8" s="33" t="s">
        <v>51</v>
      </c>
      <c r="H8" s="137">
        <f>(IF(V9&lt;30,"30",V9))</f>
        <v>30</v>
      </c>
      <c r="I8" s="138"/>
      <c r="J8" s="26" t="s">
        <v>53</v>
      </c>
      <c r="K8" s="109" t="str">
        <f>IF(X8="None","Layflat Tube",IF(X8="","Layflat Tube",IF(X8="CF","Layflat Tube",IF(X8="G","Gusset Tube",IF(X9="","Layflat Tube",)))))</f>
        <v>Layflat Tube</v>
      </c>
      <c r="L8" s="110"/>
      <c r="M8" s="12"/>
      <c r="N8" s="27" t="s">
        <v>53</v>
      </c>
      <c r="O8" s="142" t="s">
        <v>193</v>
      </c>
      <c r="P8" s="143"/>
      <c r="Q8" s="27" t="s">
        <v>189</v>
      </c>
      <c r="R8" s="29" t="s">
        <v>15</v>
      </c>
      <c r="S8" s="29"/>
      <c r="T8" s="29" t="s">
        <v>78</v>
      </c>
      <c r="U8" s="29"/>
      <c r="V8" s="29" t="s">
        <v>79</v>
      </c>
      <c r="W8" s="30" t="str">
        <f>IF(ISNUMBER(SEARCH("bag",O8,1)),"Gusset","Centrefold")</f>
        <v>Centrefold</v>
      </c>
      <c r="X8" s="140" t="str">
        <f>IF(AND(W8="Gusset",X9=""), "None",IF(AND(W8="Centrefold",X9=""),"None",IF(W8="Gusset","G",IF(W8="Centrefold","CF"))))</f>
        <v>CF</v>
      </c>
      <c r="Y8" s="141"/>
    </row>
    <row r="9" spans="1:25" ht="20.100000000000001" customHeight="1" x14ac:dyDescent="0.3">
      <c r="A9" s="39" t="s">
        <v>47</v>
      </c>
      <c r="B9" s="107" t="s">
        <v>196</v>
      </c>
      <c r="C9" s="108"/>
      <c r="D9" s="157" t="str">
        <f>IF(K10="Middle","RUN 2 UP",IF(AND(O8="Centrefold Roll",B8=380),"RUN 2 UP",""))</f>
        <v/>
      </c>
      <c r="E9" s="119"/>
      <c r="F9" s="120"/>
      <c r="G9" s="39" t="s">
        <v>47</v>
      </c>
      <c r="H9" s="107" t="s">
        <v>198</v>
      </c>
      <c r="I9" s="108"/>
      <c r="J9" s="26" t="s">
        <v>54</v>
      </c>
      <c r="K9" s="111" t="s">
        <v>33</v>
      </c>
      <c r="L9" s="112"/>
      <c r="M9" s="12"/>
      <c r="N9" s="32"/>
      <c r="O9" s="144" t="str">
        <f>IF(O8="Poly Bag","PB",IF(O8="Poly Bag Roll","PBR",IF(O8="Centrefold Roll","CFR",IF(O8="Sheet","S",IF(O8="Sheet Roll","SR")))))</f>
        <v>CFR</v>
      </c>
      <c r="P9" s="145"/>
      <c r="Q9" s="13"/>
      <c r="R9" s="14">
        <v>840</v>
      </c>
      <c r="S9" s="31" t="s">
        <v>77</v>
      </c>
      <c r="T9" s="14">
        <v>1680</v>
      </c>
      <c r="U9" s="31" t="s">
        <v>77</v>
      </c>
      <c r="V9" s="14">
        <v>30</v>
      </c>
      <c r="W9" s="32"/>
      <c r="X9" s="155">
        <f>E8</f>
        <v>1680</v>
      </c>
      <c r="Y9" s="156"/>
    </row>
    <row r="10" spans="1:25" ht="20.100000000000001" customHeight="1" x14ac:dyDescent="0.25">
      <c r="A10" s="26" t="s">
        <v>50</v>
      </c>
      <c r="B10" s="111">
        <v>10</v>
      </c>
      <c r="C10" s="112"/>
      <c r="D10" s="56" t="s">
        <v>133</v>
      </c>
      <c r="E10" s="113">
        <f>IF(ISNUMBER(SEARCH("sheet",O8,1)),((R9*T9*H8/540000)*U7/2000*1.3),((R9*T9*H8/540000)*U7/1000*1.08))</f>
        <v>211.68</v>
      </c>
      <c r="F10" s="114"/>
      <c r="G10" s="26" t="s">
        <v>52</v>
      </c>
      <c r="H10" s="147">
        <f>IF(ISNUMBER(SEARCH("sheet",O8,1)),(U7*T9/2000*1.08),(U7*T9/1000*1.08))</f>
        <v>4536</v>
      </c>
      <c r="I10" s="148"/>
      <c r="J10" s="26" t="s">
        <v>40</v>
      </c>
      <c r="K10" s="111" t="s">
        <v>41</v>
      </c>
      <c r="L10" s="112"/>
      <c r="M10" s="12"/>
      <c r="N10" s="28" t="s">
        <v>140</v>
      </c>
      <c r="O10" s="142" t="s">
        <v>43</v>
      </c>
      <c r="P10" s="143"/>
      <c r="Q10" s="27" t="s">
        <v>49</v>
      </c>
      <c r="R10" s="140" t="str">
        <f>IF(K11="NONE","None",IF(K11="INLINE","Yes",IF(K11="OUT OF LINE","Yes")))</f>
        <v>None</v>
      </c>
      <c r="S10" s="141"/>
      <c r="T10" s="27" t="s">
        <v>99</v>
      </c>
      <c r="U10" s="151" t="s">
        <v>197</v>
      </c>
      <c r="V10" s="151"/>
      <c r="W10" s="151"/>
      <c r="X10" s="151"/>
      <c r="Y10" s="152"/>
    </row>
    <row r="11" spans="1:25" ht="20.100000000000001" customHeight="1" x14ac:dyDescent="0.25">
      <c r="A11" s="26" t="str">
        <f>IF(O8="Centrefold Roll","CF Rolls",IF(ISNUMBER(SEARCH("sheet",O8,1)),"Sheet Rolls",""))</f>
        <v>CF Rolls</v>
      </c>
      <c r="B11" s="109" t="str">
        <f>IF(AND(O8="Centrefold Roll",D9="RUN 2 UP"),B10*2,IF(ISNUMBER(SEARCH("sheet",O8,1)),B10*2,""))</f>
        <v/>
      </c>
      <c r="C11" s="110"/>
      <c r="D11" s="26" t="s">
        <v>134</v>
      </c>
      <c r="E11" s="117">
        <f>E10/B10</f>
        <v>21.167999999999999</v>
      </c>
      <c r="F11" s="118"/>
      <c r="G11" s="26" t="s">
        <v>14</v>
      </c>
      <c r="H11" s="117">
        <f>H10/B10</f>
        <v>453.6</v>
      </c>
      <c r="I11" s="118"/>
      <c r="J11" s="26" t="s">
        <v>49</v>
      </c>
      <c r="K11" s="111" t="s">
        <v>43</v>
      </c>
      <c r="L11" s="112"/>
      <c r="M11" s="12"/>
      <c r="N11" s="33"/>
      <c r="O11" s="137" t="str">
        <f>IF(O10="NONE","","V")</f>
        <v/>
      </c>
      <c r="P11" s="138"/>
      <c r="Q11" s="33"/>
      <c r="R11" s="137" t="str">
        <f>IF(R10="None","","P")</f>
        <v/>
      </c>
      <c r="S11" s="138"/>
      <c r="T11" s="33"/>
      <c r="U11" s="153"/>
      <c r="V11" s="153"/>
      <c r="W11" s="153"/>
      <c r="X11" s="153"/>
      <c r="Y11" s="154"/>
    </row>
    <row r="12" spans="1:25" ht="20.100000000000001" customHeight="1" x14ac:dyDescent="0.25">
      <c r="A12" s="149" t="s">
        <v>12</v>
      </c>
      <c r="B12" s="150"/>
      <c r="C12" s="150"/>
      <c r="D12" s="150"/>
      <c r="E12" s="105"/>
      <c r="F12" s="105"/>
      <c r="G12" s="105"/>
      <c r="H12" s="105"/>
      <c r="I12" s="105"/>
      <c r="J12" s="105"/>
      <c r="K12" s="105"/>
      <c r="L12" s="106"/>
      <c r="M12" s="12"/>
      <c r="N12" s="146" t="s">
        <v>70</v>
      </c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3"/>
    </row>
    <row r="13" spans="1:25" ht="20.100000000000001" customHeight="1" x14ac:dyDescent="0.25">
      <c r="A13" s="26" t="s">
        <v>67</v>
      </c>
      <c r="B13" s="111" t="s">
        <v>43</v>
      </c>
      <c r="C13" s="111"/>
      <c r="D13" s="112"/>
      <c r="E13" s="40" t="s">
        <v>60</v>
      </c>
      <c r="F13" s="111" t="s">
        <v>43</v>
      </c>
      <c r="G13" s="111"/>
      <c r="H13" s="112"/>
      <c r="I13" s="41" t="s">
        <v>61</v>
      </c>
      <c r="J13" s="111" t="s">
        <v>43</v>
      </c>
      <c r="K13" s="111"/>
      <c r="L13" s="112"/>
      <c r="M13" s="12"/>
      <c r="N13" s="26" t="s">
        <v>71</v>
      </c>
      <c r="O13" s="57" t="s">
        <v>76</v>
      </c>
      <c r="P13" s="26" t="s">
        <v>72</v>
      </c>
      <c r="Q13" s="58">
        <f>O7</f>
        <v>10</v>
      </c>
      <c r="R13" s="26" t="s">
        <v>73</v>
      </c>
      <c r="S13" s="57" t="s">
        <v>22</v>
      </c>
      <c r="T13" s="26" t="s">
        <v>177</v>
      </c>
      <c r="U13" s="58" t="str">
        <f>IF(S13="NO","",(ROUNDUP(U7/W13/24,0)))</f>
        <v/>
      </c>
      <c r="V13" s="26" t="s">
        <v>74</v>
      </c>
      <c r="W13" s="71" t="str">
        <f>IF(AND((O17="LOOSE"),(NOT(O18="BUNDLE"))),"",IF(AND((O17="LINED"),(NOT(O18="BUNDLE"))),"",(IF(R7&lt;=500,"50",IF(R7&gt;500,"100")))))</f>
        <v>50</v>
      </c>
      <c r="X13" s="26" t="s">
        <v>75</v>
      </c>
      <c r="Y13" s="15"/>
    </row>
    <row r="14" spans="1:25" ht="20.100000000000001" customHeight="1" x14ac:dyDescent="0.3">
      <c r="A14" s="33" t="s">
        <v>59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12"/>
      <c r="N14" s="146" t="s">
        <v>109</v>
      </c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3"/>
    </row>
    <row r="15" spans="1:25" ht="20.100000000000001" customHeight="1" x14ac:dyDescent="0.25">
      <c r="A15" s="104" t="s">
        <v>181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6"/>
      <c r="M15" s="12"/>
      <c r="N15" s="85" t="s">
        <v>107</v>
      </c>
      <c r="O15" s="136"/>
      <c r="P15" s="86"/>
      <c r="Q15" s="85" t="s">
        <v>106</v>
      </c>
      <c r="R15" s="136"/>
      <c r="S15" s="86"/>
      <c r="T15" s="85" t="s">
        <v>117</v>
      </c>
      <c r="U15" s="136"/>
      <c r="V15" s="86"/>
      <c r="W15" s="85" t="s">
        <v>116</v>
      </c>
      <c r="X15" s="136"/>
      <c r="Y15" s="86"/>
    </row>
    <row r="16" spans="1:25" ht="20.100000000000001" customHeight="1" x14ac:dyDescent="0.25">
      <c r="A16" s="85" t="s">
        <v>2</v>
      </c>
      <c r="B16" s="86"/>
      <c r="C16" s="85" t="s">
        <v>141</v>
      </c>
      <c r="D16" s="86"/>
      <c r="E16" s="85" t="s">
        <v>3</v>
      </c>
      <c r="F16" s="86"/>
      <c r="G16" s="85" t="s">
        <v>4</v>
      </c>
      <c r="H16" s="86"/>
      <c r="I16" s="85" t="s">
        <v>10</v>
      </c>
      <c r="J16" s="86"/>
      <c r="K16" s="85" t="s">
        <v>11</v>
      </c>
      <c r="L16" s="86"/>
      <c r="M16" s="12"/>
      <c r="N16" s="26" t="s">
        <v>27</v>
      </c>
      <c r="O16" s="111"/>
      <c r="P16" s="112"/>
      <c r="Q16" s="26" t="s">
        <v>104</v>
      </c>
      <c r="R16" s="111" t="s">
        <v>22</v>
      </c>
      <c r="S16" s="112"/>
      <c r="T16" s="26" t="s">
        <v>102</v>
      </c>
      <c r="U16" s="111" t="s">
        <v>22</v>
      </c>
      <c r="V16" s="112"/>
      <c r="W16" s="26" t="str">
        <f>IF(ISNUMBER(SEARCH("bag",O8,1)),"Total Bags","Total Sheets")</f>
        <v>Total Sheets</v>
      </c>
      <c r="X16" s="161"/>
      <c r="Y16" s="162"/>
    </row>
    <row r="17" spans="1:25" ht="20.100000000000001" customHeight="1" x14ac:dyDescent="0.25">
      <c r="A17" s="87" t="s">
        <v>5</v>
      </c>
      <c r="B17" s="87"/>
      <c r="C17" s="88" t="s">
        <v>146</v>
      </c>
      <c r="D17" s="89"/>
      <c r="E17" s="115"/>
      <c r="F17" s="116"/>
      <c r="G17" s="16" t="s">
        <v>80</v>
      </c>
      <c r="H17" s="47"/>
      <c r="I17" s="97"/>
      <c r="J17" s="98"/>
      <c r="K17" s="97"/>
      <c r="L17" s="98"/>
      <c r="M17" s="12"/>
      <c r="N17" s="26" t="s">
        <v>25</v>
      </c>
      <c r="O17" s="111"/>
      <c r="P17" s="112"/>
      <c r="Q17" s="26" t="s">
        <v>103</v>
      </c>
      <c r="R17" s="111" t="s">
        <v>22</v>
      </c>
      <c r="S17" s="112"/>
      <c r="T17" s="43" t="str">
        <f>IF(ISNUMBER(SEARCH("roll",O8,1)),"Part Rolls","Part Ctns")</f>
        <v>Part Rolls</v>
      </c>
      <c r="U17" s="111" t="s">
        <v>22</v>
      </c>
      <c r="V17" s="112"/>
      <c r="W17" s="26" t="str">
        <f>IF(ISNUMBER(SEARCH("roll",O8,1)),"Total Rolls","Total Ctns")</f>
        <v>Total Rolls</v>
      </c>
      <c r="X17" s="161"/>
      <c r="Y17" s="162"/>
    </row>
    <row r="18" spans="1:25" ht="20.100000000000001" customHeight="1" x14ac:dyDescent="0.25">
      <c r="A18" s="87" t="s">
        <v>6</v>
      </c>
      <c r="B18" s="87"/>
      <c r="C18" s="88" t="s">
        <v>145</v>
      </c>
      <c r="D18" s="89"/>
      <c r="E18" s="115"/>
      <c r="F18" s="116"/>
      <c r="G18" s="16" t="s">
        <v>81</v>
      </c>
      <c r="H18" s="48"/>
      <c r="I18" s="97"/>
      <c r="J18" s="98"/>
      <c r="K18" s="97"/>
      <c r="L18" s="98"/>
      <c r="M18" s="12"/>
      <c r="N18" s="26" t="s">
        <v>100</v>
      </c>
      <c r="O18" s="111"/>
      <c r="P18" s="112"/>
      <c r="Q18" s="26" t="s">
        <v>105</v>
      </c>
      <c r="R18" s="111" t="s">
        <v>30</v>
      </c>
      <c r="S18" s="112"/>
      <c r="T18" s="34" t="s">
        <v>26</v>
      </c>
      <c r="U18" s="111" t="s">
        <v>35</v>
      </c>
      <c r="V18" s="112"/>
      <c r="W18" s="26" t="s">
        <v>108</v>
      </c>
      <c r="X18" s="161"/>
      <c r="Y18" s="162"/>
    </row>
    <row r="19" spans="1:25" ht="20.100000000000001" customHeight="1" x14ac:dyDescent="0.25">
      <c r="A19" s="87" t="s">
        <v>7</v>
      </c>
      <c r="B19" s="87"/>
      <c r="C19" s="88" t="s">
        <v>144</v>
      </c>
      <c r="D19" s="89"/>
      <c r="E19" s="115"/>
      <c r="F19" s="116"/>
      <c r="G19" s="16" t="s">
        <v>82</v>
      </c>
      <c r="H19" s="47"/>
      <c r="I19" s="97"/>
      <c r="J19" s="98"/>
      <c r="K19" s="97"/>
      <c r="L19" s="98"/>
      <c r="M19" s="12"/>
      <c r="N19" s="73" t="s">
        <v>115</v>
      </c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5"/>
    </row>
    <row r="20" spans="1:25" ht="20.100000000000001" customHeight="1" x14ac:dyDescent="0.25">
      <c r="A20" s="87" t="s">
        <v>8</v>
      </c>
      <c r="B20" s="87"/>
      <c r="C20" s="88" t="s">
        <v>143</v>
      </c>
      <c r="D20" s="89"/>
      <c r="E20" s="115"/>
      <c r="F20" s="116"/>
      <c r="G20" s="16" t="s">
        <v>83</v>
      </c>
      <c r="H20" s="47"/>
      <c r="I20" s="97"/>
      <c r="J20" s="98"/>
      <c r="K20" s="97"/>
      <c r="L20" s="98"/>
      <c r="M20" s="12"/>
      <c r="N20" s="76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8"/>
    </row>
    <row r="21" spans="1:25" ht="20.100000000000001" customHeight="1" x14ac:dyDescent="0.25">
      <c r="A21" s="87" t="s">
        <v>9</v>
      </c>
      <c r="B21" s="87"/>
      <c r="C21" s="88" t="s">
        <v>142</v>
      </c>
      <c r="D21" s="89"/>
      <c r="E21" s="115"/>
      <c r="F21" s="116"/>
      <c r="G21" s="16" t="s">
        <v>84</v>
      </c>
      <c r="H21" s="47"/>
      <c r="I21" s="97"/>
      <c r="J21" s="98"/>
      <c r="K21" s="97"/>
      <c r="L21" s="98"/>
      <c r="M21" s="12"/>
      <c r="N21" s="76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8"/>
    </row>
    <row r="22" spans="1:25" ht="20.100000000000001" customHeight="1" x14ac:dyDescent="0.25">
      <c r="A22" s="87" t="str">
        <f>(IF(B7="NATURAL","",B7))</f>
        <v>BLUE TINT</v>
      </c>
      <c r="B22" s="87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BT</v>
      </c>
      <c r="D22" s="89"/>
      <c r="E22" s="115">
        <v>0.02</v>
      </c>
      <c r="F22" s="116"/>
      <c r="G22" s="16" t="s">
        <v>85</v>
      </c>
      <c r="H22" s="47"/>
      <c r="I22" s="97"/>
      <c r="J22" s="98"/>
      <c r="K22" s="97"/>
      <c r="L22" s="98"/>
      <c r="M22" s="12"/>
      <c r="N22" s="79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1"/>
    </row>
    <row r="23" spans="1:25" ht="20.100000000000001" customHeight="1" x14ac:dyDescent="0.25">
      <c r="A23" s="90"/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9"/>
      <c r="E23" s="115"/>
      <c r="F23" s="116"/>
      <c r="G23" s="16" t="s">
        <v>86</v>
      </c>
      <c r="H23" s="47"/>
      <c r="I23" s="97"/>
      <c r="J23" s="98"/>
      <c r="K23" s="97"/>
      <c r="L23" s="98"/>
      <c r="M23" s="12"/>
      <c r="N23" s="146" t="s">
        <v>132</v>
      </c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3"/>
    </row>
    <row r="24" spans="1:25" ht="20.100000000000001" customHeight="1" x14ac:dyDescent="0.25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115"/>
      <c r="F24" s="116"/>
      <c r="G24" s="16" t="s">
        <v>87</v>
      </c>
      <c r="H24" s="47"/>
      <c r="I24" s="97"/>
      <c r="J24" s="98"/>
      <c r="K24" s="97"/>
      <c r="L24" s="98"/>
      <c r="M24" s="12"/>
      <c r="N24" s="17"/>
      <c r="O24" s="35" t="s">
        <v>118</v>
      </c>
      <c r="P24" s="35" t="s">
        <v>128</v>
      </c>
      <c r="Q24" s="35" t="s">
        <v>119</v>
      </c>
      <c r="R24" s="35" t="s">
        <v>120</v>
      </c>
      <c r="S24" s="35" t="s">
        <v>121</v>
      </c>
      <c r="T24" s="35" t="s">
        <v>122</v>
      </c>
      <c r="U24" s="35" t="s">
        <v>123</v>
      </c>
      <c r="V24" s="35" t="s">
        <v>124</v>
      </c>
      <c r="W24" s="35" t="s">
        <v>125</v>
      </c>
      <c r="X24" s="35" t="s">
        <v>126</v>
      </c>
      <c r="Y24" s="35" t="s">
        <v>175</v>
      </c>
    </row>
    <row r="25" spans="1:25" ht="20.100000000000001" customHeight="1" x14ac:dyDescent="0.25">
      <c r="A25" s="104" t="s">
        <v>0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6"/>
      <c r="M25" s="12"/>
      <c r="N25" s="35" t="s">
        <v>95</v>
      </c>
      <c r="O25" s="10"/>
      <c r="P25" s="18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42"/>
      <c r="B26" s="35" t="s">
        <v>179</v>
      </c>
      <c r="C26" s="35" t="s">
        <v>91</v>
      </c>
      <c r="D26" s="36" t="s">
        <v>89</v>
      </c>
      <c r="E26" s="36" t="s">
        <v>90</v>
      </c>
      <c r="F26" s="36" t="s">
        <v>92</v>
      </c>
      <c r="G26" s="99" t="s">
        <v>131</v>
      </c>
      <c r="H26" s="99"/>
      <c r="I26" s="99" t="s">
        <v>130</v>
      </c>
      <c r="J26" s="99"/>
      <c r="K26" s="36" t="s">
        <v>93</v>
      </c>
      <c r="L26" s="36" t="s">
        <v>94</v>
      </c>
      <c r="M26" s="12"/>
      <c r="N26" s="158" t="s">
        <v>136</v>
      </c>
      <c r="O26" s="159"/>
      <c r="P26" s="159"/>
      <c r="Q26" s="159"/>
      <c r="R26" s="159"/>
      <c r="S26" s="159"/>
      <c r="T26" s="159"/>
      <c r="U26" s="159"/>
      <c r="V26" s="159"/>
      <c r="W26" s="159"/>
      <c r="X26" s="159"/>
      <c r="Y26" s="160"/>
    </row>
    <row r="27" spans="1:25" ht="20.100000000000001" customHeight="1" x14ac:dyDescent="0.25">
      <c r="A27" s="35" t="s">
        <v>95</v>
      </c>
      <c r="B27" s="7"/>
      <c r="C27" s="7"/>
      <c r="D27" s="7"/>
      <c r="E27" s="8"/>
      <c r="F27" s="11"/>
      <c r="G27" s="96"/>
      <c r="H27" s="96"/>
      <c r="I27" s="96"/>
      <c r="J27" s="96"/>
      <c r="K27" s="7"/>
      <c r="L27" s="10"/>
      <c r="M27" s="12"/>
      <c r="N27" s="59" t="s">
        <v>182</v>
      </c>
      <c r="O27" s="59" t="s">
        <v>20</v>
      </c>
      <c r="P27" s="59" t="s">
        <v>16</v>
      </c>
      <c r="Q27" s="59" t="s">
        <v>13</v>
      </c>
      <c r="R27" s="59" t="s">
        <v>127</v>
      </c>
      <c r="S27" s="59" t="s">
        <v>128</v>
      </c>
      <c r="T27" s="59" t="s">
        <v>111</v>
      </c>
      <c r="U27" s="37" t="s">
        <v>129</v>
      </c>
      <c r="V27" s="37" t="s">
        <v>115</v>
      </c>
      <c r="W27" s="59" t="s">
        <v>190</v>
      </c>
      <c r="X27" s="59" t="s">
        <v>191</v>
      </c>
      <c r="Y27" s="59" t="s">
        <v>21</v>
      </c>
    </row>
    <row r="28" spans="1:25" ht="20.100000000000001" customHeight="1" x14ac:dyDescent="0.25">
      <c r="A28" s="35" t="s">
        <v>96</v>
      </c>
      <c r="B28" s="7"/>
      <c r="C28" s="7"/>
      <c r="D28" s="7"/>
      <c r="E28" s="9"/>
      <c r="F28" s="11"/>
      <c r="G28" s="96"/>
      <c r="H28" s="96"/>
      <c r="I28" s="96"/>
      <c r="J28" s="96"/>
      <c r="K28" s="7"/>
      <c r="L28" s="10"/>
      <c r="M28" s="12"/>
      <c r="N28" s="60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93" t="s">
        <v>98</v>
      </c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5"/>
      <c r="M29" s="12"/>
      <c r="N29" s="60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43" t="s">
        <v>114</v>
      </c>
      <c r="B30" s="19"/>
      <c r="C30" s="15"/>
      <c r="D30" s="43" t="s">
        <v>91</v>
      </c>
      <c r="E30" s="20"/>
      <c r="F30" s="15"/>
      <c r="G30" s="45" t="s">
        <v>97</v>
      </c>
      <c r="H30" s="21"/>
      <c r="I30" s="21"/>
      <c r="J30" s="22"/>
      <c r="K30" s="21"/>
      <c r="L30" s="23"/>
      <c r="M30" s="12"/>
      <c r="N30" s="60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43" t="s">
        <v>113</v>
      </c>
      <c r="B31" s="19"/>
      <c r="C31" s="15"/>
      <c r="D31" s="43" t="s">
        <v>111</v>
      </c>
      <c r="E31" s="20"/>
      <c r="F31" s="24"/>
      <c r="G31" s="43" t="s">
        <v>97</v>
      </c>
      <c r="H31" s="20"/>
      <c r="I31" s="20"/>
      <c r="J31" s="20"/>
      <c r="K31" s="20"/>
      <c r="L31" s="15"/>
      <c r="M31" s="12"/>
      <c r="N31" s="60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44" t="s">
        <v>112</v>
      </c>
      <c r="B32" s="25"/>
      <c r="C32" s="23"/>
      <c r="D32" s="44" t="s">
        <v>88</v>
      </c>
      <c r="E32" s="21"/>
      <c r="F32" s="23"/>
      <c r="G32" s="44" t="s">
        <v>110</v>
      </c>
      <c r="H32" s="21"/>
      <c r="I32" s="21"/>
      <c r="J32" s="21"/>
      <c r="K32" s="21"/>
      <c r="L32" s="23"/>
      <c r="M32" s="12"/>
      <c r="N32" s="61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73" t="s">
        <v>115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5"/>
      <c r="M33" s="12"/>
      <c r="N33" s="60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76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8"/>
      <c r="M34" s="12"/>
      <c r="N34" s="60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79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1"/>
      <c r="M35" s="12"/>
      <c r="N35" s="60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82" t="s">
        <v>135</v>
      </c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4"/>
      <c r="M36" s="12"/>
      <c r="N36" s="60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37" t="s">
        <v>13</v>
      </c>
      <c r="B37" s="1" t="s">
        <v>20</v>
      </c>
      <c r="C37" s="37" t="s">
        <v>134</v>
      </c>
      <c r="D37" s="37" t="s">
        <v>14</v>
      </c>
      <c r="E37" s="37" t="s">
        <v>15</v>
      </c>
      <c r="F37" s="37" t="s">
        <v>51</v>
      </c>
      <c r="G37" s="46" t="s">
        <v>16</v>
      </c>
      <c r="H37" s="46" t="s">
        <v>17</v>
      </c>
      <c r="I37" s="38" t="s">
        <v>28</v>
      </c>
      <c r="J37" s="37" t="s">
        <v>18</v>
      </c>
      <c r="K37" s="37" t="s">
        <v>19</v>
      </c>
      <c r="L37" s="37" t="s">
        <v>21</v>
      </c>
      <c r="M37" s="12"/>
      <c r="N37" s="61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35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2"/>
      <c r="N38" s="60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35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2"/>
      <c r="N39" s="60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35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2"/>
      <c r="N40" s="60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35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2"/>
      <c r="N41" s="60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12"/>
      <c r="N42" s="61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2"/>
    </row>
    <row r="44" spans="1:25" ht="20.100000000000001" customHeight="1" x14ac:dyDescent="0.25">
      <c r="A44" s="37" t="s">
        <v>13</v>
      </c>
      <c r="B44" s="49" t="s">
        <v>20</v>
      </c>
      <c r="C44" s="37" t="s">
        <v>134</v>
      </c>
      <c r="D44" s="37" t="s">
        <v>14</v>
      </c>
      <c r="E44" s="37" t="s">
        <v>15</v>
      </c>
      <c r="F44" s="37" t="s">
        <v>51</v>
      </c>
      <c r="G44" s="46" t="s">
        <v>16</v>
      </c>
      <c r="H44" s="46" t="s">
        <v>17</v>
      </c>
      <c r="I44" s="37" t="s">
        <v>28</v>
      </c>
      <c r="J44" s="37" t="s">
        <v>18</v>
      </c>
      <c r="K44" s="37" t="s">
        <v>19</v>
      </c>
      <c r="L44" s="37" t="s">
        <v>21</v>
      </c>
      <c r="N44" s="59" t="s">
        <v>182</v>
      </c>
      <c r="O44" s="59" t="s">
        <v>20</v>
      </c>
      <c r="P44" s="59" t="s">
        <v>16</v>
      </c>
      <c r="Q44" s="59" t="s">
        <v>13</v>
      </c>
      <c r="R44" s="59" t="s">
        <v>127</v>
      </c>
      <c r="S44" s="59" t="s">
        <v>128</v>
      </c>
      <c r="T44" s="59" t="s">
        <v>111</v>
      </c>
      <c r="U44" s="37" t="s">
        <v>129</v>
      </c>
      <c r="V44" s="37" t="s">
        <v>115</v>
      </c>
      <c r="W44" s="59" t="s">
        <v>190</v>
      </c>
      <c r="X44" s="59" t="s">
        <v>191</v>
      </c>
      <c r="Y44" s="59" t="s">
        <v>21</v>
      </c>
    </row>
    <row r="45" spans="1:25" ht="20.100000000000001" customHeight="1" x14ac:dyDescent="0.25">
      <c r="A45" s="35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60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35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60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35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60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35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60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61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60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60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60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60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61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60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60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60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60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61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3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3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3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3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4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3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3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3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3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4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3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3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3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3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4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3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3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3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3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4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3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3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3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3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4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3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sheet="1" objects="1" scenarios="1" formatCells="0" insertHyperlinks="0" selectLockedCells="1" autoFilter="0"/>
  <mergeCells count="130">
    <mergeCell ref="G27:H27"/>
    <mergeCell ref="I27:J27"/>
    <mergeCell ref="A25:L25"/>
    <mergeCell ref="E23:F23"/>
    <mergeCell ref="E24:F24"/>
    <mergeCell ref="N26:Y26"/>
    <mergeCell ref="U16:V16"/>
    <mergeCell ref="U17:V17"/>
    <mergeCell ref="U18:V18"/>
    <mergeCell ref="R16:S16"/>
    <mergeCell ref="R17:S17"/>
    <mergeCell ref="R18:S18"/>
    <mergeCell ref="X16:Y16"/>
    <mergeCell ref="X17:Y17"/>
    <mergeCell ref="X18:Y18"/>
    <mergeCell ref="N19:Y22"/>
    <mergeCell ref="N23:Y23"/>
    <mergeCell ref="N15:P15"/>
    <mergeCell ref="Q15:S15"/>
    <mergeCell ref="O16:P16"/>
    <mergeCell ref="O17:P17"/>
    <mergeCell ref="O18:P18"/>
    <mergeCell ref="C22:D22"/>
    <mergeCell ref="C24:D24"/>
    <mergeCell ref="W15:Y15"/>
    <mergeCell ref="T15:V15"/>
    <mergeCell ref="C18:D18"/>
    <mergeCell ref="C17:D17"/>
    <mergeCell ref="I20:J20"/>
    <mergeCell ref="I21:J21"/>
    <mergeCell ref="I22:J22"/>
    <mergeCell ref="K17:L17"/>
    <mergeCell ref="K18:L18"/>
    <mergeCell ref="K19:L19"/>
    <mergeCell ref="K20:L20"/>
    <mergeCell ref="K21:L21"/>
    <mergeCell ref="K22:L22"/>
    <mergeCell ref="K23:L23"/>
    <mergeCell ref="K24:L24"/>
    <mergeCell ref="I23:J23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E11:F11"/>
    <mergeCell ref="H10:I10"/>
    <mergeCell ref="N12:Y12"/>
    <mergeCell ref="K9:L9"/>
    <mergeCell ref="K10:L10"/>
    <mergeCell ref="B13:D13"/>
    <mergeCell ref="F13:H13"/>
    <mergeCell ref="B8:C8"/>
    <mergeCell ref="A12:L12"/>
    <mergeCell ref="U10:Y11"/>
    <mergeCell ref="X9:Y9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N6:Y6"/>
    <mergeCell ref="B2:D2"/>
    <mergeCell ref="A3:L5"/>
    <mergeCell ref="J7:L7"/>
    <mergeCell ref="E8:F8"/>
    <mergeCell ref="H8:I8"/>
    <mergeCell ref="J2:L2"/>
    <mergeCell ref="A6:L6"/>
    <mergeCell ref="A15:L15"/>
    <mergeCell ref="H9:I9"/>
    <mergeCell ref="B11:C11"/>
    <mergeCell ref="B10:C10"/>
    <mergeCell ref="B9:C9"/>
    <mergeCell ref="E10:F10"/>
    <mergeCell ref="C23:D23"/>
    <mergeCell ref="E18:F18"/>
    <mergeCell ref="H11:I11"/>
    <mergeCell ref="E17:F17"/>
    <mergeCell ref="E19:F19"/>
    <mergeCell ref="E20:F20"/>
    <mergeCell ref="E21:F21"/>
    <mergeCell ref="E22:F22"/>
    <mergeCell ref="I17:J17"/>
    <mergeCell ref="I18:J18"/>
    <mergeCell ref="I19:J19"/>
    <mergeCell ref="A22:B22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A29:L29"/>
    <mergeCell ref="G28:H28"/>
    <mergeCell ref="I28:J28"/>
    <mergeCell ref="I24:J24"/>
    <mergeCell ref="G26:H26"/>
    <mergeCell ref="I26:J26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Sheet2!$A$56:$A$70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0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topLeftCell="A4"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5" t="s">
        <v>38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1"/>
      <c r="P2" s="1"/>
      <c r="Q2" s="1"/>
      <c r="R2" s="1"/>
      <c r="S2" s="1"/>
      <c r="T2" s="1"/>
      <c r="U2" s="1"/>
      <c r="V2" s="1"/>
    </row>
    <row r="3" spans="1:22" x14ac:dyDescent="0.25">
      <c r="A3" s="67" t="s">
        <v>58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2">
        <f ca="1">DATE(YEAR(Sheet1!J1),MONTH(Sheet1!J1)+1,DAY(Sheet1!J1))</f>
        <v>44505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2">
        <f ca="1">DATE(YEAR(Sheet1!J1),MONTH(Sheet1!J1),DAY(Sheet1!J1)+21)</f>
        <v>44495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1"/>
      <c r="P7" s="1"/>
      <c r="Q7" s="1"/>
      <c r="R7" s="1"/>
      <c r="S7" s="1"/>
      <c r="T7" s="1"/>
      <c r="U7" s="1"/>
      <c r="V7" s="1"/>
    </row>
    <row r="8" spans="1:22" x14ac:dyDescent="0.25">
      <c r="A8" s="66" t="s">
        <v>48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8" t="s">
        <v>162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8" t="s">
        <v>176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9" t="s">
        <v>154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9" t="s">
        <v>147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9" t="s">
        <v>148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9" t="s">
        <v>149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9" t="s">
        <v>150</v>
      </c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9" t="s">
        <v>151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9" t="s">
        <v>152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9" t="s">
        <v>173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9" t="s">
        <v>153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70"/>
      <c r="N19" s="65" t="s">
        <v>193</v>
      </c>
      <c r="T19" s="1"/>
      <c r="V19" s="1"/>
    </row>
    <row r="20" spans="1:23" x14ac:dyDescent="0.25">
      <c r="A20" s="69" t="s">
        <v>155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70"/>
      <c r="N20" s="65" t="s">
        <v>165</v>
      </c>
      <c r="T20" s="1"/>
      <c r="V20" s="1"/>
    </row>
    <row r="21" spans="1:23" x14ac:dyDescent="0.25">
      <c r="A21" s="69" t="s">
        <v>156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70"/>
      <c r="N21" s="65" t="s">
        <v>166</v>
      </c>
      <c r="T21" s="1"/>
      <c r="V21" s="1"/>
      <c r="W21" s="2"/>
    </row>
    <row r="22" spans="1:23" x14ac:dyDescent="0.25">
      <c r="A22" s="69" t="s">
        <v>157</v>
      </c>
      <c r="B22" s="65"/>
      <c r="C22" s="65"/>
      <c r="D22" s="65"/>
      <c r="E22" s="5"/>
      <c r="F22" s="65"/>
      <c r="G22" s="5"/>
      <c r="H22" s="65"/>
      <c r="I22" s="5"/>
      <c r="J22" s="65"/>
      <c r="K22" s="65"/>
      <c r="L22" s="65"/>
      <c r="M22" s="70"/>
      <c r="N22" s="70"/>
      <c r="T22" s="1"/>
      <c r="V22" s="1"/>
      <c r="W22" s="2"/>
    </row>
    <row r="23" spans="1:23" x14ac:dyDescent="0.25">
      <c r="A23" s="69" t="s">
        <v>158</v>
      </c>
      <c r="B23" s="65"/>
      <c r="C23" s="65"/>
      <c r="D23" s="65"/>
      <c r="E23" s="5"/>
      <c r="F23" s="65"/>
      <c r="G23" s="5"/>
      <c r="H23" s="65"/>
      <c r="I23" s="65"/>
      <c r="J23" s="65"/>
      <c r="K23" s="65"/>
      <c r="L23" s="65"/>
      <c r="M23" s="70"/>
      <c r="N23" s="66" t="s">
        <v>140</v>
      </c>
      <c r="T23" s="1"/>
      <c r="V23" s="1"/>
      <c r="W23" s="2"/>
    </row>
    <row r="24" spans="1:23" x14ac:dyDescent="0.25">
      <c r="A24" s="69" t="s">
        <v>159</v>
      </c>
      <c r="B24" s="65"/>
      <c r="C24" s="65"/>
      <c r="D24" s="65"/>
      <c r="E24" s="5"/>
      <c r="F24" s="65"/>
      <c r="G24" s="65"/>
      <c r="H24" s="65"/>
      <c r="I24" s="65"/>
      <c r="J24" s="65"/>
      <c r="K24" s="65"/>
      <c r="L24" s="65"/>
      <c r="M24" s="65"/>
      <c r="N24" s="6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9" t="s">
        <v>160</v>
      </c>
      <c r="B25" s="65"/>
      <c r="C25" s="65"/>
      <c r="D25" s="65"/>
      <c r="E25" s="5"/>
      <c r="F25" s="65"/>
      <c r="G25" s="65"/>
      <c r="H25" s="65"/>
      <c r="I25" s="65"/>
      <c r="J25" s="65"/>
      <c r="K25" s="65"/>
      <c r="L25" s="65"/>
      <c r="M25" s="65"/>
      <c r="N25" s="6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9" t="s">
        <v>161</v>
      </c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9" t="s">
        <v>174</v>
      </c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9" t="s">
        <v>183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 t="s">
        <v>139</v>
      </c>
      <c r="U28" s="1"/>
      <c r="V28" s="1"/>
    </row>
    <row r="29" spans="1:23" x14ac:dyDescent="0.25">
      <c r="A29" s="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70"/>
      <c r="U29" s="1"/>
      <c r="V29" s="1"/>
    </row>
    <row r="30" spans="1:23" x14ac:dyDescent="0.25">
      <c r="A30" s="67" t="s">
        <v>45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7" t="s">
        <v>27</v>
      </c>
      <c r="U30" s="1"/>
      <c r="V30" s="1"/>
    </row>
    <row r="31" spans="1:23" x14ac:dyDescent="0.25">
      <c r="A31" s="5" t="s">
        <v>29</v>
      </c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5" t="s">
        <v>167</v>
      </c>
      <c r="U31" s="1"/>
      <c r="V31" s="1"/>
    </row>
    <row r="32" spans="1:23" x14ac:dyDescent="0.25">
      <c r="A32" s="5" t="s">
        <v>33</v>
      </c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5">
        <v>110</v>
      </c>
      <c r="U32" s="1"/>
      <c r="V32" s="1"/>
    </row>
    <row r="33" spans="1:22" x14ac:dyDescent="0.25">
      <c r="A33" s="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5">
        <v>130</v>
      </c>
      <c r="U33" s="1"/>
      <c r="V33" s="1"/>
    </row>
    <row r="34" spans="1:22" x14ac:dyDescent="0.25">
      <c r="A34" s="67" t="s">
        <v>46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5">
        <v>150</v>
      </c>
      <c r="U34" s="1"/>
      <c r="V34" s="1"/>
    </row>
    <row r="35" spans="1:22" x14ac:dyDescent="0.25">
      <c r="A35" s="5" t="s">
        <v>43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5">
        <v>180</v>
      </c>
      <c r="U35" s="1"/>
      <c r="V35" s="1"/>
    </row>
    <row r="36" spans="1:22" x14ac:dyDescent="0.25">
      <c r="A36" s="5" t="s">
        <v>41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5" t="s">
        <v>168</v>
      </c>
      <c r="U36" s="1"/>
      <c r="V36" s="1"/>
    </row>
    <row r="37" spans="1:22" x14ac:dyDescent="0.25">
      <c r="A37" s="5" t="s">
        <v>42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5" t="s">
        <v>169</v>
      </c>
      <c r="U37" s="1"/>
      <c r="V37" s="1"/>
    </row>
    <row r="38" spans="1:22" x14ac:dyDescent="0.25">
      <c r="A38" s="5" t="s">
        <v>44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5" t="s">
        <v>37</v>
      </c>
      <c r="U38" s="1"/>
      <c r="V38" s="1"/>
    </row>
    <row r="39" spans="1:22" x14ac:dyDescent="0.25">
      <c r="A39" s="65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</row>
    <row r="40" spans="1:22" x14ac:dyDescent="0.25">
      <c r="A40" s="67" t="s">
        <v>62</v>
      </c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67" t="s">
        <v>25</v>
      </c>
    </row>
    <row r="41" spans="1:22" x14ac:dyDescent="0.25">
      <c r="A41" s="5" t="s">
        <v>43</v>
      </c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5" t="s">
        <v>34</v>
      </c>
    </row>
    <row r="42" spans="1:22" x14ac:dyDescent="0.25">
      <c r="A42" s="5" t="s">
        <v>64</v>
      </c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5" t="s">
        <v>36</v>
      </c>
    </row>
    <row r="43" spans="1:22" x14ac:dyDescent="0.25">
      <c r="A43" s="5" t="s">
        <v>63</v>
      </c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5" t="s">
        <v>170</v>
      </c>
    </row>
    <row r="44" spans="1:22" x14ac:dyDescent="0.25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5"/>
    </row>
    <row r="45" spans="1:22" x14ac:dyDescent="0.25">
      <c r="A45" s="67" t="s">
        <v>67</v>
      </c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67" t="s">
        <v>100</v>
      </c>
    </row>
    <row r="46" spans="1:22" x14ac:dyDescent="0.25">
      <c r="A46" s="5" t="s">
        <v>43</v>
      </c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5" t="s">
        <v>37</v>
      </c>
    </row>
    <row r="47" spans="1:22" x14ac:dyDescent="0.25">
      <c r="A47" s="5" t="s">
        <v>69</v>
      </c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5" t="s">
        <v>31</v>
      </c>
    </row>
    <row r="48" spans="1:22" x14ac:dyDescent="0.25">
      <c r="A48" s="5" t="s">
        <v>68</v>
      </c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5" t="s">
        <v>171</v>
      </c>
    </row>
    <row r="49" spans="1:20" x14ac:dyDescent="0.25">
      <c r="A49" s="65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5" t="s">
        <v>184</v>
      </c>
    </row>
    <row r="50" spans="1:20" x14ac:dyDescent="0.25">
      <c r="A50" s="67" t="s">
        <v>60</v>
      </c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5" t="s">
        <v>185</v>
      </c>
    </row>
    <row r="51" spans="1:20" x14ac:dyDescent="0.25">
      <c r="A51" s="5" t="s">
        <v>43</v>
      </c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</row>
    <row r="52" spans="1:20" x14ac:dyDescent="0.25">
      <c r="A52" s="5" t="s">
        <v>65</v>
      </c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66" t="s">
        <v>172</v>
      </c>
    </row>
    <row r="53" spans="1:20" x14ac:dyDescent="0.25">
      <c r="A53" s="5" t="s">
        <v>66</v>
      </c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65" t="s">
        <v>30</v>
      </c>
    </row>
    <row r="54" spans="1:20" x14ac:dyDescent="0.25">
      <c r="A54" s="65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65" t="s">
        <v>22</v>
      </c>
    </row>
    <row r="55" spans="1:20" x14ac:dyDescent="0.25">
      <c r="A55" s="66" t="s">
        <v>61</v>
      </c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</row>
    <row r="56" spans="1:20" x14ac:dyDescent="0.25">
      <c r="A56" s="65" t="s">
        <v>43</v>
      </c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67" t="s">
        <v>26</v>
      </c>
    </row>
    <row r="57" spans="1:20" x14ac:dyDescent="0.25">
      <c r="A57" s="68" t="s">
        <v>176</v>
      </c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65" t="s">
        <v>35</v>
      </c>
      <c r="O57" s="1"/>
      <c r="P57" s="1"/>
      <c r="Q57" s="1"/>
      <c r="R57" s="1"/>
      <c r="S57" s="1"/>
      <c r="T57" s="1"/>
    </row>
    <row r="58" spans="1:20" x14ac:dyDescent="0.25">
      <c r="A58" s="69" t="s">
        <v>154</v>
      </c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65" t="s">
        <v>32</v>
      </c>
    </row>
    <row r="59" spans="1:20" x14ac:dyDescent="0.25">
      <c r="A59" s="69" t="s">
        <v>147</v>
      </c>
    </row>
    <row r="60" spans="1:20" x14ac:dyDescent="0.25">
      <c r="A60" s="69" t="s">
        <v>148</v>
      </c>
      <c r="O60" s="1"/>
      <c r="Q60" s="1"/>
      <c r="R60" s="3"/>
      <c r="S60" s="1"/>
    </row>
    <row r="61" spans="1:20" x14ac:dyDescent="0.25">
      <c r="A61" s="69" t="s">
        <v>149</v>
      </c>
      <c r="O61" s="1"/>
      <c r="Q61" s="1"/>
      <c r="R61" s="1"/>
      <c r="S61" s="1"/>
    </row>
    <row r="62" spans="1:20" x14ac:dyDescent="0.25">
      <c r="A62" s="69" t="s">
        <v>150</v>
      </c>
      <c r="O62" s="1"/>
      <c r="Q62" s="1"/>
      <c r="R62" s="1"/>
      <c r="S62" s="1"/>
    </row>
    <row r="63" spans="1:20" x14ac:dyDescent="0.25">
      <c r="A63" s="69" t="s">
        <v>151</v>
      </c>
      <c r="O63" s="1"/>
      <c r="Q63" s="1"/>
      <c r="R63" s="1"/>
      <c r="S63" s="1"/>
      <c r="T63" s="1"/>
    </row>
    <row r="64" spans="1:20" x14ac:dyDescent="0.25">
      <c r="A64" s="69" t="s">
        <v>152</v>
      </c>
      <c r="O64" s="1"/>
      <c r="Q64" s="1"/>
      <c r="R64" s="1"/>
      <c r="S64" s="1"/>
      <c r="T64" s="1"/>
    </row>
    <row r="65" spans="1:20" x14ac:dyDescent="0.25">
      <c r="A65" s="69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69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A67" s="69" t="s">
        <v>151</v>
      </c>
      <c r="N67" s="4"/>
      <c r="O67" s="1"/>
      <c r="P67" s="1"/>
      <c r="Q67" s="1"/>
      <c r="R67" s="1"/>
      <c r="S67" s="1"/>
      <c r="T67" s="1"/>
    </row>
    <row r="68" spans="1:20" x14ac:dyDescent="0.25">
      <c r="A68" s="69" t="s">
        <v>152</v>
      </c>
      <c r="N68" s="4"/>
      <c r="O68" s="1"/>
      <c r="P68" s="1"/>
      <c r="Q68" s="1"/>
      <c r="R68" s="1"/>
      <c r="S68" s="1"/>
      <c r="T68" s="1"/>
    </row>
    <row r="69" spans="1:20" x14ac:dyDescent="0.25">
      <c r="A69" s="69" t="s">
        <v>173</v>
      </c>
      <c r="N69" s="4"/>
    </row>
    <row r="70" spans="1:20" x14ac:dyDescent="0.25">
      <c r="A70" s="69" t="s">
        <v>153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07E7ACA-12FD-43D8-BD9B-0893505050FB}"/>
</file>

<file path=customXml/itemProps2.xml><?xml version="1.0" encoding="utf-8"?>
<ds:datastoreItem xmlns:ds="http://schemas.openxmlformats.org/officeDocument/2006/customXml" ds:itemID="{8161D887-6DD3-4E23-8FF8-1249E25B95CA}"/>
</file>

<file path=customXml/itemProps3.xml><?xml version="1.0" encoding="utf-8"?>
<ds:datastoreItem xmlns:ds="http://schemas.openxmlformats.org/officeDocument/2006/customXml" ds:itemID="{83FD5CA7-5EE0-4765-BFF4-51DFD96DC1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2020-04-09T01:01:00Z</cp:lastPrinted>
  <dcterms:created xsi:type="dcterms:W3CDTF">2019-11-27T23:28:06Z</dcterms:created>
  <dcterms:modified xsi:type="dcterms:W3CDTF">2021-10-05T04:49:36Z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