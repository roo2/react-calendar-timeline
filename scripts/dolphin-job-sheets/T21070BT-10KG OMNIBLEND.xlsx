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FB09EA3-689E-4F8B-8E61-F1570DFA6651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<sst xmlns="http://schemas.openxmlformats.org/spreadsheetml/2006/main" count="227" uniqueCount="168">
  <si>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</si>
  <si>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</si>
  <si>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</si>
  <si>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</si>
  <si>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</si>
  <si>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</si>
  <si>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</si>
  <si>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</si>
  <si>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</si>
  <si>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</si>
  <si>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</si>
  <si>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</si>
  <si>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</si>
  <si>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</si>
  <si>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</si>
  <si>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</si>
  <si>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</si>
  <si>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</si>
  <si>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</si>
  <si>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</si>
  <si>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</si>
  <si>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</si>
  <si>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</si>
  <si>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</si>
  <si>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</si>
  <si>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</si>
  <si>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</si>
  <si>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</si>
  <si>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</si>
  <si>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</si>
  <si>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</si>
  <si>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</si>
  <si>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</si>
  <si>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</si>
  <si>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</si>
  <si>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</si>
  <si>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</si>
  <si>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</si>
  <si>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</si>
  <si>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</si>
  <si>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</si>
  <si>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</si>
  <si>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</si>
  <si>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</si>
  <si>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</si>
  <si>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</si>
  <si>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</si>
  <si>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</si>
  <si>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</si>
  <si>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</si>
  <si>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</si>
  <si>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</si>
  <si>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</si>
  <si>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</si>
  <si>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</si>
  <si>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</si>
  <si>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</si>
  <si>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</si>
  <si>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</si>
  <si>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</si>
  <si>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</si>
  <si>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</si>
  <si>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</si>
  <si>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</si>
  <si>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</si>
  <si>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</si>
  <si>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</si>
  <si>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</si>
  <si>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</si>
  <si>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</si>
  <si>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</si>
  <si>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</si>
  <si>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</si>
  <si>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</si>
  <si>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</si>
  <si>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</si>
  <si>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</si>
  <si>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</si>
  <si>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</si>
  <si>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</si>
  <si>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</si>
  <si>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</si>
  <si>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</si>
  <si>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</si>
  <si>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</si>
  <si>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</si>
  <si>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</si>
  <si>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</si>
  <si>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</si>
  <si>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</si>
  <si>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</si>
  <si>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</si>
  <si>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</si>
  <si>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</si>
  <si>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</si>
  <si>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</si>
  <si>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</si>
  <si>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</si>
  <si>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</si>
  <si>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</si>
  <si>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</si>
  <si>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</si>
  <si>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</si>
  <si>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</si>
  <si>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</si>
  <si>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</si>
  <si>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</si>
  <si>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</si>
  <si>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</si>
  <si>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</si>
  <si>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</si>
  <si>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</si>
  <si>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</si>
  <si>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</si>
  <si>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</si>
  <si>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</si>
  <si>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</si>
  <si>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</si>
  <si>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</si>
  <si>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</si>
  <si>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</si>
  <si>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</si>
  <si>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</si>
  <si>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</si>
  <si>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</si>
  <si>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</si>
  <si>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</si>
  <si>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</si>
  <si>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</si>
  <si>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</si>
  <si>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</si>
  <si>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</si>
  <si>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</si>
  <si>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</si>
  <si>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</si>
  <si>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</si>
  <si>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</si>
  <si>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</si>
  <si>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</si>
  <si>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</si>
  <si>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</si>
  <si>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</si>
  <si>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</si>
  <si>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</si>
  <si>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</si>
  <si>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</si>
  <si>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</si>
  <si>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</si>
  <si>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</si>
  <si>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</si>
  <si>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</si>
  <si>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</si>
  <si>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</si>
  <si>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</si>
  <si>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</si>
  <si>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</si>
  <si>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</si>
  <si>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</si>
  <si>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</si>
  <si>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</si>
  <si>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</si>
  <si>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</si>
  <si>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</si>
  <si>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</si>
  <si>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10KG</t>
  </si>
  <si>
    <t>OMNIBLEND</t>
  </si>
  <si>
    <t>10.05.2021</t>
  </si>
  <si>
    <t>NEW CUSTOMER - NEW ITEM -                                                                                              MUST BE CORRECT GUAGE AND WIDTH - NEAT ROLLS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</si>
</sst>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4" fillId="0" borderId="2" xfId="0" applyNumberFormat="1" applyFont="1" applyBorder="1" applyAlignment="1">
      <alignment horizontal="center"/>
    </xf>
    <xf numFmtId="0" fontId="14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 applyProtection="1">
      <alignment horizontal="left"/>
    </xf>
    <xf numFmtId="0" fontId="0" fillId="5" borderId="4" xfId="0" applyFill="1" applyBorder="1" applyAlignment="1" applyProtection="1">
      <alignment horizontal="center"/>
    </xf>
    <xf numFmtId="0" fontId="0" fillId="5" borderId="5" xfId="0" applyFill="1" applyBorder="1" applyAlignment="1" applyProtection="1">
      <alignment horizontal="center"/>
    </xf>
    <xf numFmtId="10" fontId="3" fillId="5" borderId="4" xfId="0" applyNumberFormat="1" applyFont="1" applyFill="1" applyBorder="1" applyAlignment="1" applyProtection="1">
      <alignment horizontal="center"/>
      <protection locked="0"/>
    </xf>
    <xf numFmtId="10" fontId="3" fillId="5" borderId="5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Q15" sqref="Q1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0" t="str">
        <f>IF(B7="Tube","T",IF(B7="Cont Sheet Roll","SR",IF(B7="Cont Centrefold","CFR")))&amp;B8&amp;IF(E8="","","("&amp;E8&amp;")")&amp;H8&amp;(IF(K11="INLINE","P",IF(K11="OUT OF LINE","P",IF(K11="NONE",""))))&amp;C24&amp;C25</f>
        <v>T21070BT</v>
      </c>
      <c r="C1" s="110"/>
      <c r="D1" s="111"/>
      <c r="E1" s="12" t="s">
        <v>55</v>
      </c>
      <c r="F1" s="112" t="s">
        <v>165</v>
      </c>
      <c r="G1" s="112"/>
      <c r="H1" s="113"/>
      <c r="I1" s="12" t="s">
        <v>148</v>
      </c>
      <c r="J1" s="114">
        <f ca="1">TODAY()</f>
        <v>44299</v>
      </c>
      <c r="K1" s="114"/>
      <c r="L1" s="115"/>
    </row>
    <row r="2" spans="1:14" ht="20.100000000000001" customHeight="1" x14ac:dyDescent="0.25">
      <c r="A2" s="12" t="s">
        <v>94</v>
      </c>
      <c r="B2" s="101" t="s">
        <v>164</v>
      </c>
      <c r="C2" s="101"/>
      <c r="D2" s="102"/>
      <c r="E2" s="12" t="s">
        <v>56</v>
      </c>
      <c r="F2" s="55">
        <v>940068</v>
      </c>
      <c r="G2" s="55"/>
      <c r="H2" s="56"/>
      <c r="I2" s="12" t="s">
        <v>57</v>
      </c>
      <c r="J2" s="116" t="s">
        <v>166</v>
      </c>
      <c r="K2" s="55"/>
      <c r="L2" s="56"/>
    </row>
    <row r="3" spans="1:14" ht="20.100000000000001" customHeight="1" x14ac:dyDescent="0.25">
      <c r="A3" s="126" t="s">
        <v>167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1:14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</row>
    <row r="5" spans="1:14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</row>
    <row r="6" spans="1:14" ht="20.100000000000001" customHeight="1" x14ac:dyDescent="0.25">
      <c r="A6" s="89" t="s">
        <v>1</v>
      </c>
      <c r="B6" s="90"/>
      <c r="C6" s="90"/>
      <c r="D6" s="90"/>
      <c r="E6" s="90"/>
      <c r="F6" s="90"/>
      <c r="G6" s="90"/>
      <c r="H6" s="90"/>
      <c r="I6" s="90"/>
      <c r="J6" s="91"/>
      <c r="K6" s="91"/>
      <c r="L6" s="92"/>
    </row>
    <row r="7" spans="1:14" ht="20.100000000000001" customHeight="1" x14ac:dyDescent="0.3">
      <c r="A7" s="12" t="s">
        <v>158</v>
      </c>
      <c r="B7" s="55" t="s">
        <v>159</v>
      </c>
      <c r="C7" s="56"/>
      <c r="D7" s="12" t="s">
        <v>47</v>
      </c>
      <c r="E7" s="54" t="s">
        <v>127</v>
      </c>
      <c r="F7" s="54"/>
      <c r="G7" s="54"/>
      <c r="H7" s="54"/>
      <c r="I7" s="54"/>
      <c r="J7" s="105" t="s">
        <v>145</v>
      </c>
      <c r="K7" s="105"/>
      <c r="L7" s="86"/>
    </row>
    <row r="8" spans="1:14" ht="20.100000000000001" customHeight="1" x14ac:dyDescent="0.25">
      <c r="A8" s="13" t="s">
        <v>14</v>
      </c>
      <c r="B8" s="75">
        <v>210</v>
      </c>
      <c r="C8" s="76"/>
      <c r="D8" s="13" t="str">
        <f>IF(B7="Tube","Gusset","Centrefold")</f>
        <v>Gusset</v>
      </c>
      <c r="E8" s="106" t="str">
        <f>IF(B7="Cont Centrefold",B8*2,"")</f>
        <v/>
      </c>
      <c r="F8" s="107"/>
      <c r="G8" s="13" t="s">
        <v>50</v>
      </c>
      <c r="H8" s="75">
        <v>70</v>
      </c>
      <c r="I8" s="76"/>
      <c r="J8" s="12" t="s">
        <v>52</v>
      </c>
      <c r="K8" s="110" t="str">
        <f>IF(ISNUMBER(SEARCH("+",E8,1)),"Gusset Tube","Layflat Tube")</f>
        <v>Layflat Tube</v>
      </c>
      <c r="L8" s="111"/>
    </row>
    <row r="9" spans="1:14" ht="20.100000000000001" customHeight="1" x14ac:dyDescent="0.3">
      <c r="A9" s="14" t="s">
        <v>46</v>
      </c>
      <c r="B9" s="93" t="s">
        <v>146</v>
      </c>
      <c r="C9" s="94"/>
      <c r="D9" s="118" t="str">
        <f>IF(K10="Middle","RUN 2 UP",IF(AND(B7="Cont Centrefold",B8=380),"RUN 2 UP",""))</f>
        <v/>
      </c>
      <c r="E9" s="119"/>
      <c r="F9" s="120"/>
      <c r="G9" s="14" t="s">
        <v>46</v>
      </c>
      <c r="H9" s="93" t="s">
        <v>146</v>
      </c>
      <c r="I9" s="94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7">
        <f>E11*B10</f>
        <v>50</v>
      </c>
      <c r="F10" s="98"/>
      <c r="G10" s="12" t="s">
        <v>51</v>
      </c>
      <c r="H10" s="101">
        <f>H11*B10</f>
        <v>1836.7346938775509</v>
      </c>
      <c r="I10" s="102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5" t="str">
        <f>IF(AND(B7="Cont Centrefold",D9="RUN 2 UP"),B10*2,IF(B7="Cont Centrefold",B10,IF(B7="Cont Sheet Roll",B10*2,"")))</f>
        <v/>
      </c>
      <c r="C11" s="96"/>
      <c r="D11" s="51" t="s">
        <v>105</v>
      </c>
      <c r="E11" s="99">
        <v>10</v>
      </c>
      <c r="F11" s="100"/>
      <c r="G11" s="51" t="s">
        <v>13</v>
      </c>
      <c r="H11" s="103">
        <f>E11*540000/B8/H8</f>
        <v>367.34693877551018</v>
      </c>
      <c r="I11" s="104"/>
      <c r="J11" s="51" t="s">
        <v>48</v>
      </c>
      <c r="K11" s="108" t="s">
        <v>42</v>
      </c>
      <c r="L11" s="109"/>
      <c r="N11"/>
    </row>
    <row r="12" spans="1:14" ht="20.100000000000001" customHeight="1" x14ac:dyDescent="0.25">
      <c r="A12" s="77" t="s">
        <v>11</v>
      </c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80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1"/>
    </row>
    <row r="15" spans="1:14" ht="20.100000000000001" customHeight="1" x14ac:dyDescent="0.25">
      <c r="A15" s="89" t="s">
        <v>70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125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0">
        <f>B10</f>
        <v>5</v>
      </c>
      <c r="G16" s="110"/>
      <c r="H16" s="111"/>
      <c r="I16" s="12" t="s">
        <v>74</v>
      </c>
      <c r="J16" s="55"/>
      <c r="K16" s="55"/>
      <c r="L16" s="56"/>
    </row>
    <row r="17" spans="1:12" ht="20.100000000000001" customHeight="1" x14ac:dyDescent="0.25">
      <c r="A17" s="122" t="s">
        <v>149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4"/>
    </row>
    <row r="18" spans="1:12" ht="20.100000000000001" customHeight="1" x14ac:dyDescent="0.25">
      <c r="A18" s="85" t="s">
        <v>2</v>
      </c>
      <c r="B18" s="86"/>
      <c r="C18" s="85" t="s">
        <v>111</v>
      </c>
      <c r="D18" s="86"/>
      <c r="E18" s="85" t="s">
        <v>3</v>
      </c>
      <c r="F18" s="86"/>
      <c r="G18" s="85" t="s">
        <v>4</v>
      </c>
      <c r="H18" s="86"/>
      <c r="I18" s="85" t="s">
        <v>9</v>
      </c>
      <c r="J18" s="86"/>
      <c r="K18" s="85" t="s">
        <v>10</v>
      </c>
      <c r="L18" s="86"/>
    </row>
    <row r="19" spans="1:12" ht="20.100000000000001" customHeight="1" x14ac:dyDescent="0.25">
      <c r="A19" s="87" t="s">
        <v>5</v>
      </c>
      <c r="B19" s="87"/>
      <c r="C19" s="66" t="s">
        <v>115</v>
      </c>
      <c r="D19" s="67"/>
      <c r="E19" s="68"/>
      <c r="F19" s="69"/>
      <c r="G19" s="11" t="s">
        <v>76</v>
      </c>
      <c r="H19" s="35"/>
      <c r="I19" s="73"/>
      <c r="J19" s="74"/>
      <c r="K19" s="73"/>
      <c r="L19" s="74"/>
    </row>
    <row r="20" spans="1:12" ht="20.100000000000001" customHeight="1" x14ac:dyDescent="0.25">
      <c r="A20" s="87" t="s">
        <v>6</v>
      </c>
      <c r="B20" s="87"/>
      <c r="C20" s="66" t="s">
        <v>114</v>
      </c>
      <c r="D20" s="67"/>
      <c r="E20" s="68"/>
      <c r="F20" s="69"/>
      <c r="G20" s="11" t="s">
        <v>77</v>
      </c>
      <c r="H20" s="35"/>
      <c r="I20" s="73"/>
      <c r="J20" s="74"/>
      <c r="K20" s="73"/>
      <c r="L20" s="74"/>
    </row>
    <row r="21" spans="1:12" ht="20.100000000000001" customHeight="1" x14ac:dyDescent="0.25">
      <c r="A21" s="87" t="s">
        <v>7</v>
      </c>
      <c r="B21" s="87"/>
      <c r="C21" s="66" t="s">
        <v>113</v>
      </c>
      <c r="D21" s="67"/>
      <c r="E21" s="68"/>
      <c r="F21" s="69"/>
      <c r="G21" s="11" t="s">
        <v>78</v>
      </c>
      <c r="H21" s="35"/>
      <c r="I21" s="73"/>
      <c r="J21" s="74"/>
      <c r="K21" s="73"/>
      <c r="L21" s="74"/>
    </row>
    <row r="22" spans="1:12" ht="20.100000000000001" customHeight="1" x14ac:dyDescent="0.25">
      <c r="A22" s="87" t="s">
        <v>8</v>
      </c>
      <c r="B22" s="87"/>
      <c r="C22" s="66" t="s">
        <v>112</v>
      </c>
      <c r="D22" s="67"/>
      <c r="E22" s="68"/>
      <c r="F22" s="69"/>
      <c r="G22" s="11" t="s">
        <v>79</v>
      </c>
      <c r="H22" s="35"/>
      <c r="I22" s="73"/>
      <c r="J22" s="74"/>
      <c r="K22" s="73"/>
      <c r="L22" s="74"/>
    </row>
    <row r="23" spans="1:12" ht="20.100000000000001" customHeight="1" x14ac:dyDescent="0.25">
      <c r="A23" s="87" t="s">
        <v>150</v>
      </c>
      <c r="B23" s="87"/>
      <c r="C23" s="66" t="s">
        <v>151</v>
      </c>
      <c r="D23" s="67"/>
      <c r="E23" s="68"/>
      <c r="F23" s="69"/>
      <c r="G23" s="11" t="s">
        <v>80</v>
      </c>
      <c r="H23" s="35"/>
      <c r="I23" s="73"/>
      <c r="J23" s="74"/>
      <c r="K23" s="73"/>
      <c r="L23" s="74"/>
    </row>
    <row r="24" spans="1:12" ht="20.100000000000001" customHeight="1" x14ac:dyDescent="0.25">
      <c r="A24" s="135" t="str">
        <f>(IF(E7="NATURAL","",E7))</f>
        <v>BLUE TINT</v>
      </c>
      <c r="B24" s="135"/>
      <c r="C24" s="13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BT</v>
      </c>
      <c r="D24" s="137"/>
      <c r="E24" s="138"/>
      <c r="F24" s="139"/>
      <c r="G24" s="11" t="s">
        <v>81</v>
      </c>
      <c r="H24" s="35"/>
      <c r="I24" s="73"/>
      <c r="J24" s="74"/>
      <c r="K24" s="73"/>
      <c r="L24" s="74"/>
    </row>
    <row r="25" spans="1:12" ht="20.100000000000001" customHeight="1" x14ac:dyDescent="0.25">
      <c r="A25" s="87"/>
      <c r="B25" s="87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3"/>
      <c r="J25" s="74"/>
      <c r="K25" s="73"/>
      <c r="L25" s="74"/>
    </row>
    <row r="26" spans="1:12" ht="20.100000000000001" customHeight="1" x14ac:dyDescent="0.25">
      <c r="A26" s="88" t="s">
        <v>0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21" t="s">
        <v>103</v>
      </c>
      <c r="H27" s="121"/>
      <c r="I27" s="121" t="s">
        <v>102</v>
      </c>
      <c r="J27" s="121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17"/>
      <c r="H28" s="117"/>
      <c r="I28" s="117"/>
      <c r="J28" s="117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17"/>
      <c r="H29" s="117"/>
      <c r="I29" s="117"/>
      <c r="J29" s="117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2" t="s">
        <v>106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44329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44320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A8AE61A-C298-47AC-BE74-43F3D968BDE1}"/>
</file>

<file path=customXml/itemProps2.xml><?xml version="1.0" encoding="utf-8"?>
<ds:datastoreItem xmlns:ds="http://schemas.openxmlformats.org/officeDocument/2006/customXml" ds:itemID="{C4299051-7F2F-49EC-BDF1-0269D1BDF4E5}"/>
</file>

<file path=customXml/itemProps3.xml><?xml version="1.0" encoding="utf-8"?>
<ds:datastoreItem xmlns:ds="http://schemas.openxmlformats.org/officeDocument/2006/customXml" ds:itemID="{384EE4C8-A8F6-4E54-A0D8-D735B373E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2021-04-13T01:55:17Z</cp:lastPrinted>
  <dcterms:created xsi:type="dcterms:W3CDTF">2019-11-27T23:28:06Z</dcterms:created>
  <dcterms:modified xsi:type="dcterms:W3CDTF">2021-04-13T02:06:54Z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