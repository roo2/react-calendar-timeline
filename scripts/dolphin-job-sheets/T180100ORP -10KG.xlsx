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bookViews>
    <workbookView xWindow="0" yWindow="0" windowWidth="24054" windowHeight="9942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<sst xmlns="http://schemas.openxmlformats.org/spreadsheetml/2006/main" count="226" uniqueCount="167">
  <si>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</si>
  <si>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</si>
  <si>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</si>
  <si>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</si>
  <si>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</si>
  <si>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</si>
  <si>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</si>
  <si>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</si>
  <si>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</si>
  <si>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</si>
  <si>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</si>
  <si>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</si>
  <si>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</si>
  <si>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</si>
  <si>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</si>
  <si>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</si>
  <si>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</si>
  <si>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</si>
  <si>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</si>
  <si>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</si>
  <si>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</si>
  <si>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</si>
  <si>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</si>
  <si>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</si>
  <si>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</si>
  <si>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</si>
  <si>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</si>
  <si>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</si>
  <si>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</si>
  <si>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</si>
  <si>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</si>
  <si>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</si>
  <si>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</si>
  <si>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</si>
  <si>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</si>
  <si>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</si>
  <si>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</si>
  <si>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</si>
  <si>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</si>
  <si>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</si>
  <si>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</si>
  <si>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</si>
  <si>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</si>
  <si>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</si>
  <si>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</si>
  <si>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</si>
  <si>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</si>
  <si>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</si>
  <si>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</si>
  <si>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</si>
  <si>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</si>
  <si>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</si>
  <si>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</si>
  <si>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</si>
  <si>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</si>
  <si>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</si>
  <si>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</si>
  <si>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</si>
  <si>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</si>
  <si>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</si>
  <si>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</si>
  <si>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</si>
  <si>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</si>
  <si>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</si>
  <si>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</si>
  <si>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</si>
  <si>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</si>
  <si>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</si>
  <si>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</si>
  <si>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</si>
  <si>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</si>
  <si>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</si>
  <si>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</si>
  <si>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</si>
  <si>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</si>
  <si>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</si>
  <si>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</si>
  <si>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</si>
  <si>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</si>
  <si>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</si>
  <si>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</si>
  <si>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</si>
  <si>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</si>
  <si>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</si>
  <si>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</si>
  <si>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</si>
  <si>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</si>
  <si>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</si>
  <si>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</si>
  <si>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</si>
  <si>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</si>
  <si>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</si>
  <si>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</si>
  <si>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</si>
  <si>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</si>
  <si>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</si>
  <si>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</si>
  <si>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</si>
  <si>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</si>
  <si>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</si>
  <si>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</si>
  <si>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</si>
  <si>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</si>
  <si>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</si>
  <si>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</si>
  <si>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</si>
  <si>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</si>
  <si>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</si>
  <si>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</si>
  <si>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</si>
  <si>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</si>
  <si>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</si>
  <si>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</si>
  <si>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</si>
  <si>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</si>
  <si>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</si>
  <si>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</si>
  <si>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</si>
  <si>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</si>
  <si>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</si>
  <si>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</si>
  <si>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</si>
  <si>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</si>
  <si>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</si>
  <si>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</si>
  <si>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</si>
  <si>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</si>
  <si>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</si>
  <si>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</si>
  <si>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</si>
  <si>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</si>
  <si>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</si>
  <si>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</si>
  <si>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</si>
  <si>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</si>
  <si>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</si>
  <si>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</si>
  <si>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</si>
  <si>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</si>
  <si>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</si>
  <si>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</si>
  <si>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</si>
  <si>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</si>
  <si>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</si>
  <si>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</si>
  <si>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</si>
  <si>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</si>
  <si>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</si>
  <si>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</si>
  <si>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</si>
  <si>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</si>
  <si>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</si>
  <si>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</si>
  <si>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</si>
  <si>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</si>
  <si>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</si>
  <si>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</si>
  <si>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</si>
  <si>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</si>
  <si>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</si>
  <si>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</si>
  <si>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</si>
  <si>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</si>
  <si>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</si>
  <si>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ROLL TECH</t>
  </si>
  <si>
    <t>ROLL TECH PRINTED TUBE ALL AS PER LAST ORDER FRANK</t>
  </si>
  <si>
    <t>"ROLL TECH"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</si>
</sst>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86"/>
  <sheetViews>
    <sheetView tabSelected="1" zoomScale="80" zoomScaleNormal="80" workbookViewId="0">
      <selection activeCell="B14" sqref="B14:L14"/>
    </sheetView>
  </sheetViews>
  <sheetFormatPr defaultRowHeight="15.05" x14ac:dyDescent="0.3"/>
  <sheetData>
    <row r="1" spans="1:14" ht="20.05" customHeight="1" x14ac:dyDescent="0.3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T180100POR</v>
      </c>
      <c r="C1" s="70"/>
      <c r="D1" s="71"/>
      <c r="E1" s="12" t="s">
        <v>55</v>
      </c>
      <c r="F1" s="85" t="s">
        <v>164</v>
      </c>
      <c r="G1" s="85"/>
      <c r="H1" s="86"/>
      <c r="I1" s="12" t="s">
        <v>148</v>
      </c>
      <c r="J1" s="87">
        <f ca="1">TODAY()</f>
        <v>43899</v>
      </c>
      <c r="K1" s="87"/>
      <c r="L1" s="88"/>
    </row>
    <row r="2" spans="1:14" ht="20.05" customHeight="1" x14ac:dyDescent="0.3">
      <c r="A2" s="12" t="s">
        <v>94</v>
      </c>
      <c r="B2" s="74" t="str">
        <f>IF(B7="Tube",(ROUNDUP(E11,0)&amp;"KG"),(ROUNDUP(H11,0)&amp;"M"))</f>
        <v>10KG</v>
      </c>
      <c r="C2" s="74"/>
      <c r="D2" s="75"/>
      <c r="E2" s="12" t="s">
        <v>56</v>
      </c>
      <c r="F2" s="60">
        <v>936366</v>
      </c>
      <c r="G2" s="60"/>
      <c r="H2" s="61"/>
      <c r="I2" s="12" t="s">
        <v>57</v>
      </c>
      <c r="J2" s="89">
        <v>43894</v>
      </c>
      <c r="K2" s="60"/>
      <c r="L2" s="61"/>
    </row>
    <row r="3" spans="1:14" ht="20.05" customHeight="1" x14ac:dyDescent="0.3">
      <c r="A3" s="76" t="s">
        <v>165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05" customHeight="1" x14ac:dyDescent="0.3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05" customHeight="1" x14ac:dyDescent="0.3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05" customHeight="1" x14ac:dyDescent="0.3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05" customHeight="1" x14ac:dyDescent="0.35">
      <c r="A7" s="12" t="s">
        <v>158</v>
      </c>
      <c r="B7" s="60" t="s">
        <v>159</v>
      </c>
      <c r="C7" s="61"/>
      <c r="D7" s="12" t="s">
        <v>47</v>
      </c>
      <c r="E7" s="121" t="s">
        <v>121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05" customHeight="1" x14ac:dyDescent="0.3">
      <c r="A8" s="13" t="s">
        <v>14</v>
      </c>
      <c r="B8" s="108">
        <v>180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100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05" customHeight="1" x14ac:dyDescent="0.35">
      <c r="A9" s="14" t="s">
        <v>46</v>
      </c>
      <c r="B9" s="92" t="s">
        <v>146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146</v>
      </c>
      <c r="I9" s="93"/>
      <c r="J9" s="12" t="s">
        <v>53</v>
      </c>
      <c r="K9" s="60" t="s">
        <v>28</v>
      </c>
      <c r="L9" s="61"/>
    </row>
    <row r="10" spans="1:14" ht="20.05" customHeight="1" x14ac:dyDescent="0.3">
      <c r="A10" s="12" t="s">
        <v>49</v>
      </c>
      <c r="B10" s="60">
        <v>11</v>
      </c>
      <c r="C10" s="61"/>
      <c r="D10" s="42" t="s">
        <v>104</v>
      </c>
      <c r="E10" s="96">
        <f>E11*B10</f>
        <v>110</v>
      </c>
      <c r="F10" s="97"/>
      <c r="G10" s="12" t="s">
        <v>51</v>
      </c>
      <c r="H10" s="74">
        <f>H11*B10</f>
        <v>3300</v>
      </c>
      <c r="I10" s="75"/>
      <c r="J10" s="12" t="s">
        <v>39</v>
      </c>
      <c r="K10" s="60" t="s">
        <v>42</v>
      </c>
      <c r="L10" s="61"/>
    </row>
    <row r="11" spans="1:14" s="52" customFormat="1" ht="20.05" customHeight="1" x14ac:dyDescent="0.3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10</v>
      </c>
      <c r="F11" s="99"/>
      <c r="G11" s="51" t="s">
        <v>13</v>
      </c>
      <c r="H11" s="100">
        <f>E11*540000/B8/H8</f>
        <v>300</v>
      </c>
      <c r="I11" s="101"/>
      <c r="J11" s="51" t="s">
        <v>48</v>
      </c>
      <c r="K11" s="106" t="s">
        <v>63</v>
      </c>
      <c r="L11" s="107"/>
      <c r="N11"/>
    </row>
    <row r="12" spans="1:14" ht="20.05" customHeight="1" x14ac:dyDescent="0.3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05" customHeight="1" x14ac:dyDescent="0.3">
      <c r="A13" s="12" t="s">
        <v>59</v>
      </c>
      <c r="B13" s="60" t="s">
        <v>68</v>
      </c>
      <c r="C13" s="60"/>
      <c r="D13" s="61"/>
      <c r="E13" s="16" t="s">
        <v>60</v>
      </c>
      <c r="F13" s="60" t="s">
        <v>65</v>
      </c>
      <c r="G13" s="60"/>
      <c r="H13" s="61"/>
      <c r="I13" s="17" t="s">
        <v>61</v>
      </c>
      <c r="J13" s="60" t="s">
        <v>144</v>
      </c>
      <c r="K13" s="60"/>
      <c r="L13" s="61"/>
    </row>
    <row r="14" spans="1:14" ht="20.05" customHeight="1" x14ac:dyDescent="0.35">
      <c r="A14" s="13" t="s">
        <v>58</v>
      </c>
      <c r="B14" s="121" t="s">
        <v>166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05" customHeight="1" x14ac:dyDescent="0.3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05" customHeight="1" x14ac:dyDescent="0.3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11</v>
      </c>
      <c r="G16" s="70"/>
      <c r="H16" s="71"/>
      <c r="I16" s="12" t="s">
        <v>74</v>
      </c>
      <c r="J16" s="60"/>
      <c r="K16" s="60"/>
      <c r="L16" s="61"/>
    </row>
    <row r="17" spans="1:12" ht="20.05" customHeight="1" x14ac:dyDescent="0.3">
      <c r="A17" s="62" t="s">
        <v>149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05" customHeight="1" x14ac:dyDescent="0.3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05" customHeight="1" x14ac:dyDescent="0.3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05" customHeight="1" x14ac:dyDescent="0.3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05" customHeight="1" x14ac:dyDescent="0.3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05" customHeight="1" x14ac:dyDescent="0.3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05" customHeight="1" x14ac:dyDescent="0.3">
      <c r="A23" s="58" t="s">
        <v>150</v>
      </c>
      <c r="B23" s="58"/>
      <c r="C23" s="72" t="s">
        <v>151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05" customHeight="1" x14ac:dyDescent="0.3">
      <c r="A24" s="58" t="str">
        <f>(IF(E7="NATURAL","",E7))</f>
        <v>ORANGE</v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OR</v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05" customHeight="1" x14ac:dyDescent="0.3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05" customHeight="1" x14ac:dyDescent="0.3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05" customHeight="1" x14ac:dyDescent="0.3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05" customHeight="1" x14ac:dyDescent="0.3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05" customHeight="1" x14ac:dyDescent="0.3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05" customHeight="1" x14ac:dyDescent="0.3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05" customHeight="1" x14ac:dyDescent="0.3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7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Sheet2!$A$36:$A$37</xm:f>
          </x14:formula1>
          <xm:sqref>K9:L9</xm:sqref>
        </x14:dataValidation>
        <x14:dataValidation type="list" allowBlank="1" showInputMessage="1" showErrorMessage="1">
          <x14:formula1>
            <xm:f>Sheet2!$A$40:$A$43</xm:f>
          </x14:formula1>
          <xm:sqref>K10:L10</xm:sqref>
        </x14:dataValidation>
        <x14:dataValidation type="list" allowBlank="1" showInputMessage="1" showErrorMessage="1">
          <x14:formula1>
            <xm:f>Sheet2!$A$56:$A$58</xm:f>
          </x14:formula1>
          <xm:sqref>F13:H13</xm:sqref>
        </x14:dataValidation>
        <x14:dataValidation type="list" allowBlank="1" showInputMessage="1" showErrorMessage="1">
          <x14:formula1>
            <xm:f>Sheet2!$N$4:$N$6</xm:f>
          </x14:formula1>
          <xm:sqref>B16:D16</xm:sqref>
        </x14:dataValidation>
        <x14:dataValidation type="list" allowBlank="1" showInputMessage="1" showErrorMessage="1">
          <x14:formula1>
            <xm:f>Sheet2!$A$46:$A$48</xm:f>
          </x14:formula1>
          <xm:sqref>K11:L11</xm:sqref>
        </x14:dataValidation>
        <x14:dataValidation type="list" allowBlank="1" showInputMessage="1" showErrorMessage="1">
          <x14:formula1>
            <xm:f>Sheet2!$A$61:$A$75</xm:f>
          </x14:formula1>
          <xm:sqref>J13:L13</xm:sqref>
        </x14:dataValidation>
        <x14:dataValidation type="list" allowBlank="1" showInputMessage="1" showErrorMessage="1">
          <x14:formula1>
            <xm:f>Sheet2!$A$31:$A$33</xm:f>
          </x14:formula1>
          <xm:sqref>B7:C7</xm:sqref>
        </x14:dataValidation>
        <x14:dataValidation type="list" allowBlank="1" showInputMessage="1" showErrorMessage="1">
          <x14:formula1>
            <xm:f>Sheet2!$A$9:$A$28</xm:f>
          </x14:formula1>
          <xm:sqref>E7:I7</xm:sqref>
        </x14:dataValidation>
        <x14:dataValidation type="list" allowBlank="1" showInputMessage="1" showErrorMessage="1">
          <x14:formula1>
            <xm:f>Sheet2!$A$51:$A$53</xm:f>
          </x14:formula1>
          <xm:sqref>B13:D13</xm:sqref>
        </x14:dataValidation>
        <x14:dataValidation type="list" allowBlank="1" showInputMessage="1" showErrorMessage="1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75"/>
  <sheetViews>
    <sheetView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43930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43920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1CB1127-A9D3-44C8-81FA-6C1198125E2F}"/>
</file>

<file path=customXml/itemProps2.xml><?xml version="1.0" encoding="utf-8"?>
<ds:datastoreItem xmlns:ds="http://schemas.openxmlformats.org/officeDocument/2006/customXml" ds:itemID="{09E7D0BA-FDC6-4EBA-9367-6AA20BD2DED4}"/>
</file>

<file path=customXml/itemProps3.xml><?xml version="1.0" encoding="utf-8"?>
<ds:datastoreItem xmlns:ds="http://schemas.openxmlformats.org/officeDocument/2006/customXml" ds:itemID="{1054D8D0-F9E1-4D3A-B586-8F4FE5D14D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cp:lastPrinted>2020-02-12T05:18:06Z</cp:lastPrinted>
  <dcterms:created xsi:type="dcterms:W3CDTF">2019-11-27T23:28:06Z</dcterms:created>
  <dcterms:modified xsi:type="dcterms:W3CDTF">2020-03-09T04:25:08Z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