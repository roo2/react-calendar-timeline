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3144BFD-9CCC-4589-B709-90E53648D35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<sst xmlns="http://schemas.openxmlformats.org/spreadsheetml/2006/main" count="308" uniqueCount="203">
  <si>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</si>
  <si>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</si>
  <si>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</si>
  <si>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</si>
  <si>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</si>
  <si>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</si>
  <si>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</si>
  <si>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</si>
  <si>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</si>
  <si>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</si>
  <si>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</si>
  <si>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</si>
  <si>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</si>
  <si>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</si>
  <si>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</si>
  <si>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</si>
  <si>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</si>
  <si>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</si>
  <si>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</si>
  <si>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</si>
  <si>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</si>
  <si>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</si>
  <si>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</si>
  <si>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</si>
  <si>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</si>
  <si>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</si>
  <si>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</si>
  <si>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</si>
  <si>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</si>
  <si>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</si>
  <si>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</si>
  <si>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</si>
  <si>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</si>
  <si>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</si>
  <si>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</si>
  <si>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</si>
  <si>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</si>
  <si>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</si>
  <si>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</si>
  <si>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</si>
  <si>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</si>
  <si>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</si>
  <si>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</si>
  <si>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</si>
  <si>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</si>
  <si>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</si>
  <si>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</si>
  <si>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</si>
  <si>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</si>
  <si>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</si>
  <si>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</si>
  <si>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</si>
  <si>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</si>
  <si>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</si>
  <si>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</si>
  <si>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</si>
  <si>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</si>
  <si>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</si>
  <si>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</si>
  <si>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</si>
  <si>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</si>
  <si>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</si>
  <si>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</si>
  <si>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</si>
  <si>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</si>
  <si>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</si>
  <si>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</si>
  <si>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</si>
  <si>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</si>
  <si>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</si>
  <si>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</si>
  <si>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</si>
  <si>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</si>
  <si>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</si>
  <si>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</si>
  <si>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</si>
  <si>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</si>
  <si>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</si>
  <si>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</si>
  <si>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</si>
  <si>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</si>
  <si>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</si>
  <si>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</si>
  <si>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</si>
  <si>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</si>
  <si>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</si>
  <si>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</si>
  <si>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</si>
  <si>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</si>
  <si>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</si>
  <si>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</si>
  <si>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</si>
  <si>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</si>
  <si>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</si>
  <si>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</si>
  <si>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</si>
  <si>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</si>
  <si>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</si>
  <si>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</si>
  <si>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</si>
  <si>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</si>
  <si>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</si>
  <si>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</si>
  <si>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</si>
  <si>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</si>
  <si>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</si>
  <si>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</si>
  <si>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</si>
  <si>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</si>
  <si>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</si>
  <si>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</si>
  <si>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</si>
  <si>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</si>
  <si>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</si>
  <si>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</si>
  <si>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</si>
  <si>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</si>
  <si>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</si>
  <si>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</si>
  <si>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</si>
  <si>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</si>
  <si>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</si>
  <si>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</si>
  <si>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</si>
  <si>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</si>
  <si>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</si>
  <si>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</si>
  <si>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</si>
  <si>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</si>
  <si>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</si>
  <si>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</si>
  <si>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</si>
  <si>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</si>
  <si>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</si>
  <si>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</si>
  <si>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</si>
  <si>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</si>
  <si>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</si>
  <si>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</si>
  <si>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</si>
  <si>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</si>
  <si>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</si>
  <si>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</si>
  <si>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</si>
  <si>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</si>
  <si>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</si>
  <si>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</si>
  <si>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</si>
  <si>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</si>
  <si>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</si>
  <si>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</si>
  <si>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</si>
  <si>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</si>
  <si>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</si>
  <si>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</si>
  <si>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</si>
  <si>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</si>
  <si>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</si>
  <si>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</si>
  <si>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</si>
  <si>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</si>
  <si>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</si>
  <si>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</si>
  <si>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</si>
  <si>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</si>
  <si>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</si>
  <si>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</si>
  <si>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</si>
  <si>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</si>
  <si>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</si>
  <si>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</si>
  <si>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</si>
  <si>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</si>
  <si>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</si>
  <si>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</si>
  <si>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</si>
  <si>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</si>
  <si>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</si>
  <si>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</si>
  <si>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</si>
  <si>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</si>
  <si>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</si>
  <si>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</si>
  <si>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</si>
  <si>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</si>
  <si>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</si>
  <si>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</si>
  <si>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</si>
  <si>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</si>
  <si>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</si>
  <si>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</si>
  <si>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</si>
  <si>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</si>
  <si>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</si>
  <si>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+/-5mm</t>
  </si>
  <si>
    <t>LIMAX</t>
  </si>
  <si>
    <t>ANTIBLOCK</t>
  </si>
  <si>
    <t>%</t>
  </si>
  <si>
    <t>ORCHID EARTH</t>
  </si>
  <si>
    <t>TRIAL</t>
  </si>
  <si>
    <t>NEW CUSTOMER - NEW ITEM - MUST HAVE STRONG SEAL - NOT UNDER 100UM</t>
  </si>
  <si>
    <t>NOT UNDER</t>
  </si>
  <si>
    <t>10LT CLEAR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</si>
</sst>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6" fillId="0" borderId="3" xfId="2" applyFont="1" applyBorder="1" applyAlignment="1" applyProtection="1">
      <alignment horizontal="left" vertical="top"/>
      <protection locked="0"/>
    </xf>
    <xf numFmtId="0" fontId="16" fillId="0" borderId="8" xfId="2" applyFont="1" applyBorder="1" applyAlignment="1" applyProtection="1">
      <alignment horizontal="left" vertical="top"/>
      <protection locked="0"/>
    </xf>
    <xf numFmtId="0" fontId="16" fillId="0" borderId="9" xfId="2" applyFont="1" applyBorder="1" applyAlignment="1" applyProtection="1">
      <alignment horizontal="left" vertical="top"/>
      <protection locked="0"/>
    </xf>
    <xf numFmtId="0" fontId="16" fillId="0" borderId="0" xfId="2" applyFont="1" applyBorder="1" applyAlignment="1" applyProtection="1">
      <alignment horizontal="left" vertical="top"/>
      <protection locked="0"/>
    </xf>
    <xf numFmtId="0" fontId="16" fillId="0" borderId="10" xfId="2" applyFont="1" applyBorder="1" applyAlignment="1" applyProtection="1">
      <alignment horizontal="left" vertical="top"/>
      <protection locked="0"/>
    </xf>
    <xf numFmtId="0" fontId="16" fillId="0" borderId="11" xfId="2" applyFont="1" applyBorder="1" applyAlignment="1" applyProtection="1">
      <alignment horizontal="left" vertical="top"/>
      <protection locked="0"/>
    </xf>
    <xf numFmtId="0" fontId="16" fillId="0" borderId="1" xfId="2" applyFont="1" applyBorder="1" applyAlignment="1" applyProtection="1">
      <alignment horizontal="left" vertical="top"/>
      <protection locked="0"/>
    </xf>
    <xf numFmtId="0" fontId="16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 wrapText="1"/>
      <protection locked="0"/>
    </xf>
    <xf numFmtId="0" fontId="17" fillId="5" borderId="3" xfId="0" applyFont="1" applyFill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Alignment="1" applyProtection="1">
      <alignment horizontal="center" vertical="center" wrapText="1"/>
      <protection locked="0"/>
    </xf>
    <xf numFmtId="0" fontId="17" fillId="5" borderId="10" xfId="0" applyFont="1" applyFill="1" applyBorder="1" applyAlignment="1" applyProtection="1">
      <alignment horizontal="center" vertical="center" wrapText="1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17" fillId="5" borderId="12" xfId="0" applyFont="1" applyFill="1" applyBorder="1" applyAlignment="1" applyProtection="1">
      <alignment horizontal="center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D9" sqref="D9:F9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PB3505601000</v>
      </c>
      <c r="C1" s="108"/>
      <c r="D1" s="109"/>
      <c r="E1" s="11" t="s">
        <v>57</v>
      </c>
      <c r="F1" s="110" t="s">
        <v>198</v>
      </c>
      <c r="G1" s="62"/>
      <c r="H1" s="63"/>
      <c r="I1" s="12" t="s">
        <v>181</v>
      </c>
      <c r="J1" s="111">
        <f ca="1">TODAY()</f>
        <v>45499</v>
      </c>
      <c r="K1" s="111"/>
      <c r="L1" s="112"/>
      <c r="M1" s="29"/>
      <c r="N1" s="11" t="s">
        <v>56</v>
      </c>
      <c r="O1" s="108" t="str">
        <f>B1</f>
        <v>PB3505601000</v>
      </c>
      <c r="P1" s="108"/>
      <c r="Q1" s="109"/>
      <c r="R1" s="11" t="s">
        <v>57</v>
      </c>
      <c r="S1" s="108" t="str">
        <f>F1</f>
        <v>ORCHID EARTH</v>
      </c>
      <c r="T1" s="108"/>
      <c r="U1" s="109"/>
      <c r="V1" s="11" t="s">
        <v>181</v>
      </c>
      <c r="W1" s="111">
        <f ca="1">J1</f>
        <v>45499</v>
      </c>
      <c r="X1" s="111"/>
      <c r="Y1" s="112"/>
    </row>
    <row r="2" spans="1:25" ht="20.149999999999999" customHeight="1" x14ac:dyDescent="0.8">
      <c r="A2" s="11" t="s">
        <v>100</v>
      </c>
      <c r="B2" s="108" t="str">
        <f>IF(U10="","",U10)</f>
        <v>10LT CLEAR BAG</v>
      </c>
      <c r="C2" s="108"/>
      <c r="D2" s="109"/>
      <c r="E2" s="11" t="s">
        <v>58</v>
      </c>
      <c r="F2" s="62" t="s">
        <v>199</v>
      </c>
      <c r="G2" s="62"/>
      <c r="H2" s="63"/>
      <c r="I2" s="11" t="s">
        <v>59</v>
      </c>
      <c r="J2" s="114" t="s">
        <v>192</v>
      </c>
      <c r="K2" s="62"/>
      <c r="L2" s="63"/>
      <c r="M2" s="29"/>
      <c r="N2" s="11" t="s">
        <v>100</v>
      </c>
      <c r="O2" s="108" t="str">
        <f>IF(B2="","",B2)</f>
        <v>10LT CLEAR BAG</v>
      </c>
      <c r="P2" s="108"/>
      <c r="Q2" s="109"/>
      <c r="R2" s="11" t="s">
        <v>58</v>
      </c>
      <c r="S2" s="108" t="str">
        <f>IF(F2="","",F2)</f>
        <v>TRIAL</v>
      </c>
      <c r="T2" s="108"/>
      <c r="U2" s="109"/>
      <c r="V2" s="11" t="s">
        <v>59</v>
      </c>
      <c r="W2" s="113" t="str">
        <f>J2</f>
        <v>ASAP</v>
      </c>
      <c r="X2" s="108"/>
      <c r="Y2" s="109"/>
    </row>
    <row r="3" spans="1:25" ht="20.149999999999999" customHeight="1" x14ac:dyDescent="0.75">
      <c r="A3" s="151" t="s">
        <v>200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3"/>
      <c r="M3" s="29"/>
      <c r="N3" s="142" t="str">
        <f>A3</f>
        <v>NEW CUSTOMER - NEW ITEM - MUST HAVE STRONG SEAL - NOT UNDER 100UM</v>
      </c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4"/>
    </row>
    <row r="4" spans="1:25" ht="20.149999999999999" customHeight="1" x14ac:dyDescent="0.75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6"/>
      <c r="M4" s="29"/>
      <c r="N4" s="145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7"/>
    </row>
    <row r="5" spans="1:25" ht="20.149999999999999" customHeight="1" x14ac:dyDescent="0.75">
      <c r="A5" s="157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9"/>
      <c r="M5" s="29"/>
      <c r="N5" s="148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50"/>
    </row>
    <row r="6" spans="1:25" ht="20.149999999999999" customHeight="1" x14ac:dyDescent="0.75">
      <c r="A6" s="115" t="s">
        <v>2</v>
      </c>
      <c r="B6" s="116"/>
      <c r="C6" s="116"/>
      <c r="D6" s="116"/>
      <c r="E6" s="116"/>
      <c r="F6" s="116"/>
      <c r="G6" s="116"/>
      <c r="H6" s="116"/>
      <c r="I6" s="11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6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1500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350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17" t="s">
        <v>194</v>
      </c>
      <c r="C9" s="118"/>
      <c r="D9" s="125" t="str">
        <f>IF(K10="Middle","RUN 2 UP",IF(AND(O8="Centrefold Roll",B8=380),"RUN 2 UP",""))</f>
        <v/>
      </c>
      <c r="E9" s="100"/>
      <c r="F9" s="101"/>
      <c r="G9" s="16" t="s">
        <v>48</v>
      </c>
      <c r="H9" s="117" t="s">
        <v>201</v>
      </c>
      <c r="I9" s="118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350</v>
      </c>
      <c r="S9" s="18" t="s">
        <v>78</v>
      </c>
      <c r="T9" s="30">
        <v>560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19">
        <f>IF(ISNUMBER(SEARCH("sheet",O8,1)),((R9*T9*H8/540000)*U7/2000*1.3),((R9*T9*H8/540000)*U7/1000*1.08))</f>
        <v>58.800000000000004</v>
      </c>
      <c r="F10" s="120"/>
      <c r="G10" s="11" t="s">
        <v>53</v>
      </c>
      <c r="H10" s="123">
        <f>IF(ISNUMBER(SEARCH("sheet",O8,1)),(U7*T9/2000*1.08),(U7*T9/1000*1.08))</f>
        <v>907.2</v>
      </c>
      <c r="I10" s="124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202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1">
        <f>E10/B10</f>
        <v>19.600000000000001</v>
      </c>
      <c r="F11" s="122"/>
      <c r="G11" s="11" t="s">
        <v>15</v>
      </c>
      <c r="H11" s="121">
        <f>H10/B10</f>
        <v>302.40000000000003</v>
      </c>
      <c r="I11" s="122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8" t="s">
        <v>4</v>
      </c>
      <c r="F16" s="138"/>
      <c r="G16" s="138" t="s">
        <v>5</v>
      </c>
      <c r="H16" s="13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9" t="s">
        <v>196</v>
      </c>
      <c r="B23" s="139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 t="s">
        <v>197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0"/>
      <c r="B24" s="141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26" t="s">
        <v>116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29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32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45530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45520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9591D84-CFEA-4399-9FDD-793ACDF01350}"/>
</file>

<file path=customXml/itemProps2.xml><?xml version="1.0" encoding="utf-8"?>
<ds:datastoreItem xmlns:ds="http://schemas.openxmlformats.org/officeDocument/2006/customXml" ds:itemID="{D5A34661-280D-45BC-910C-C8922A92BA50}"/>
</file>

<file path=customXml/itemProps3.xml><?xml version="1.0" encoding="utf-8"?>
<ds:datastoreItem xmlns:ds="http://schemas.openxmlformats.org/officeDocument/2006/customXml" ds:itemID="{3D78B948-AD2B-458E-A984-F5CCA90E1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2024-07-25T23:50:39Z</cp:lastPrinted>
  <dcterms:created xsi:type="dcterms:W3CDTF">2019-11-27T23:28:06Z</dcterms:created>
  <dcterms:modified xsi:type="dcterms:W3CDTF">2024-07-25T23:50:43Z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