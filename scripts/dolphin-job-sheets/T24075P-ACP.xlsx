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0A52FA3-81F7-4A2A-B1DE-5F6178D7B5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<sst xmlns="http://schemas.openxmlformats.org/spreadsheetml/2006/main" count="227" uniqueCount="169">
  <si>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</si>
  <si>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</si>
  <si>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</si>
  <si>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</si>
  <si>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</si>
  <si>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</si>
  <si>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</si>
  <si>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</si>
  <si>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</si>
  <si>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</si>
  <si>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</si>
  <si>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</si>
  <si>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</si>
  <si>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</si>
  <si>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</si>
  <si>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</si>
  <si>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</si>
  <si>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</si>
  <si>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</si>
  <si>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</si>
  <si>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</si>
  <si>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</si>
  <si>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</si>
  <si>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</si>
  <si>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</si>
  <si>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</si>
  <si>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</si>
  <si>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</si>
  <si>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</si>
  <si>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</si>
  <si>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</si>
  <si>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</si>
  <si>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</si>
  <si>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</si>
  <si>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</si>
  <si>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</si>
  <si>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</si>
  <si>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</si>
  <si>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</si>
  <si>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</si>
  <si>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</si>
  <si>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</si>
  <si>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</si>
  <si>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</si>
  <si>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</si>
  <si>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</si>
  <si>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</si>
  <si>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</si>
  <si>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</si>
  <si>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</si>
  <si>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</si>
  <si>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</si>
  <si>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</si>
  <si>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</si>
  <si>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</si>
  <si>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</si>
  <si>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</si>
  <si>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</si>
  <si>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</si>
  <si>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</si>
  <si>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</si>
  <si>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</si>
  <si>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</si>
  <si>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</si>
  <si>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</si>
  <si>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</si>
  <si>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</si>
  <si>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</si>
  <si>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</si>
  <si>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</si>
  <si>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</si>
  <si>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</si>
  <si>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</si>
  <si>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</si>
  <si>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</si>
  <si>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</si>
  <si>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</si>
  <si>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</si>
  <si>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</si>
  <si>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</si>
  <si>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</si>
  <si>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</si>
  <si>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</si>
  <si>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</si>
  <si>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</si>
  <si>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</si>
  <si>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</si>
  <si>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</si>
  <si>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</si>
  <si>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</si>
  <si>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</si>
  <si>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</si>
  <si>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</si>
  <si>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</si>
  <si>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</si>
  <si>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</si>
  <si>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</si>
  <si>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</si>
  <si>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</si>
  <si>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</si>
  <si>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</si>
  <si>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</si>
  <si>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</si>
  <si>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</si>
  <si>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</si>
  <si>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</si>
  <si>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</si>
  <si>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</si>
  <si>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</si>
  <si>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</si>
  <si>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</si>
  <si>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</si>
  <si>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</si>
  <si>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</si>
  <si>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</si>
  <si>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</si>
  <si>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</si>
  <si>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</si>
  <si>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</si>
  <si>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</si>
  <si>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</si>
  <si>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</si>
  <si>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</si>
  <si>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</si>
  <si>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</si>
  <si>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</si>
  <si>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</si>
  <si>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</si>
  <si>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</si>
  <si>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</si>
  <si>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</si>
  <si>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</si>
  <si>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</si>
  <si>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</si>
  <si>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</si>
  <si>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</si>
  <si>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</si>
  <si>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</si>
  <si>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</si>
  <si>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</si>
  <si>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</si>
  <si>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</si>
  <si>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</si>
  <si>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</si>
  <si>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</si>
  <si>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</si>
  <si>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</si>
  <si>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</si>
  <si>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</si>
  <si>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</si>
  <si>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</si>
  <si>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</si>
  <si>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</si>
  <si>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</si>
  <si>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</si>
  <si>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</si>
  <si>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</si>
  <si>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</si>
  <si>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</si>
  <si>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</si>
  <si>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</si>
  <si>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</si>
  <si>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</si>
  <si>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</si>
  <si>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#1</t>
  </si>
  <si>
    <t>NOT UNDER</t>
  </si>
  <si>
    <t>CONCRETE POSTS</t>
  </si>
  <si>
    <t>ACP- AUSTRALIAN CONCRETE POSTS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</si>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</sst>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8" borderId="2" xfId="0" applyFont="1" applyFill="1" applyBorder="1" applyAlignment="1" applyProtection="1">
      <alignment horizontal="center"/>
      <protection locked="0"/>
    </xf>
    <xf numFmtId="0" fontId="13" fillId="8" borderId="5" xfId="0" applyFont="1" applyFill="1" applyBorder="1" applyAlignment="1" applyProtection="1">
      <alignment horizontal="center"/>
      <protection locked="0"/>
    </xf>
    <xf numFmtId="0" fontId="10" fillId="8" borderId="2" xfId="0" applyFont="1" applyFill="1" applyBorder="1" applyAlignment="1" applyProtection="1">
      <alignment horizontal="center"/>
      <protection locked="0"/>
    </xf>
    <xf numFmtId="0" fontId="10" fillId="8" borderId="5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4" t="str">
        <f>IF(B7="Tube","T",IF(B7="Cont Sheet Roll","SR",IF(B7="Cont Centrefold","CFR")))&amp;B8&amp;IF(E8="","","("&amp;E8&amp;")")&amp;H8&amp;(IF(K11="INLINE","P",IF(K11="OUT OF LINE","P",IF(K11="NONE",""))))&amp;C24&amp;C25</f>
        <v>T24075PAS</v>
      </c>
      <c r="C1" s="104"/>
      <c r="D1" s="105"/>
      <c r="E1" s="10" t="s">
        <v>55</v>
      </c>
      <c r="F1" s="46" t="s">
        <v>166</v>
      </c>
      <c r="G1" s="46"/>
      <c r="H1" s="47"/>
      <c r="I1" s="10" t="s">
        <v>148</v>
      </c>
      <c r="J1" s="115">
        <f ca="1">TODAY()</f>
        <v>45394</v>
      </c>
      <c r="K1" s="115"/>
      <c r="L1" s="116"/>
    </row>
    <row r="2" spans="1:14" ht="20.100000000000001" customHeight="1" x14ac:dyDescent="0.25">
      <c r="A2" s="10" t="s">
        <v>94</v>
      </c>
      <c r="B2" s="95" t="str">
        <f>IF(B7="Tube",(ROUNDUP(E11,0)&amp;"KG"),(ROUNDUP(H11,0)&amp;"M"))</f>
        <v>25KG</v>
      </c>
      <c r="C2" s="95"/>
      <c r="D2" s="96"/>
      <c r="E2" s="10" t="s">
        <v>56</v>
      </c>
      <c r="F2" s="46">
        <v>947431</v>
      </c>
      <c r="G2" s="46"/>
      <c r="H2" s="47"/>
      <c r="I2" s="10" t="s">
        <v>57</v>
      </c>
      <c r="J2" s="117">
        <v>45373</v>
      </c>
      <c r="K2" s="46"/>
      <c r="L2" s="47"/>
    </row>
    <row r="3" spans="1:14" ht="20.100000000000001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8"/>
    </row>
    <row r="4" spans="1:14" ht="20.100000000000001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 spans="1:14" ht="20.100000000000001" customHeight="1" x14ac:dyDescent="0.2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</row>
    <row r="6" spans="1:14" ht="20.100000000000001" customHeight="1" x14ac:dyDescent="0.25">
      <c r="A6" s="83" t="s">
        <v>1</v>
      </c>
      <c r="B6" s="84"/>
      <c r="C6" s="84"/>
      <c r="D6" s="84"/>
      <c r="E6" s="84"/>
      <c r="F6" s="84"/>
      <c r="G6" s="84"/>
      <c r="H6" s="84"/>
      <c r="I6" s="84"/>
      <c r="J6" s="85"/>
      <c r="K6" s="85"/>
      <c r="L6" s="86"/>
    </row>
    <row r="7" spans="1:14" ht="20.100000000000001" customHeight="1" x14ac:dyDescent="0.3">
      <c r="A7" s="10" t="s">
        <v>158</v>
      </c>
      <c r="B7" s="46" t="s">
        <v>159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9" t="s">
        <v>145</v>
      </c>
      <c r="K7" s="99"/>
      <c r="L7" s="80"/>
    </row>
    <row r="8" spans="1:14" ht="20.100000000000001" customHeight="1" x14ac:dyDescent="0.25">
      <c r="A8" s="11" t="s">
        <v>14</v>
      </c>
      <c r="B8" s="68">
        <v>240</v>
      </c>
      <c r="C8" s="69"/>
      <c r="D8" s="11" t="str">
        <f>IF(B7="Tube","Gusset","Centrefold")</f>
        <v>Gusset</v>
      </c>
      <c r="E8" s="100" t="str">
        <f>IF(B7="Cont Centrefold",B8*2,"")</f>
        <v/>
      </c>
      <c r="F8" s="101"/>
      <c r="G8" s="11" t="s">
        <v>50</v>
      </c>
      <c r="H8" s="68">
        <v>75</v>
      </c>
      <c r="I8" s="69"/>
      <c r="J8" s="10" t="s">
        <v>52</v>
      </c>
      <c r="K8" s="104" t="str">
        <f>IF(ISNUMBER(SEARCH("+",E8,1)),"Gusset Tube","Layflat Tube")</f>
        <v>Layflat Tube</v>
      </c>
      <c r="L8" s="105"/>
    </row>
    <row r="9" spans="1:14" ht="20.100000000000001" customHeight="1" x14ac:dyDescent="0.3">
      <c r="A9" s="12" t="s">
        <v>46</v>
      </c>
      <c r="B9" s="87" t="s">
        <v>146</v>
      </c>
      <c r="C9" s="88"/>
      <c r="D9" s="119" t="str">
        <f>IF(K10="Middle","RUN 2 UP",IF(AND(B7="Cont Centrefold",B8=380),"RUN 2 UP",""))</f>
        <v/>
      </c>
      <c r="E9" s="120"/>
      <c r="F9" s="121"/>
      <c r="G9" s="12" t="s">
        <v>46</v>
      </c>
      <c r="H9" s="87" t="s">
        <v>165</v>
      </c>
      <c r="I9" s="88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10</v>
      </c>
      <c r="C10" s="47"/>
      <c r="D10" s="35" t="s">
        <v>104</v>
      </c>
      <c r="E10" s="91">
        <f>E11*B10</f>
        <v>250</v>
      </c>
      <c r="F10" s="92"/>
      <c r="G10" s="10" t="s">
        <v>51</v>
      </c>
      <c r="H10" s="95">
        <f>H11*B10</f>
        <v>7500</v>
      </c>
      <c r="I10" s="96"/>
      <c r="J10" s="10" t="s">
        <v>39</v>
      </c>
      <c r="K10" s="46" t="s">
        <v>42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9" t="str">
        <f>IF(AND(B7="Cont Centrefold",D9="RUN 2 UP"),B10*2,IF(B7="Cont Centrefold",B10,IF(B7="Cont Sheet Roll",B10*2,"")))</f>
        <v/>
      </c>
      <c r="C11" s="90"/>
      <c r="D11" s="41" t="s">
        <v>105</v>
      </c>
      <c r="E11" s="93">
        <v>25</v>
      </c>
      <c r="F11" s="94"/>
      <c r="G11" s="41" t="s">
        <v>13</v>
      </c>
      <c r="H11" s="97">
        <f>E11*540000/B8/H8</f>
        <v>750</v>
      </c>
      <c r="I11" s="98"/>
      <c r="J11" s="41" t="s">
        <v>48</v>
      </c>
      <c r="K11" s="102" t="s">
        <v>64</v>
      </c>
      <c r="L11" s="103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0" t="s">
        <v>59</v>
      </c>
      <c r="B13" s="74" t="s">
        <v>69</v>
      </c>
      <c r="C13" s="74"/>
      <c r="D13" s="75"/>
      <c r="E13" s="13" t="s">
        <v>60</v>
      </c>
      <c r="F13" s="74" t="s">
        <v>65</v>
      </c>
      <c r="G13" s="74"/>
      <c r="H13" s="75"/>
      <c r="I13" s="10" t="s">
        <v>61</v>
      </c>
      <c r="J13" s="46" t="s">
        <v>144</v>
      </c>
      <c r="K13" s="46"/>
      <c r="L13" s="47"/>
    </row>
    <row r="14" spans="1:14" ht="20.100000000000001" customHeight="1" x14ac:dyDescent="0.3">
      <c r="A14" s="11" t="s">
        <v>58</v>
      </c>
      <c r="B14" s="72" t="s">
        <v>167</v>
      </c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4" ht="20.100000000000001" customHeight="1" x14ac:dyDescent="0.25">
      <c r="A15" s="83" t="s">
        <v>70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123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104">
        <f>B10</f>
        <v>10</v>
      </c>
      <c r="G16" s="104"/>
      <c r="H16" s="105"/>
      <c r="I16" s="10" t="s">
        <v>74</v>
      </c>
      <c r="J16" s="46"/>
      <c r="K16" s="46"/>
      <c r="L16" s="47"/>
    </row>
    <row r="17" spans="1:12" ht="20.100000000000001" customHeight="1" x14ac:dyDescent="0.25">
      <c r="A17" s="76" t="s">
        <v>149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ht="20.100000000000001" customHeight="1" x14ac:dyDescent="0.25">
      <c r="A18" s="79" t="s">
        <v>2</v>
      </c>
      <c r="B18" s="80"/>
      <c r="C18" s="79" t="s">
        <v>111</v>
      </c>
      <c r="D18" s="80"/>
      <c r="E18" s="79" t="s">
        <v>3</v>
      </c>
      <c r="F18" s="80"/>
      <c r="G18" s="79" t="s">
        <v>4</v>
      </c>
      <c r="H18" s="80"/>
      <c r="I18" s="79" t="s">
        <v>9</v>
      </c>
      <c r="J18" s="80"/>
      <c r="K18" s="79" t="s">
        <v>10</v>
      </c>
      <c r="L18" s="80"/>
    </row>
    <row r="19" spans="1:12" ht="20.100000000000001" customHeight="1" x14ac:dyDescent="0.25">
      <c r="A19" s="81" t="s">
        <v>5</v>
      </c>
      <c r="B19" s="81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00000000000001" customHeight="1" x14ac:dyDescent="0.25">
      <c r="A20" s="81" t="s">
        <v>6</v>
      </c>
      <c r="B20" s="81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00000000000001" customHeight="1" x14ac:dyDescent="0.25">
      <c r="A21" s="81" t="s">
        <v>7</v>
      </c>
      <c r="B21" s="81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00000000000001" customHeight="1" x14ac:dyDescent="0.25">
      <c r="A22" s="81" t="s">
        <v>8</v>
      </c>
      <c r="B22" s="81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00000000000001" customHeight="1" x14ac:dyDescent="0.25">
      <c r="A23" s="81" t="s">
        <v>150</v>
      </c>
      <c r="B23" s="81"/>
      <c r="C23" s="57" t="s">
        <v>151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00000000000001" customHeight="1" x14ac:dyDescent="0.25">
      <c r="A24" s="81" t="str">
        <f>(IF(E7="NATURAL","",E7))</f>
        <v/>
      </c>
      <c r="B24" s="81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00000000000001" customHeight="1" x14ac:dyDescent="0.25">
      <c r="A25" s="81" t="s">
        <v>168</v>
      </c>
      <c r="B25" s="81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AS</v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00000000000001" customHeight="1" x14ac:dyDescent="0.25">
      <c r="A26" s="82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22" t="s">
        <v>103</v>
      </c>
      <c r="H27" s="122"/>
      <c r="I27" s="122" t="s">
        <v>102</v>
      </c>
      <c r="J27" s="122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164</v>
      </c>
      <c r="C28" s="6"/>
      <c r="D28" s="22">
        <v>111</v>
      </c>
      <c r="E28" s="44">
        <v>1.8</v>
      </c>
      <c r="F28" s="6"/>
      <c r="G28" s="118"/>
      <c r="H28" s="118"/>
      <c r="I28" s="118"/>
      <c r="J28" s="118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8"/>
      <c r="H29" s="118"/>
      <c r="I29" s="118"/>
      <c r="J29" s="118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6" t="s">
        <v>106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45424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45415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9CB9EC5-5AD3-47FE-9EA7-CC1C60601219}"/>
</file>

<file path=customXml/itemProps2.xml><?xml version="1.0" encoding="utf-8"?>
<ds:datastoreItem xmlns:ds="http://schemas.openxmlformats.org/officeDocument/2006/customXml" ds:itemID="{FED577BA-E1D3-4762-AD28-090481ED96E8}"/>
</file>

<file path=customXml/itemProps3.xml><?xml version="1.0" encoding="utf-8"?>
<ds:datastoreItem xmlns:ds="http://schemas.openxmlformats.org/officeDocument/2006/customXml" ds:itemID="{16F5078C-074A-438E-9F52-D5B8A7E85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2024-03-01T03:14:23Z</cp:lastPrinted>
  <dcterms:created xsi:type="dcterms:W3CDTF">2019-11-27T23:28:06Z</dcterms:created>
  <dcterms:modified xsi:type="dcterms:W3CDTF">2024-04-12T01:37:14Z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