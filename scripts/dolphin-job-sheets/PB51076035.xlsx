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8C5EB13-DF6D-4BA9-9595-216CFF7686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<sst xmlns="http://schemas.openxmlformats.org/spreadsheetml/2006/main" count="307" uniqueCount="202">
  <si>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</si>
  <si>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</si>
  <si>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</si>
  <si>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</si>
  <si>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</si>
  <si>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</si>
  <si>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</si>
  <si>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</si>
  <si>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</si>
  <si>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</si>
  <si>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</si>
  <si>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</si>
  <si>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</si>
  <si>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</si>
  <si>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</si>
  <si>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</si>
  <si>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</si>
  <si>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</si>
  <si>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</si>
  <si>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</si>
  <si>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</si>
  <si>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</si>
  <si>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</si>
  <si>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</si>
  <si>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</si>
  <si>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</si>
  <si>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</si>
  <si>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</si>
  <si>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</si>
  <si>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</si>
  <si>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</si>
  <si>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</si>
  <si>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</si>
  <si>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</si>
  <si>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</si>
  <si>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</si>
  <si>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</si>
  <si>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</si>
  <si>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</si>
  <si>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</si>
  <si>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</si>
  <si>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</si>
  <si>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</si>
  <si>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</si>
  <si>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</si>
  <si>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</si>
  <si>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</si>
  <si>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</si>
  <si>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</si>
  <si>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</si>
  <si>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</si>
  <si>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</si>
  <si>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</si>
  <si>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</si>
  <si>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</si>
  <si>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</si>
  <si>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</si>
  <si>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</si>
  <si>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</si>
  <si>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</si>
  <si>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</si>
  <si>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</si>
  <si>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</si>
  <si>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</si>
  <si>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</si>
  <si>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</si>
  <si>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</si>
  <si>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</si>
  <si>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</si>
  <si>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</si>
  <si>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</si>
  <si>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</si>
  <si>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</si>
  <si>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</si>
  <si>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</si>
  <si>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</si>
  <si>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</si>
  <si>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</si>
  <si>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</si>
  <si>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</si>
  <si>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</si>
  <si>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</si>
  <si>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</si>
  <si>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</si>
  <si>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</si>
  <si>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</si>
  <si>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</si>
  <si>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</si>
  <si>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</si>
  <si>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</si>
  <si>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</si>
  <si>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</si>
  <si>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</si>
  <si>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</si>
  <si>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</si>
  <si>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</si>
  <si>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</si>
  <si>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</si>
  <si>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</si>
  <si>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</si>
  <si>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</si>
  <si>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</si>
  <si>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</si>
  <si>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</si>
  <si>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</si>
  <si>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</si>
  <si>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</si>
  <si>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</si>
  <si>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</si>
  <si>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</si>
  <si>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</si>
  <si>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</si>
  <si>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</si>
  <si>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</si>
  <si>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</si>
  <si>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</si>
  <si>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</si>
  <si>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</si>
  <si>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</si>
  <si>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</si>
  <si>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</si>
  <si>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</si>
  <si>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</si>
  <si>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</si>
  <si>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</si>
  <si>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</si>
  <si>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</si>
  <si>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</si>
  <si>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</si>
  <si>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</si>
  <si>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</si>
  <si>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</si>
  <si>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</si>
  <si>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</si>
  <si>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</si>
  <si>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</si>
  <si>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</si>
  <si>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</si>
  <si>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</si>
  <si>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</si>
  <si>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</si>
  <si>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</si>
  <si>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</si>
  <si>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</si>
  <si>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</si>
  <si>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</si>
  <si>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</si>
  <si>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</si>
  <si>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</si>
  <si>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</si>
  <si>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</si>
  <si>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</si>
  <si>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</si>
  <si>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</si>
  <si>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</si>
  <si>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</si>
  <si>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</si>
  <si>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</si>
  <si>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</si>
  <si>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</si>
  <si>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</si>
  <si>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</si>
  <si>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</si>
  <si>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</si>
  <si>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</si>
  <si>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</si>
  <si>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</si>
  <si>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</si>
  <si>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</si>
  <si>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</si>
  <si>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</si>
  <si>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</si>
  <si>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</si>
  <si>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</si>
  <si>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</si>
  <si>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</si>
  <si>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</si>
  <si>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</si>
  <si>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</si>
  <si>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</si>
  <si>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</si>
  <si>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</si>
  <si>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</si>
  <si>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</si>
  <si>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</si>
  <si>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</si>
  <si>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</si>
  <si>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</si>
  <si>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</si>
  <si>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</si>
  <si>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</si>
  <si>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</si>
  <si>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</si>
  <si>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</si>
  <si>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</si>
  <si>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M30</t>
  </si>
  <si>
    <t>RUN AT 30-35um</t>
  </si>
  <si>
    <t>LIMAX</t>
  </si>
  <si>
    <t>AUSTRAL BUS MACHINES</t>
  </si>
  <si>
    <t>ANTIBLOCK</t>
  </si>
  <si>
    <t>ANTISTATIC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</si>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</sst>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9" fontId="3" fillId="0" borderId="4" xfId="1" applyFont="1" applyBorder="1" applyAlignment="1" applyProtection="1">
      <alignment horizontal="center"/>
      <protection locked="0"/>
    </xf>
    <xf numFmtId="9" fontId="3" fillId="0" borderId="5" xfId="1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E24" sqref="E24:F24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08" t="str">
        <f>O9&amp;R9&amp;IF(X8="G","G","")&amp;IF(O8="Centrefold Roll","("&amp;E8&amp;")","")&amp;T9&amp;V9&amp;C22&amp;C23&amp;C24&amp;O11&amp;R11</f>
        <v>PB510760350AS</v>
      </c>
      <c r="C1" s="108"/>
      <c r="D1" s="109"/>
      <c r="E1" s="11" t="s">
        <v>57</v>
      </c>
      <c r="F1" s="62" t="s">
        <v>198</v>
      </c>
      <c r="G1" s="62"/>
      <c r="H1" s="63"/>
      <c r="I1" s="12" t="s">
        <v>181</v>
      </c>
      <c r="J1" s="119">
        <f ca="1">TODAY()</f>
        <v>45366</v>
      </c>
      <c r="K1" s="119"/>
      <c r="L1" s="120"/>
      <c r="M1" s="29"/>
      <c r="N1" s="11" t="s">
        <v>56</v>
      </c>
      <c r="O1" s="108" t="str">
        <f>B1</f>
        <v>PB510760350AS</v>
      </c>
      <c r="P1" s="108"/>
      <c r="Q1" s="109"/>
      <c r="R1" s="11" t="s">
        <v>57</v>
      </c>
      <c r="S1" s="108" t="str">
        <f>F1</f>
        <v>AUSTRAL BUS MACHINES</v>
      </c>
      <c r="T1" s="108"/>
      <c r="U1" s="109"/>
      <c r="V1" s="11" t="s">
        <v>181</v>
      </c>
      <c r="W1" s="119">
        <f ca="1">J1</f>
        <v>45366</v>
      </c>
      <c r="X1" s="119"/>
      <c r="Y1" s="120"/>
    </row>
    <row r="2" spans="1:25" ht="20.100000000000001" customHeight="1" x14ac:dyDescent="0.25">
      <c r="A2" s="11" t="s">
        <v>100</v>
      </c>
      <c r="B2" s="108" t="str">
        <f>IF(U10="","",U10)</f>
        <v>M30</v>
      </c>
      <c r="C2" s="108"/>
      <c r="D2" s="109"/>
      <c r="E2" s="11" t="s">
        <v>58</v>
      </c>
      <c r="F2" s="62">
        <v>947563</v>
      </c>
      <c r="G2" s="62"/>
      <c r="H2" s="63"/>
      <c r="I2" s="11" t="s">
        <v>59</v>
      </c>
      <c r="J2" s="122">
        <v>45371</v>
      </c>
      <c r="K2" s="62"/>
      <c r="L2" s="63"/>
      <c r="M2" s="29"/>
      <c r="N2" s="11" t="s">
        <v>100</v>
      </c>
      <c r="O2" s="108" t="str">
        <f>IF(B2="","",B2)</f>
        <v>M30</v>
      </c>
      <c r="P2" s="108"/>
      <c r="Q2" s="109"/>
      <c r="R2" s="11" t="s">
        <v>58</v>
      </c>
      <c r="S2" s="108">
        <f>IF(F2="","",F2)</f>
        <v>947563</v>
      </c>
      <c r="T2" s="108"/>
      <c r="U2" s="109"/>
      <c r="V2" s="11" t="s">
        <v>59</v>
      </c>
      <c r="W2" s="121">
        <f>J2</f>
        <v>45371</v>
      </c>
      <c r="X2" s="108"/>
      <c r="Y2" s="109"/>
    </row>
    <row r="3" spans="1:25" ht="20.100000000000001" customHeight="1" x14ac:dyDescent="0.25">
      <c r="A3" s="110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>
        <f>A3</f>
        <v>0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11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8</v>
      </c>
      <c r="P7" s="63"/>
      <c r="Q7" s="11" t="str">
        <f>IF(ISNUMBER(SEARCH("roll",O8,1)),"Per Roll","Per Carton")</f>
        <v>Per Carton</v>
      </c>
      <c r="R7" s="62">
        <v>500</v>
      </c>
      <c r="S7" s="63"/>
      <c r="T7" s="11" t="str">
        <f>IF(ISNUMBER(SEARCH("bag",O8,1)),"Total Bags","Total Sheets")</f>
        <v>Total Bags</v>
      </c>
      <c r="U7" s="108">
        <f>R7*O7</f>
        <v>4000</v>
      </c>
      <c r="V7" s="109"/>
      <c r="W7" s="11" t="s">
        <v>102</v>
      </c>
      <c r="X7" s="62" t="s">
        <v>23</v>
      </c>
      <c r="Y7" s="63"/>
    </row>
    <row r="8" spans="1:25" ht="20.100000000000001" customHeight="1" x14ac:dyDescent="0.25">
      <c r="A8" s="13" t="s">
        <v>16</v>
      </c>
      <c r="B8" s="96">
        <f>R9</f>
        <v>510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3" t="s">
        <v>52</v>
      </c>
      <c r="H8" s="96">
        <f>(IF(V9&lt;30,"30",V9))</f>
        <v>35</v>
      </c>
      <c r="I8" s="97"/>
      <c r="J8" s="11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9"/>
      <c r="N8" s="14" t="s">
        <v>54</v>
      </c>
      <c r="O8" s="98" t="s">
        <v>164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00000000000001" customHeight="1" x14ac:dyDescent="0.3">
      <c r="A9" s="16" t="s">
        <v>48</v>
      </c>
      <c r="B9" s="125" t="s">
        <v>194</v>
      </c>
      <c r="C9" s="126"/>
      <c r="D9" s="133" t="str">
        <f>IF(K10="Middle","RUN 2 UP",IF(AND(O8="Centrefold Roll",B8=380),"RUN 2 UP",""))</f>
        <v/>
      </c>
      <c r="E9" s="100"/>
      <c r="F9" s="101"/>
      <c r="G9" s="16" t="s">
        <v>48</v>
      </c>
      <c r="H9" s="125" t="s">
        <v>196</v>
      </c>
      <c r="I9" s="126"/>
      <c r="J9" s="11" t="s">
        <v>55</v>
      </c>
      <c r="K9" s="62" t="s">
        <v>30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510</v>
      </c>
      <c r="S9" s="18" t="s">
        <v>78</v>
      </c>
      <c r="T9" s="30">
        <v>760</v>
      </c>
      <c r="U9" s="18" t="s">
        <v>78</v>
      </c>
      <c r="V9" s="30">
        <v>35</v>
      </c>
      <c r="W9" s="17"/>
      <c r="X9" s="88"/>
      <c r="Y9" s="89"/>
    </row>
    <row r="10" spans="1:25" ht="20.100000000000001" customHeight="1" x14ac:dyDescent="0.25">
      <c r="A10" s="11" t="s">
        <v>51</v>
      </c>
      <c r="B10" s="62">
        <v>3</v>
      </c>
      <c r="C10" s="63"/>
      <c r="D10" s="47" t="s">
        <v>134</v>
      </c>
      <c r="E10" s="127">
        <f>IF(ISNUMBER(SEARCH("sheet",O8,1)),((R9*T9*H8/540000)*U7/2000*1.3),((R9*T9*H8/540000)*U7/1000*1.08))</f>
        <v>108.52800000000002</v>
      </c>
      <c r="F10" s="128"/>
      <c r="G10" s="11" t="s">
        <v>53</v>
      </c>
      <c r="H10" s="131">
        <f>IF(ISNUMBER(SEARCH("sheet",O8,1)),(U7*T9/2000*1.08),(U7*T9/1000*1.08))</f>
        <v>3283.2000000000003</v>
      </c>
      <c r="I10" s="132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None</v>
      </c>
      <c r="S10" s="94"/>
      <c r="T10" s="14" t="s">
        <v>100</v>
      </c>
      <c r="U10" s="104" t="s">
        <v>195</v>
      </c>
      <c r="V10" s="104"/>
      <c r="W10" s="104"/>
      <c r="X10" s="104"/>
      <c r="Y10" s="105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135</v>
      </c>
      <c r="E11" s="129">
        <f>E10/B10</f>
        <v>36.176000000000009</v>
      </c>
      <c r="F11" s="130"/>
      <c r="G11" s="11" t="s">
        <v>15</v>
      </c>
      <c r="H11" s="129">
        <f>H10/B10</f>
        <v>1094.4000000000001</v>
      </c>
      <c r="I11" s="130"/>
      <c r="J11" s="11" t="s">
        <v>50</v>
      </c>
      <c r="K11" s="62" t="s">
        <v>44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/>
      </c>
      <c r="S11" s="97"/>
      <c r="T11" s="13"/>
      <c r="U11" s="106"/>
      <c r="V11" s="106"/>
      <c r="W11" s="106"/>
      <c r="X11" s="106"/>
      <c r="Y11" s="107"/>
    </row>
    <row r="12" spans="1:25" ht="20.100000000000001" customHeight="1" x14ac:dyDescent="0.2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00000000000001" customHeight="1" x14ac:dyDescent="0.25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8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00000000000001" customHeight="1" x14ac:dyDescent="0.3">
      <c r="A14" s="13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00000000000001" customHeight="1" x14ac:dyDescent="0.2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00000000000001" customHeight="1" x14ac:dyDescent="0.25">
      <c r="A16" s="66" t="s">
        <v>3</v>
      </c>
      <c r="B16" s="68"/>
      <c r="C16" s="66" t="s">
        <v>142</v>
      </c>
      <c r="D16" s="68"/>
      <c r="E16" s="137" t="s">
        <v>4</v>
      </c>
      <c r="F16" s="137"/>
      <c r="G16" s="137" t="s">
        <v>5</v>
      </c>
      <c r="H16" s="137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>
        <v>150</v>
      </c>
      <c r="P16" s="63"/>
      <c r="Q16" s="11" t="s">
        <v>105</v>
      </c>
      <c r="R16" s="62" t="s">
        <v>31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00000000000001" customHeight="1" x14ac:dyDescent="0.25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31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00000000000001" customHeight="1" x14ac:dyDescent="0.25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00000000000001" customHeight="1" x14ac:dyDescent="0.2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00000000000001" customHeight="1" x14ac:dyDescent="0.2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00000000000001" customHeight="1" x14ac:dyDescent="0.2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00000000000001" customHeight="1" x14ac:dyDescent="0.2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00000000000001" customHeight="1" x14ac:dyDescent="0.25">
      <c r="A23" s="138" t="s">
        <v>199</v>
      </c>
      <c r="B23" s="138"/>
      <c r="C23" s="92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3"/>
      <c r="E23" s="141" t="s">
        <v>201</v>
      </c>
      <c r="F23" s="142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00000000000001" customHeight="1" x14ac:dyDescent="0.25">
      <c r="A24" s="139" t="s">
        <v>200</v>
      </c>
      <c r="B24" s="140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AS</v>
      </c>
      <c r="D24" s="93"/>
      <c r="E24" s="59" t="s">
        <v>201</v>
      </c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197</v>
      </c>
      <c r="P25" s="34"/>
      <c r="Q25" s="10">
        <v>30</v>
      </c>
      <c r="R25" s="10"/>
      <c r="S25" s="10"/>
      <c r="T25" s="10"/>
      <c r="U25" s="10"/>
      <c r="V25" s="10"/>
      <c r="W25" s="10">
        <v>15</v>
      </c>
      <c r="X25" s="10">
        <v>11</v>
      </c>
      <c r="Y25" s="10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00000000000001" customHeight="1" x14ac:dyDescent="0.2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134" t="s">
        <v>136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6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45397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45387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10D5A5A-E1C0-4E9C-A3E4-51D3660DB23E}"/>
</file>

<file path=customXml/itemProps2.xml><?xml version="1.0" encoding="utf-8"?>
<ds:datastoreItem xmlns:ds="http://schemas.openxmlformats.org/officeDocument/2006/customXml" ds:itemID="{582958D7-5097-4F7E-BD49-F08E2046544D}"/>
</file>

<file path=customXml/itemProps3.xml><?xml version="1.0" encoding="utf-8"?>
<ds:datastoreItem xmlns:ds="http://schemas.openxmlformats.org/officeDocument/2006/customXml" ds:itemID="{84672200-FB51-41DE-A329-C2F7A97A41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2024-02-28T01:54:52Z</cp:lastPrinted>
  <dcterms:created xsi:type="dcterms:W3CDTF">2019-11-27T23:28:06Z</dcterms:created>
  <dcterms:modified xsi:type="dcterms:W3CDTF">2024-03-15T04:26:18Z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