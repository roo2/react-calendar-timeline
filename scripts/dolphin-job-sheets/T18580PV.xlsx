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4EA7598-AFEF-4A86-9A7A-6271EAB3D54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<sst xmlns="http://schemas.openxmlformats.org/spreadsheetml/2006/main" count="228" uniqueCount="168">
  <si>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</si>
  <si>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</si>
  <si>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</si>
  <si>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</si>
  <si>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</si>
  <si>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</si>
  <si>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</si>
  <si>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</si>
  <si>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</si>
  <si>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</si>
  <si>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</si>
  <si>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</si>
  <si>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</si>
  <si>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</si>
  <si>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</si>
  <si>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</si>
  <si>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</si>
  <si>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</si>
  <si>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</si>
  <si>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</si>
  <si>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</si>
  <si>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</si>
  <si>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</si>
  <si>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</si>
  <si>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</si>
  <si>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</si>
  <si>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</si>
  <si>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</si>
  <si>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</si>
  <si>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</si>
  <si>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</si>
  <si>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</si>
  <si>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</si>
  <si>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</si>
  <si>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</si>
  <si>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</si>
  <si>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</si>
  <si>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</si>
  <si>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</si>
  <si>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</si>
  <si>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</si>
  <si>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</si>
  <si>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</si>
  <si>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</si>
  <si>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</si>
  <si>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</si>
  <si>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</si>
  <si>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</si>
  <si>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</si>
  <si>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</si>
  <si>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</si>
  <si>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</si>
  <si>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</si>
  <si>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</si>
  <si>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</si>
  <si>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</si>
  <si>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</si>
  <si>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</si>
  <si>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</si>
  <si>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</si>
  <si>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</si>
  <si>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</si>
  <si>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</si>
  <si>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</si>
  <si>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</si>
  <si>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</si>
  <si>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</si>
  <si>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</si>
  <si>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</si>
  <si>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</si>
  <si>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</si>
  <si>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</si>
  <si>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</si>
  <si>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</si>
  <si>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</si>
  <si>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</si>
  <si>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</si>
  <si>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</si>
  <si>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</si>
  <si>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</si>
  <si>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</si>
  <si>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</si>
  <si>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</si>
  <si>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</si>
  <si>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</si>
  <si>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</si>
  <si>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</si>
  <si>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</si>
  <si>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</si>
  <si>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</si>
  <si>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</si>
  <si>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</si>
  <si>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</si>
  <si>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</si>
  <si>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</si>
  <si>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</si>
  <si>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</si>
  <si>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</si>
  <si>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</si>
  <si>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</si>
  <si>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</si>
  <si>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</si>
  <si>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</si>
  <si>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</si>
  <si>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</si>
  <si>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</si>
  <si>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</si>
  <si>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</si>
  <si>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</si>
  <si>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</si>
  <si>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</si>
  <si>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</si>
  <si>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</si>
  <si>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</si>
  <si>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</si>
  <si>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</si>
  <si>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</si>
  <si>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</si>
  <si>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</si>
  <si>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</si>
  <si>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</si>
  <si>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</si>
  <si>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</si>
  <si>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</si>
  <si>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</si>
  <si>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</si>
  <si>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</si>
  <si>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</si>
  <si>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</si>
  <si>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</si>
  <si>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</si>
  <si>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</si>
  <si>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</si>
  <si>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</si>
  <si>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</si>
  <si>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</si>
  <si>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</si>
  <si>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</si>
  <si>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</si>
  <si>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</si>
  <si>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</si>
  <si>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</si>
  <si>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</si>
  <si>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</si>
  <si>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</si>
  <si>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</si>
  <si>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</si>
  <si>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</si>
  <si>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</si>
  <si>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</si>
  <si>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</si>
  <si>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</si>
  <si>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</si>
  <si>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</si>
  <si>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</si>
  <si>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</si>
  <si>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</si>
  <si>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</si>
  <si>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</si>
  <si>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</si>
  <si>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</si>
  <si>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</si>
  <si>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</si>
  <si>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</si>
  <si>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RUN AT 75um</t>
  </si>
  <si>
    <t>KILARGO</t>
  </si>
  <si>
    <t>ANTIBLOCK</t>
  </si>
  <si>
    <t>VENT PIN HOLES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</si>
</sst>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T18580P</v>
      </c>
      <c r="C1" s="61"/>
      <c r="D1" s="62"/>
      <c r="E1" s="11" t="s">
        <v>55</v>
      </c>
      <c r="F1" s="51" t="s">
        <v>165</v>
      </c>
      <c r="G1" s="51"/>
      <c r="H1" s="52"/>
      <c r="I1" s="11" t="s">
        <v>147</v>
      </c>
      <c r="J1" s="76">
        <f ca="1">TODAY()</f>
        <v>45778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10KG</v>
      </c>
      <c r="C2" s="65"/>
      <c r="D2" s="66"/>
      <c r="E2" s="11" t="s">
        <v>56</v>
      </c>
      <c r="F2" s="51">
        <v>948237</v>
      </c>
      <c r="G2" s="51"/>
      <c r="H2" s="52"/>
      <c r="I2" s="11" t="s">
        <v>57</v>
      </c>
      <c r="J2" s="78" t="s">
        <v>161</v>
      </c>
      <c r="K2" s="51"/>
      <c r="L2" s="52"/>
    </row>
    <row r="3" spans="1:14" ht="20.149999999999999" customHeight="1" x14ac:dyDescent="0.75">
      <c r="A3" s="67" t="s">
        <v>167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157</v>
      </c>
      <c r="B7" s="51" t="s">
        <v>158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185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80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163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100</v>
      </c>
      <c r="C10" s="52"/>
      <c r="D10" s="36" t="s">
        <v>104</v>
      </c>
      <c r="E10" s="85">
        <f>E11*B10</f>
        <v>1000</v>
      </c>
      <c r="F10" s="86"/>
      <c r="G10" s="11" t="s">
        <v>51</v>
      </c>
      <c r="H10" s="65">
        <f>H11*B10</f>
        <v>36486.486486486487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10</v>
      </c>
      <c r="F11" s="88"/>
      <c r="G11" s="42" t="s">
        <v>13</v>
      </c>
      <c r="H11" s="89">
        <f>E11*540000/B8/H8</f>
        <v>364.8648648648649</v>
      </c>
      <c r="I11" s="90"/>
      <c r="J11" s="42" t="s">
        <v>48</v>
      </c>
      <c r="K11" s="95" t="s">
        <v>64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69</v>
      </c>
      <c r="C13" s="51"/>
      <c r="D13" s="52"/>
      <c r="E13" s="14" t="s">
        <v>60</v>
      </c>
      <c r="F13" s="51" t="s">
        <v>65</v>
      </c>
      <c r="G13" s="51"/>
      <c r="H13" s="52"/>
      <c r="I13" s="11" t="s">
        <v>61</v>
      </c>
      <c r="J13" s="51" t="s">
        <v>120</v>
      </c>
      <c r="K13" s="51"/>
      <c r="L13" s="52"/>
    </row>
    <row r="14" spans="1:14" ht="20.149999999999999" customHeight="1" x14ac:dyDescent="0.9">
      <c r="A14" s="12" t="s">
        <v>58</v>
      </c>
      <c r="B14" s="107" t="s">
        <v>165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100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149</v>
      </c>
      <c r="B23" s="49"/>
      <c r="C23" s="63" t="s">
        <v>150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 t="s">
        <v>166</v>
      </c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45809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45799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0E15D9D-D05D-44F4-86CE-2743052EB8BE}"/>
</file>

<file path=customXml/itemProps2.xml><?xml version="1.0" encoding="utf-8"?>
<ds:datastoreItem xmlns:ds="http://schemas.openxmlformats.org/officeDocument/2006/customXml" ds:itemID="{2444BCAC-1BE4-47E4-AF5F-371A55AAC895}"/>
</file>

<file path=customXml/itemProps3.xml><?xml version="1.0" encoding="utf-8"?>
<ds:datastoreItem xmlns:ds="http://schemas.openxmlformats.org/officeDocument/2006/customXml" ds:itemID="{9EAF8386-2BF2-4C06-BDBE-451576E3F7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2025-05-01T02:16:23Z</cp:lastPrinted>
  <dcterms:created xsi:type="dcterms:W3CDTF">2019-11-27T23:28:06Z</dcterms:created>
  <dcterms:modified xsi:type="dcterms:W3CDTF">2025-05-07T01:42:34Z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