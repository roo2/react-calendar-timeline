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F7A1DA8-C327-4675-B637-03483D639D5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<sst xmlns="http://schemas.openxmlformats.org/spreadsheetml/2006/main" count="312" uniqueCount="207">
  <si>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</si>
  <si>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</si>
  <si>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</si>
  <si>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</si>
  <si>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</si>
  <si>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</si>
  <si>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</si>
  <si>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</si>
  <si>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</si>
  <si>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</si>
  <si>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</si>
  <si>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</si>
  <si>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</si>
  <si>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</si>
  <si>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</si>
  <si>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</si>
  <si>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</si>
  <si>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</si>
  <si>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</si>
  <si>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</si>
  <si>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</si>
  <si>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</si>
  <si>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</si>
  <si>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</si>
  <si>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</si>
  <si>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</si>
  <si>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</si>
  <si>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</si>
  <si>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</si>
  <si>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</si>
  <si>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</si>
  <si>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</si>
  <si>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</si>
  <si>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</si>
  <si>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</si>
  <si>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</si>
  <si>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</si>
  <si>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</si>
  <si>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</si>
  <si>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</si>
  <si>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</si>
  <si>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</si>
  <si>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</si>
  <si>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</si>
  <si>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</si>
  <si>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</si>
  <si>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</si>
  <si>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</si>
  <si>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</si>
  <si>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</si>
  <si>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</si>
  <si>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</si>
  <si>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</si>
  <si>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</si>
  <si>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</si>
  <si>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</si>
  <si>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</si>
  <si>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</si>
  <si>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</si>
  <si>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</si>
  <si>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</si>
  <si>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</si>
  <si>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</si>
  <si>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</si>
  <si>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</si>
  <si>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</si>
  <si>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</si>
  <si>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</si>
  <si>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</si>
  <si>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</si>
  <si>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</si>
  <si>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</si>
  <si>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</si>
  <si>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</si>
  <si>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</si>
  <si>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</si>
  <si>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</si>
  <si>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</si>
  <si>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</si>
  <si>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</si>
  <si>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</si>
  <si>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</si>
  <si>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</si>
  <si>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</si>
  <si>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</si>
  <si>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</si>
  <si>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</si>
  <si>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</si>
  <si>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</si>
  <si>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</si>
  <si>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</si>
  <si>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</si>
  <si>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</si>
  <si>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</si>
  <si>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</si>
  <si>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</si>
  <si>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</si>
  <si>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</si>
  <si>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</si>
  <si>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</si>
  <si>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</si>
  <si>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</si>
  <si>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</si>
  <si>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</si>
  <si>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</si>
  <si>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</si>
  <si>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</si>
  <si>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</si>
  <si>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</si>
  <si>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</si>
  <si>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</si>
  <si>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</si>
  <si>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</si>
  <si>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</si>
  <si>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</si>
  <si>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</si>
  <si>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</si>
  <si>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</si>
  <si>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</si>
  <si>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</si>
  <si>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</si>
  <si>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</si>
  <si>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</si>
  <si>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</si>
  <si>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</si>
  <si>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</si>
  <si>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</si>
  <si>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</si>
  <si>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</si>
  <si>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</si>
  <si>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</si>
  <si>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</si>
  <si>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</si>
  <si>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</si>
  <si>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</si>
  <si>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</si>
  <si>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</si>
  <si>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</si>
  <si>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</si>
  <si>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</si>
  <si>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</si>
  <si>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</si>
  <si>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</si>
  <si>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</si>
  <si>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</si>
  <si>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</si>
  <si>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</si>
  <si>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</si>
  <si>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</si>
  <si>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</si>
  <si>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</si>
  <si>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</si>
  <si>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</si>
  <si>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</si>
  <si>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</si>
  <si>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</si>
  <si>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</si>
  <si>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</si>
  <si>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</si>
  <si>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</si>
  <si>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</si>
  <si>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</si>
  <si>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</si>
  <si>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</si>
  <si>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</si>
  <si>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</si>
  <si>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</si>
  <si>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</si>
  <si>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</si>
  <si>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</si>
  <si>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</si>
  <si>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</si>
  <si>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</si>
  <si>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</si>
  <si>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</si>
  <si>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</si>
  <si>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</si>
  <si>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</si>
  <si>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</si>
  <si>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</si>
  <si>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</si>
  <si>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</si>
  <si>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</si>
  <si>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</si>
  <si>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</si>
  <si>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</si>
  <si>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</si>
  <si>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</si>
  <si>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</si>
  <si>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</si>
  <si>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</si>
  <si>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</si>
  <si>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</si>
  <si>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</si>
  <si>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 xml:space="preserve"> +/- 5mm</t>
  </si>
  <si>
    <t>ASAP</t>
  </si>
  <si>
    <t>RUN AT 140UM</t>
  </si>
  <si>
    <t>Centrefold Roll</t>
  </si>
  <si>
    <t>MEAT CARTONS ONLY</t>
  </si>
  <si>
    <t>130 Meat</t>
  </si>
  <si>
    <t>150 Meat</t>
  </si>
  <si>
    <t>(290+270)</t>
  </si>
  <si>
    <t>KENNETH DELLIT</t>
  </si>
  <si>
    <t>PERF</t>
  </si>
  <si>
    <t>-</t>
  </si>
  <si>
    <t>clear remill - 30%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</si>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</sst>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8" fillId="5" borderId="4" xfId="0" applyFont="1" applyFill="1" applyBorder="1" applyAlignment="1" applyProtection="1">
      <alignment horizontal="center"/>
      <protection locked="0"/>
    </xf>
    <xf numFmtId="0" fontId="18" fillId="5" borderId="5" xfId="0" applyFont="1" applyFill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18" fillId="5" borderId="4" xfId="0" applyNumberFormat="1" applyFont="1" applyFill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7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4" t="str">
        <f>O9&amp;R9&amp;IF(X8="G","G","")&amp;IF(O8="Centrefold Roll","("&amp;E8&amp;")","")&amp;T9&amp;V9&amp;C22&amp;C23&amp;C24&amp;O11&amp;R11</f>
        <v>PB560G480150WHUV0V</v>
      </c>
      <c r="C1" s="114"/>
      <c r="D1" s="115"/>
      <c r="E1" s="11" t="s">
        <v>57</v>
      </c>
      <c r="F1" s="90" t="s">
        <v>202</v>
      </c>
      <c r="G1" s="90"/>
      <c r="H1" s="91"/>
      <c r="I1" s="12" t="s">
        <v>181</v>
      </c>
      <c r="J1" s="87">
        <f ca="1">TODAY()</f>
        <v>45814</v>
      </c>
      <c r="K1" s="87"/>
      <c r="L1" s="88"/>
      <c r="M1" s="30"/>
      <c r="N1" s="11" t="s">
        <v>56</v>
      </c>
      <c r="O1" s="114" t="str">
        <f>B1</f>
        <v>PB560G480150WHUV0V</v>
      </c>
      <c r="P1" s="114"/>
      <c r="Q1" s="115"/>
      <c r="R1" s="11" t="s">
        <v>57</v>
      </c>
      <c r="S1" s="114" t="str">
        <f>F1</f>
        <v>KENNETH DELLIT</v>
      </c>
      <c r="T1" s="114"/>
      <c r="U1" s="115"/>
      <c r="V1" s="11" t="s">
        <v>181</v>
      </c>
      <c r="W1" s="87">
        <f ca="1">J1</f>
        <v>45814</v>
      </c>
      <c r="X1" s="87"/>
      <c r="Y1" s="88"/>
    </row>
    <row r="2" spans="1:25" ht="20.149999999999999" customHeight="1" x14ac:dyDescent="0.8">
      <c r="A2" s="11" t="s">
        <v>100</v>
      </c>
      <c r="B2" s="114" t="str">
        <f>IF(U10="","",U10)</f>
        <v/>
      </c>
      <c r="C2" s="114"/>
      <c r="D2" s="115"/>
      <c r="E2" s="11" t="s">
        <v>58</v>
      </c>
      <c r="F2" s="90">
        <v>950081</v>
      </c>
      <c r="G2" s="90"/>
      <c r="H2" s="91"/>
      <c r="I2" s="11" t="s">
        <v>59</v>
      </c>
      <c r="J2" s="89" t="s">
        <v>195</v>
      </c>
      <c r="K2" s="90"/>
      <c r="L2" s="91"/>
      <c r="M2" s="30"/>
      <c r="N2" s="11" t="s">
        <v>100</v>
      </c>
      <c r="O2" s="114" t="str">
        <f>IF(B2="","",B2)</f>
        <v/>
      </c>
      <c r="P2" s="114"/>
      <c r="Q2" s="115"/>
      <c r="R2" s="11" t="s">
        <v>58</v>
      </c>
      <c r="S2" s="114">
        <f>IF(F2="","",F2)</f>
        <v>950081</v>
      </c>
      <c r="T2" s="114"/>
      <c r="U2" s="115"/>
      <c r="V2" s="11" t="s">
        <v>59</v>
      </c>
      <c r="W2" s="125" t="str">
        <f>J2</f>
        <v>ASAP</v>
      </c>
      <c r="X2" s="114"/>
      <c r="Y2" s="115"/>
    </row>
    <row r="3" spans="1:25" ht="20.149999999999999" customHeight="1" x14ac:dyDescent="0.75">
      <c r="A3" s="116" t="s">
        <v>192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30"/>
      <c r="N3" s="116" t="str">
        <f>A3</f>
        <v>SPOT ON FINISH. USE DOLPHIN REMILL, MUST NOT BE BLOCKED.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49999999999999" customHeight="1" x14ac:dyDescent="0.7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30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49999999999999" customHeight="1" x14ac:dyDescent="0.7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30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49999999999999" customHeight="1" x14ac:dyDescent="0.75">
      <c r="A6" s="98" t="s">
        <v>2</v>
      </c>
      <c r="B6" s="99"/>
      <c r="C6" s="99"/>
      <c r="D6" s="99"/>
      <c r="E6" s="99"/>
      <c r="F6" s="99"/>
      <c r="G6" s="99"/>
      <c r="H6" s="99"/>
      <c r="I6" s="99"/>
      <c r="J6" s="100"/>
      <c r="K6" s="100"/>
      <c r="L6" s="101"/>
      <c r="M6" s="30"/>
      <c r="N6" s="113" t="s">
        <v>2</v>
      </c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</row>
    <row r="7" spans="1:25" ht="20.149999999999999" customHeight="1" x14ac:dyDescent="0.9">
      <c r="A7" s="11" t="s">
        <v>49</v>
      </c>
      <c r="B7" s="111" t="s">
        <v>155</v>
      </c>
      <c r="C7" s="111"/>
      <c r="D7" s="111"/>
      <c r="E7" s="111"/>
      <c r="F7" s="111"/>
      <c r="G7" s="111"/>
      <c r="H7" s="111"/>
      <c r="I7" s="112"/>
      <c r="J7" s="76" t="s">
        <v>179</v>
      </c>
      <c r="K7" s="76"/>
      <c r="L7" s="74"/>
      <c r="M7" s="30"/>
      <c r="N7" s="11" t="str">
        <f>IF(ISNUMBER(SEARCH("roll",O8,1)),"No. Rolls","No. Cartons")</f>
        <v>No. Cartons</v>
      </c>
      <c r="O7" s="90">
        <v>28</v>
      </c>
      <c r="P7" s="91"/>
      <c r="Q7" s="11" t="str">
        <f>IF(ISNUMBER(SEARCH("roll",O8,1)),"Per Roll","Per Carton")</f>
        <v>Per Carton</v>
      </c>
      <c r="R7" s="90">
        <v>200</v>
      </c>
      <c r="S7" s="91"/>
      <c r="T7" s="11" t="str">
        <f>IF(ISNUMBER(SEARCH("bag",O8,1)),"Total Bags","Total Sheets")</f>
        <v>Total Bags</v>
      </c>
      <c r="U7" s="114">
        <f>R7*O7</f>
        <v>5600</v>
      </c>
      <c r="V7" s="115"/>
      <c r="W7" s="11" t="s">
        <v>102</v>
      </c>
      <c r="X7" s="90" t="s">
        <v>23</v>
      </c>
      <c r="Y7" s="91"/>
    </row>
    <row r="8" spans="1:25" ht="20.149999999999999" customHeight="1" x14ac:dyDescent="0.8">
      <c r="A8" s="13" t="s">
        <v>16</v>
      </c>
      <c r="B8" s="92">
        <f>R9</f>
        <v>560</v>
      </c>
      <c r="C8" s="93"/>
      <c r="D8" s="13" t="str">
        <f>IF(ISNUMBER(SEARCH("bag",O8,1)),"Gusset","Centrefold")</f>
        <v>Gusset</v>
      </c>
      <c r="E8" s="92" t="str">
        <f>IF(O8="Centrefold Roll",B8*2,IF(X9="","None",X9))</f>
        <v>(290+270)</v>
      </c>
      <c r="F8" s="93"/>
      <c r="G8" s="13" t="s">
        <v>52</v>
      </c>
      <c r="H8" s="92">
        <f>(IF(V9&lt;30,"30",V9))</f>
        <v>150</v>
      </c>
      <c r="I8" s="93"/>
      <c r="J8" s="11" t="s">
        <v>54</v>
      </c>
      <c r="K8" s="114" t="str">
        <f>IF(X8="None","Layflat Tube",IF(X8="","Layflat Tube",IF(X8="CF","Layflat Tube",IF(X8="G","Gusset Tube",IF(X9="","Layflat Tube",)))))</f>
        <v>Gusset Tube</v>
      </c>
      <c r="L8" s="115"/>
      <c r="M8" s="30"/>
      <c r="N8" s="14" t="s">
        <v>54</v>
      </c>
      <c r="O8" s="128" t="s">
        <v>164</v>
      </c>
      <c r="P8" s="12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6" t="str">
        <f>IF(AND(W8="Gusset",X9=""), "None",IF(AND(W8="Centrefold",X9=""),"None",IF(W8="Gusset","G",IF(W8="Centrefold","CF"))))</f>
        <v>G</v>
      </c>
      <c r="Y8" s="127"/>
    </row>
    <row r="9" spans="1:25" ht="20.149999999999999" customHeight="1" x14ac:dyDescent="0.9">
      <c r="A9" s="17" t="s">
        <v>48</v>
      </c>
      <c r="B9" s="102" t="s">
        <v>194</v>
      </c>
      <c r="C9" s="103"/>
      <c r="D9" s="110" t="str">
        <f>IF(K10="Middle","RUN 2 UP",IF(AND(O8="Centrefold Roll",B8=380),"RUN 2 UP",""))</f>
        <v/>
      </c>
      <c r="E9" s="111"/>
      <c r="F9" s="112"/>
      <c r="G9" s="17" t="s">
        <v>48</v>
      </c>
      <c r="H9" s="102" t="s">
        <v>196</v>
      </c>
      <c r="I9" s="103"/>
      <c r="J9" s="11" t="s">
        <v>55</v>
      </c>
      <c r="K9" s="90" t="s">
        <v>30</v>
      </c>
      <c r="L9" s="91"/>
      <c r="M9" s="30"/>
      <c r="N9" s="18"/>
      <c r="O9" s="130" t="str">
        <f>IF(O8="Poly Bag","PB",IF(O8="Poly Bag Roll","PBR",IF(O8="Centrefold Roll","CFR",IF(O8="Sheet","S",IF(O8="Sheet Roll","SR")))))</f>
        <v>PB</v>
      </c>
      <c r="P9" s="131"/>
      <c r="Q9" s="18"/>
      <c r="R9" s="31">
        <v>560</v>
      </c>
      <c r="S9" s="19" t="s">
        <v>78</v>
      </c>
      <c r="T9" s="31">
        <v>480</v>
      </c>
      <c r="U9" s="19" t="s">
        <v>78</v>
      </c>
      <c r="V9" s="31">
        <v>150</v>
      </c>
      <c r="W9" s="18"/>
      <c r="X9" s="139" t="s">
        <v>201</v>
      </c>
      <c r="Y9" s="140"/>
    </row>
    <row r="10" spans="1:25" ht="20.149999999999999" customHeight="1" x14ac:dyDescent="0.8">
      <c r="A10" s="11" t="s">
        <v>51</v>
      </c>
      <c r="B10" s="90">
        <v>12</v>
      </c>
      <c r="C10" s="91"/>
      <c r="D10" s="48" t="s">
        <v>134</v>
      </c>
      <c r="E10" s="104">
        <f>IF(ISNUMBER(SEARCH("sheet",O8,1)),((R9*T9*H8/540000)*U7/2000*1.3),((R9*T9*H8/540000)*U7/1000*1.08))</f>
        <v>451.58400000000006</v>
      </c>
      <c r="F10" s="105"/>
      <c r="G10" s="11" t="s">
        <v>53</v>
      </c>
      <c r="H10" s="108">
        <f>IF(ISNUMBER(SEARCH("sheet",O8,1)),(U7*T9/2000*1.08),(U7*T9/1000*1.08))</f>
        <v>2903.04</v>
      </c>
      <c r="I10" s="109"/>
      <c r="J10" s="11" t="s">
        <v>41</v>
      </c>
      <c r="K10" s="90" t="s">
        <v>44</v>
      </c>
      <c r="L10" s="91"/>
      <c r="M10" s="30"/>
      <c r="N10" s="14" t="s">
        <v>141</v>
      </c>
      <c r="O10" s="128" t="s">
        <v>140</v>
      </c>
      <c r="P10" s="129"/>
      <c r="Q10" s="14" t="s">
        <v>50</v>
      </c>
      <c r="R10" s="126" t="str">
        <f>IF(K11="NONE","None",IF(K11="INLINE","Yes",IF(K11="OUT OF LINE","Yes")))</f>
        <v>None</v>
      </c>
      <c r="S10" s="126"/>
      <c r="T10" s="14" t="s">
        <v>100</v>
      </c>
      <c r="U10" s="133"/>
      <c r="V10" s="133"/>
      <c r="W10" s="133"/>
      <c r="X10" s="133"/>
      <c r="Y10" s="134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1" t="s">
        <v>135</v>
      </c>
      <c r="E11" s="106">
        <f>E10/B10</f>
        <v>37.632000000000005</v>
      </c>
      <c r="F11" s="107"/>
      <c r="G11" s="11" t="s">
        <v>15</v>
      </c>
      <c r="H11" s="106">
        <f>H10/B10</f>
        <v>241.92</v>
      </c>
      <c r="I11" s="107"/>
      <c r="J11" s="11" t="s">
        <v>50</v>
      </c>
      <c r="K11" s="90" t="s">
        <v>44</v>
      </c>
      <c r="L11" s="91"/>
      <c r="M11" s="30"/>
      <c r="N11" s="13"/>
      <c r="O11" s="92" t="str">
        <f>IF(O10="NONE","","V")</f>
        <v>V</v>
      </c>
      <c r="P11" s="93"/>
      <c r="Q11" s="13"/>
      <c r="R11" s="92" t="str">
        <f>IF(R10="None","","P")</f>
        <v/>
      </c>
      <c r="S11" s="93"/>
      <c r="T11" s="13"/>
      <c r="U11" s="135"/>
      <c r="V11" s="135"/>
      <c r="W11" s="135"/>
      <c r="X11" s="135"/>
      <c r="Y11" s="136"/>
    </row>
    <row r="12" spans="1:25" ht="20.149999999999999" customHeight="1" x14ac:dyDescent="0.75">
      <c r="A12" s="94" t="s">
        <v>13</v>
      </c>
      <c r="B12" s="95"/>
      <c r="C12" s="95"/>
      <c r="D12" s="95"/>
      <c r="E12" s="96"/>
      <c r="F12" s="96"/>
      <c r="G12" s="96"/>
      <c r="H12" s="96"/>
      <c r="I12" s="96"/>
      <c r="J12" s="96"/>
      <c r="K12" s="96"/>
      <c r="L12" s="97"/>
      <c r="M12" s="30"/>
      <c r="N12" s="132" t="s">
        <v>71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/>
    </row>
    <row r="13" spans="1:25" ht="20.149999999999999" customHeight="1" x14ac:dyDescent="0.8">
      <c r="A13" s="11" t="s">
        <v>68</v>
      </c>
      <c r="B13" s="90" t="s">
        <v>44</v>
      </c>
      <c r="C13" s="90"/>
      <c r="D13" s="91"/>
      <c r="E13" s="20" t="s">
        <v>61</v>
      </c>
      <c r="F13" s="90" t="s">
        <v>44</v>
      </c>
      <c r="G13" s="90"/>
      <c r="H13" s="91"/>
      <c r="I13" s="11" t="s">
        <v>62</v>
      </c>
      <c r="J13" s="90" t="s">
        <v>44</v>
      </c>
      <c r="K13" s="90"/>
      <c r="L13" s="91"/>
      <c r="M13" s="30"/>
      <c r="N13" s="11" t="s">
        <v>72</v>
      </c>
      <c r="O13" s="32" t="s">
        <v>77</v>
      </c>
      <c r="P13" s="11" t="s">
        <v>73</v>
      </c>
      <c r="Q13" s="21">
        <f>O7</f>
        <v>28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30"/>
      <c r="N14" s="132" t="s">
        <v>110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1"/>
    </row>
    <row r="15" spans="1:25" ht="20.149999999999999" customHeight="1" x14ac:dyDescent="0.75">
      <c r="A15" s="113" t="s">
        <v>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7"/>
      <c r="M15" s="30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30"/>
      <c r="N16" s="11" t="s">
        <v>28</v>
      </c>
      <c r="O16" s="90" t="s">
        <v>199</v>
      </c>
      <c r="P16" s="91"/>
      <c r="Q16" s="11" t="s">
        <v>105</v>
      </c>
      <c r="R16" s="90" t="s">
        <v>23</v>
      </c>
      <c r="S16" s="91"/>
      <c r="T16" s="12" t="s">
        <v>103</v>
      </c>
      <c r="U16" s="90" t="s">
        <v>31</v>
      </c>
      <c r="V16" s="91"/>
      <c r="W16" s="11" t="str">
        <f>IF(ISNUMBER(SEARCH("bag",O8,1)),"Total Bags","Total Sheets")</f>
        <v>Total Bags</v>
      </c>
      <c r="X16" s="143"/>
      <c r="Y16" s="144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9" t="s">
        <v>81</v>
      </c>
      <c r="H17" s="33"/>
      <c r="I17" s="83"/>
      <c r="J17" s="84"/>
      <c r="K17" s="83"/>
      <c r="L17" s="84"/>
      <c r="M17" s="30"/>
      <c r="N17" s="11" t="s">
        <v>26</v>
      </c>
      <c r="O17" s="90" t="s">
        <v>37</v>
      </c>
      <c r="P17" s="91"/>
      <c r="Q17" s="11" t="s">
        <v>104</v>
      </c>
      <c r="R17" s="90" t="s">
        <v>31</v>
      </c>
      <c r="S17" s="91"/>
      <c r="T17" s="12" t="str">
        <f>IF(ISNUMBER(SEARCH("roll",O8,1)),"Part Rolls","Part Ctns")</f>
        <v>Part Ctns</v>
      </c>
      <c r="U17" s="90" t="s">
        <v>31</v>
      </c>
      <c r="V17" s="91"/>
      <c r="W17" s="11" t="str">
        <f>IF(ISNUMBER(SEARCH("roll",O8,1)),"Total Rolls","Total Ctns")</f>
        <v>Total Ctns</v>
      </c>
      <c r="X17" s="143"/>
      <c r="Y17" s="144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9" t="s">
        <v>82</v>
      </c>
      <c r="H18" s="33"/>
      <c r="I18" s="83"/>
      <c r="J18" s="84"/>
      <c r="K18" s="83"/>
      <c r="L18" s="84"/>
      <c r="M18" s="30"/>
      <c r="N18" s="11" t="s">
        <v>101</v>
      </c>
      <c r="O18" s="90" t="s">
        <v>185</v>
      </c>
      <c r="P18" s="91"/>
      <c r="Q18" s="11" t="s">
        <v>106</v>
      </c>
      <c r="R18" s="90" t="s">
        <v>31</v>
      </c>
      <c r="S18" s="91"/>
      <c r="T18" s="22" t="s">
        <v>27</v>
      </c>
      <c r="U18" s="90" t="s">
        <v>36</v>
      </c>
      <c r="V18" s="91"/>
      <c r="W18" s="11" t="s">
        <v>109</v>
      </c>
      <c r="X18" s="143"/>
      <c r="Y18" s="144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9" t="s">
        <v>83</v>
      </c>
      <c r="H19" s="33"/>
      <c r="I19" s="83"/>
      <c r="J19" s="84"/>
      <c r="K19" s="83"/>
      <c r="L19" s="84"/>
      <c r="M19" s="30"/>
      <c r="N19" s="145" t="s">
        <v>198</v>
      </c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7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9" t="s">
        <v>84</v>
      </c>
      <c r="H20" s="33"/>
      <c r="I20" s="83"/>
      <c r="J20" s="84"/>
      <c r="K20" s="83"/>
      <c r="L20" s="84"/>
      <c r="M20" s="30"/>
      <c r="N20" s="148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50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5" t="s">
        <v>205</v>
      </c>
      <c r="F21" s="86"/>
      <c r="G21" s="49" t="s">
        <v>85</v>
      </c>
      <c r="H21" s="33"/>
      <c r="I21" s="83"/>
      <c r="J21" s="84"/>
      <c r="K21" s="83"/>
      <c r="L21" s="84"/>
      <c r="M21" s="30"/>
      <c r="N21" s="148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50"/>
    </row>
    <row r="22" spans="1:25" ht="20.149999999999999" customHeight="1" x14ac:dyDescent="0.75">
      <c r="A22" s="75" t="str">
        <f>(IF(B7="NATURAL","",B7))</f>
        <v>WHITE</v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9"/>
      <c r="E22" s="141">
        <v>0.04</v>
      </c>
      <c r="F22" s="86"/>
      <c r="G22" s="49" t="s">
        <v>86</v>
      </c>
      <c r="H22" s="33"/>
      <c r="I22" s="83"/>
      <c r="J22" s="84"/>
      <c r="K22" s="83"/>
      <c r="L22" s="84"/>
      <c r="M22" s="30"/>
      <c r="N22" s="151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3"/>
    </row>
    <row r="23" spans="1:25" ht="20.149999999999999" customHeight="1" x14ac:dyDescent="0.75">
      <c r="A23" s="80" t="s">
        <v>193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141">
        <v>0.03</v>
      </c>
      <c r="F23" s="86"/>
      <c r="G23" s="49" t="s">
        <v>87</v>
      </c>
      <c r="H23" s="33"/>
      <c r="I23" s="83"/>
      <c r="J23" s="84"/>
      <c r="K23" s="83"/>
      <c r="L23" s="84"/>
      <c r="M23" s="30"/>
      <c r="N23" s="132" t="s">
        <v>133</v>
      </c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1"/>
    </row>
    <row r="24" spans="1:25" ht="20.149999999999999" customHeight="1" x14ac:dyDescent="0.75">
      <c r="A24" s="81" t="s">
        <v>206</v>
      </c>
      <c r="B24" s="82"/>
      <c r="C24" s="7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9"/>
      <c r="E24" s="83"/>
      <c r="F24" s="84"/>
      <c r="G24" s="49" t="s">
        <v>88</v>
      </c>
      <c r="H24" s="33"/>
      <c r="I24" s="83"/>
      <c r="J24" s="84"/>
      <c r="K24" s="83"/>
      <c r="L24" s="84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3" t="s">
        <v>1</v>
      </c>
      <c r="B25" s="96"/>
      <c r="C25" s="96"/>
      <c r="D25" s="96"/>
      <c r="E25" s="96"/>
      <c r="F25" s="95"/>
      <c r="G25" s="95"/>
      <c r="H25" s="95"/>
      <c r="I25" s="95"/>
      <c r="J25" s="95"/>
      <c r="K25" s="96"/>
      <c r="L25" s="97"/>
      <c r="M25" s="30"/>
      <c r="N25" s="23" t="s">
        <v>96</v>
      </c>
      <c r="O25" s="10" t="s">
        <v>203</v>
      </c>
      <c r="P25" s="35"/>
      <c r="Q25" s="10">
        <v>21</v>
      </c>
      <c r="R25" s="10">
        <v>6</v>
      </c>
      <c r="S25" s="10" t="s">
        <v>204</v>
      </c>
      <c r="T25" s="10">
        <v>11</v>
      </c>
      <c r="U25" s="10">
        <v>2</v>
      </c>
      <c r="V25" s="10">
        <v>2.5</v>
      </c>
      <c r="W25" s="10">
        <v>245</v>
      </c>
      <c r="X25" s="10">
        <v>245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42" t="s">
        <v>132</v>
      </c>
      <c r="H26" s="142"/>
      <c r="I26" s="142" t="s">
        <v>131</v>
      </c>
      <c r="J26" s="142"/>
      <c r="K26" s="25" t="s">
        <v>94</v>
      </c>
      <c r="L26" s="25" t="s">
        <v>95</v>
      </c>
      <c r="M26" s="30"/>
      <c r="N26" s="113" t="s">
        <v>137</v>
      </c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94" t="s">
        <v>99</v>
      </c>
      <c r="B29" s="95"/>
      <c r="C29" s="95"/>
      <c r="D29" s="95"/>
      <c r="E29" s="95"/>
      <c r="F29" s="137"/>
      <c r="G29" s="137"/>
      <c r="H29" s="137"/>
      <c r="I29" s="137"/>
      <c r="J29" s="137"/>
      <c r="K29" s="95"/>
      <c r="L29" s="138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7" zoomScale="90" zoomScaleNormal="9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45844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45835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197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199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F2A807B-CF85-422B-BDC3-B0CC673302F3}"/>
</file>

<file path=customXml/itemProps2.xml><?xml version="1.0" encoding="utf-8"?>
<ds:datastoreItem xmlns:ds="http://schemas.openxmlformats.org/officeDocument/2006/customXml" ds:itemID="{D44449D5-A7C9-4437-B513-06B8CE0A1818}"/>
</file>

<file path=customXml/itemProps3.xml><?xml version="1.0" encoding="utf-8"?>
<ds:datastoreItem xmlns:ds="http://schemas.openxmlformats.org/officeDocument/2006/customXml" ds:itemID="{4145EA89-C3CD-4223-8D9C-F5DC0256EA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2025-06-06T00:20:59Z</cp:lastPrinted>
  <dcterms:created xsi:type="dcterms:W3CDTF">2019-11-27T23:28:06Z</dcterms:created>
  <dcterms:modified xsi:type="dcterms:W3CDTF">2025-06-06T00:25:18Z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