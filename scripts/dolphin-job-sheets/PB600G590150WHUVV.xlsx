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4999CDE-802D-424E-8E1E-0271EFAA6A8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<sst xmlns="http://schemas.openxmlformats.org/spreadsheetml/2006/main" count="305" uniqueCount="202">
  <si>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</si>
  <si>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</si>
  <si>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</si>
  <si>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</si>
  <si>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</si>
  <si>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</si>
  <si>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</si>
  <si>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</si>
  <si>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</si>
  <si>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</si>
  <si>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</si>
  <si>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</si>
  <si>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</si>
  <si>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</si>
  <si>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</si>
  <si>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</si>
  <si>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</si>
  <si>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</si>
  <si>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</si>
  <si>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</si>
  <si>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</si>
  <si>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</si>
  <si>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</si>
  <si>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</si>
  <si>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</si>
  <si>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</si>
  <si>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</si>
  <si>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</si>
  <si>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</si>
  <si>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</si>
  <si>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</si>
  <si>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</si>
  <si>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</si>
  <si>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</si>
  <si>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</si>
  <si>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</si>
  <si>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</si>
  <si>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</si>
  <si>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</si>
  <si>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</si>
  <si>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</si>
  <si>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</si>
  <si>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</si>
  <si>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</si>
  <si>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</si>
  <si>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</si>
  <si>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</si>
  <si>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</si>
  <si>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</si>
  <si>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</si>
  <si>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</si>
  <si>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</si>
  <si>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</si>
  <si>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</si>
  <si>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</si>
  <si>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</si>
  <si>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</si>
  <si>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</si>
  <si>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</si>
  <si>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</si>
  <si>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</si>
  <si>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</si>
  <si>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</si>
  <si>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</si>
  <si>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</si>
  <si>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</si>
  <si>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</si>
  <si>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</si>
  <si>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</si>
  <si>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</si>
  <si>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</si>
  <si>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</si>
  <si>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</si>
  <si>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</si>
  <si>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</si>
  <si>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</si>
  <si>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</si>
  <si>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</si>
  <si>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</si>
  <si>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</si>
  <si>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</si>
  <si>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</si>
  <si>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</si>
  <si>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</si>
  <si>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</si>
  <si>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</si>
  <si>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</si>
  <si>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</si>
  <si>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</si>
  <si>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</si>
  <si>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</si>
  <si>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</si>
  <si>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</si>
  <si>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</si>
  <si>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</si>
  <si>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</si>
  <si>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</si>
  <si>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</si>
  <si>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</si>
  <si>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</si>
  <si>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</si>
  <si>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</si>
  <si>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</si>
  <si>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</si>
  <si>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</si>
  <si>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</si>
  <si>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</si>
  <si>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</si>
  <si>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</si>
  <si>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</si>
  <si>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</si>
  <si>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</si>
  <si>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</si>
  <si>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</si>
  <si>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</si>
  <si>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</si>
  <si>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</si>
  <si>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</si>
  <si>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</si>
  <si>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</si>
  <si>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</si>
  <si>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</si>
  <si>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</si>
  <si>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</si>
  <si>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</si>
  <si>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</si>
  <si>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</si>
  <si>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</si>
  <si>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</si>
  <si>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</si>
  <si>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</si>
  <si>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</si>
  <si>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</si>
  <si>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</si>
  <si>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</si>
  <si>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</si>
  <si>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</si>
  <si>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</si>
  <si>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</si>
  <si>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</si>
  <si>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</si>
  <si>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</si>
  <si>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</si>
  <si>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</si>
  <si>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</si>
  <si>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</si>
  <si>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</si>
  <si>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</si>
  <si>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</si>
  <si>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</si>
  <si>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</si>
  <si>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</si>
  <si>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</si>
  <si>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</si>
  <si>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</si>
  <si>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</si>
  <si>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</si>
  <si>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</si>
  <si>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</si>
  <si>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</si>
  <si>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</si>
  <si>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</si>
  <si>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</si>
  <si>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</si>
  <si>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</si>
  <si>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</si>
  <si>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</si>
  <si>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</si>
  <si>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</si>
  <si>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</si>
  <si>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</si>
  <si>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</si>
  <si>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</si>
  <si>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</si>
  <si>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</si>
  <si>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</si>
  <si>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</si>
  <si>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</si>
  <si>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</si>
  <si>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</si>
  <si>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</si>
  <si>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</si>
  <si>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</si>
  <si>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</si>
  <si>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</si>
  <si>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</si>
  <si>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</si>
  <si>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</si>
  <si>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</si>
  <si>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</si>
  <si>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</si>
  <si>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</si>
  <si>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</si>
  <si>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</si>
  <si>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</si>
  <si>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(310+290)</t>
  </si>
  <si>
    <t>UV</t>
  </si>
  <si>
    <t>PLANTLINE NURSERIES</t>
  </si>
  <si>
    <t>VENT HOLE DIAGRAM TBA - SEE ROHAN</t>
  </si>
  <si>
    <t>45L WHITE PLANTER BAG</t>
  </si>
  <si>
    <t>RUN AT 170um</t>
  </si>
  <si>
    <t>14.01.2022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</si>
</sst>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PB600G590180WHUVV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45166</v>
      </c>
      <c r="K1" s="84"/>
      <c r="L1" s="85"/>
      <c r="M1" s="29"/>
      <c r="N1" s="11" t="s">
        <v>56</v>
      </c>
      <c r="O1" s="111" t="str">
        <f>B1</f>
        <v>PB600G590180WHUVV</v>
      </c>
      <c r="P1" s="111"/>
      <c r="Q1" s="112"/>
      <c r="R1" s="11" t="s">
        <v>57</v>
      </c>
      <c r="S1" s="111" t="str">
        <f>F1</f>
        <v>PLANTLINE NURSERIES</v>
      </c>
      <c r="T1" s="111"/>
      <c r="U1" s="112"/>
      <c r="V1" s="11" t="s">
        <v>181</v>
      </c>
      <c r="W1" s="84">
        <f ca="1">J1</f>
        <v>45166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45L WHITE PLANTER BAG</v>
      </c>
      <c r="C2" s="111"/>
      <c r="D2" s="112"/>
      <c r="E2" s="11" t="s">
        <v>58</v>
      </c>
      <c r="F2" s="87">
        <v>941980</v>
      </c>
      <c r="G2" s="87"/>
      <c r="H2" s="88"/>
      <c r="I2" s="11" t="s">
        <v>59</v>
      </c>
      <c r="J2" s="86" t="s">
        <v>201</v>
      </c>
      <c r="K2" s="87"/>
      <c r="L2" s="88"/>
      <c r="M2" s="29"/>
      <c r="N2" s="11" t="s">
        <v>100</v>
      </c>
      <c r="O2" s="111" t="str">
        <f>IF(B2="","",B2)</f>
        <v>45L WHITE PLANTER BAG</v>
      </c>
      <c r="P2" s="111"/>
      <c r="Q2" s="112"/>
      <c r="R2" s="11" t="s">
        <v>58</v>
      </c>
      <c r="S2" s="111">
        <f>IF(F2="","",F2)</f>
        <v>941980</v>
      </c>
      <c r="T2" s="111"/>
      <c r="U2" s="112"/>
      <c r="V2" s="11" t="s">
        <v>59</v>
      </c>
      <c r="W2" s="122" t="str">
        <f>J2</f>
        <v>14.01.2022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155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50</v>
      </c>
      <c r="P7" s="88"/>
      <c r="Q7" s="11" t="str">
        <f>IF(ISNUMBER(SEARCH("roll",O8,1)),"Per Roll","Per Carton")</f>
        <v>Per Carton</v>
      </c>
      <c r="R7" s="87">
        <v>100</v>
      </c>
      <c r="S7" s="88"/>
      <c r="T7" s="11" t="str">
        <f>IF(ISNUMBER(SEARCH("bag",O8,1)),"Total Bags","Total Sheets")</f>
        <v>Total Bags</v>
      </c>
      <c r="U7" s="111">
        <f>R7*O7</f>
        <v>5000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600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(310+290)</v>
      </c>
      <c r="F8" s="90"/>
      <c r="G8" s="13" t="s">
        <v>52</v>
      </c>
      <c r="H8" s="89">
        <f>(IF(V9&lt;30,"30",V9))</f>
        <v>180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200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600</v>
      </c>
      <c r="S9" s="18" t="s">
        <v>78</v>
      </c>
      <c r="T9" s="30">
        <v>590</v>
      </c>
      <c r="U9" s="18" t="s">
        <v>78</v>
      </c>
      <c r="V9" s="30">
        <v>180</v>
      </c>
      <c r="W9" s="17"/>
      <c r="X9" s="136" t="s">
        <v>195</v>
      </c>
      <c r="Y9" s="137"/>
    </row>
    <row r="10" spans="1:25" ht="20.149999999999999" customHeight="1" x14ac:dyDescent="0.8">
      <c r="A10" s="11" t="s">
        <v>51</v>
      </c>
      <c r="B10" s="87">
        <v>16</v>
      </c>
      <c r="C10" s="88"/>
      <c r="D10" s="47" t="s">
        <v>134</v>
      </c>
      <c r="E10" s="101">
        <f>IF(ISNUMBER(SEARCH("sheet",O8,1)),((R9*T9*H8/540000)*U7/2000*1.3),((R9*T9*H8/540000)*U7/1000*1.08))</f>
        <v>637.20000000000005</v>
      </c>
      <c r="F10" s="102"/>
      <c r="G10" s="11" t="s">
        <v>53</v>
      </c>
      <c r="H10" s="105">
        <f>IF(ISNUMBER(SEARCH("sheet",O8,1)),(U7*T9/2000*1.08),(U7*T9/1000*1.08))</f>
        <v>3186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140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199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39.825000000000003</v>
      </c>
      <c r="F11" s="104"/>
      <c r="G11" s="11" t="s">
        <v>15</v>
      </c>
      <c r="H11" s="103">
        <f>H10/B10</f>
        <v>199.125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>V</v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1" t="s">
        <v>198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49999999999999" customHeight="1" x14ac:dyDescent="0.75">
      <c r="A22" s="74" t="str">
        <f>(IF(B7="NATURAL","",B7))</f>
        <v>WHITE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49999999999999" customHeight="1" x14ac:dyDescent="0.75">
      <c r="A23" s="79" t="s">
        <v>196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2C98D1B-5D9A-478D-931F-87290F5EB317}"/>
</file>

<file path=customXml/itemProps2.xml><?xml version="1.0" encoding="utf-8"?>
<ds:datastoreItem xmlns:ds="http://schemas.openxmlformats.org/officeDocument/2006/customXml" ds:itemID="{E19F0600-E909-4577-B7F4-B8C0C75E18D1}"/>
</file>

<file path=customXml/itemProps3.xml><?xml version="1.0" encoding="utf-8"?>
<ds:datastoreItem xmlns:ds="http://schemas.openxmlformats.org/officeDocument/2006/customXml" ds:itemID="{201AB083-D2E5-4CC6-93FE-207C3D9BF7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2021-11-23T03:32:16Z</cp:lastPrinted>
  <dcterms:created xsi:type="dcterms:W3CDTF">2019-11-27T23:28:06Z</dcterms:created>
  <dcterms:modified xsi:type="dcterms:W3CDTF">2023-08-31T00:24:54Z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