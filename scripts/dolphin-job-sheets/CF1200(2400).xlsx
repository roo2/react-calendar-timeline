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C34AE61-EB51-497E-9769-6E51EC3E930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<sst xmlns="http://schemas.openxmlformats.org/spreadsheetml/2006/main" count="223" uniqueCount="165">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</sst>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13" sqref="F13:H13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0" t="str">
        <f>IF(B7="Tube","T",IF(B7="Cont Sheet Roll","SR",IF(B7="Cont Centrefold","CFR")))&amp;B8&amp;IF(E8="","",E8)&amp;H8&amp;(IF(K11="INLINE","P",IF(K11="OUT OF LINE","P",IF(K11="NONE",""))))&amp;C24&amp;C25</f>
        <v>CFR1500(3000)150</v>
      </c>
      <c r="C1" s="100"/>
      <c r="D1" s="101"/>
      <c r="E1" s="11" t="s">
        <v>55</v>
      </c>
      <c r="F1" s="46" t="s">
        <v>164</v>
      </c>
      <c r="G1" s="46"/>
      <c r="H1" s="47"/>
      <c r="I1" s="11" t="s">
        <v>148</v>
      </c>
      <c r="J1" s="111">
        <f ca="1">TODAY()</f>
        <v>45909</v>
      </c>
      <c r="K1" s="111"/>
      <c r="L1" s="112"/>
    </row>
    <row r="2" spans="1:14" ht="20.149999999999999" customHeight="1" x14ac:dyDescent="0.8">
      <c r="A2" s="11" t="s">
        <v>94</v>
      </c>
      <c r="B2" s="91" t="str">
        <f>IF(B7="Tube",(ROUNDUP(E11,0)&amp;"KG"),(ROUNDUP(H11,0)&amp;"M"))</f>
        <v>50M</v>
      </c>
      <c r="C2" s="91"/>
      <c r="D2" s="92"/>
      <c r="E2" s="11" t="s">
        <v>56</v>
      </c>
      <c r="F2" s="46">
        <v>937459</v>
      </c>
      <c r="G2" s="46"/>
      <c r="H2" s="47"/>
      <c r="I2" s="11" t="s">
        <v>57</v>
      </c>
      <c r="J2" s="113">
        <v>44020</v>
      </c>
      <c r="K2" s="46"/>
      <c r="L2" s="47"/>
    </row>
    <row r="3" spans="1:14" ht="20.149999999999999" customHeight="1" x14ac:dyDescent="0.7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49999999999999" customHeight="1" x14ac:dyDescent="0.7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49999999999999" customHeight="1" x14ac:dyDescent="0.7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49999999999999" customHeight="1" x14ac:dyDescent="0.7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49999999999999" customHeight="1" x14ac:dyDescent="0.9">
      <c r="A7" s="11" t="s">
        <v>158</v>
      </c>
      <c r="B7" s="46" t="s">
        <v>161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5" t="s">
        <v>146</v>
      </c>
      <c r="K7" s="95"/>
      <c r="L7" s="75"/>
    </row>
    <row r="8" spans="1:14" ht="20.149999999999999" customHeight="1" x14ac:dyDescent="0.8">
      <c r="A8" s="12" t="s">
        <v>14</v>
      </c>
      <c r="B8" s="66">
        <v>1500</v>
      </c>
      <c r="C8" s="67"/>
      <c r="D8" s="12" t="str">
        <f>IF(B7="Tube","Gusset","Centrefold")</f>
        <v>Centrefold</v>
      </c>
      <c r="E8" s="96" t="str">
        <f>IF(B7="Cont Centrefold","("&amp;B8*2&amp;")","")</f>
        <v>(3000)</v>
      </c>
      <c r="F8" s="97"/>
      <c r="G8" s="12" t="s">
        <v>50</v>
      </c>
      <c r="H8" s="66">
        <v>150</v>
      </c>
      <c r="I8" s="67"/>
      <c r="J8" s="11" t="s">
        <v>52</v>
      </c>
      <c r="K8" s="100" t="str">
        <f>IF(ISNUMBER(SEARCH("+",E8,1)),"Gusset Tube","Layflat Tube")</f>
        <v>Layflat Tube</v>
      </c>
      <c r="L8" s="101"/>
    </row>
    <row r="9" spans="1:14" ht="20.149999999999999" customHeight="1" x14ac:dyDescent="0.9">
      <c r="A9" s="13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3" t="s">
        <v>46</v>
      </c>
      <c r="H9" s="83"/>
      <c r="I9" s="84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10</v>
      </c>
      <c r="C10" s="47"/>
      <c r="D10" s="36" t="s">
        <v>104</v>
      </c>
      <c r="E10" s="87">
        <f>E11*B10</f>
        <v>208.33333333333331</v>
      </c>
      <c r="F10" s="88"/>
      <c r="G10" s="11" t="s">
        <v>51</v>
      </c>
      <c r="H10" s="91">
        <f>H11*B10</f>
        <v>500</v>
      </c>
      <c r="I10" s="92"/>
      <c r="J10" s="11" t="s">
        <v>39</v>
      </c>
      <c r="K10" s="46" t="s">
        <v>41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>CF Rolls</v>
      </c>
      <c r="B11" s="85">
        <f>IF(AND(B7="Cont Centrefold",D9="RUN 2 UP"),B10*2,IF(B7="Cont Centrefold",B10,IF(B7="Cont Sheet Roll",B10*2,"")))</f>
        <v>10</v>
      </c>
      <c r="C11" s="86"/>
      <c r="D11" s="42" t="s">
        <v>105</v>
      </c>
      <c r="E11" s="89">
        <f>IF(D9="RUN 2 UP",(B8*H8*H11/540000)*2,(B8*H8*H11/540000))</f>
        <v>20.833333333333332</v>
      </c>
      <c r="F11" s="90"/>
      <c r="G11" s="42" t="s">
        <v>13</v>
      </c>
      <c r="H11" s="93">
        <v>50</v>
      </c>
      <c r="I11" s="94"/>
      <c r="J11" s="42" t="s">
        <v>48</v>
      </c>
      <c r="K11" s="98" t="s">
        <v>42</v>
      </c>
      <c r="L11" s="99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49999999999999" customHeight="1" x14ac:dyDescent="0.7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0">
        <f>B10</f>
        <v>10</v>
      </c>
      <c r="G16" s="100"/>
      <c r="H16" s="101"/>
      <c r="I16" s="11" t="s">
        <v>74</v>
      </c>
      <c r="J16" s="46"/>
      <c r="K16" s="46"/>
      <c r="L16" s="47"/>
    </row>
    <row r="17" spans="1:12" ht="20.149999999999999" customHeight="1" x14ac:dyDescent="0.7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49999999999999" customHeight="1" x14ac:dyDescent="0.7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49999999999999" customHeight="1" x14ac:dyDescent="0.7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49999999999999" customHeight="1" x14ac:dyDescent="0.7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49999999999999" customHeight="1" x14ac:dyDescent="0.7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49999999999999" customHeight="1" x14ac:dyDescent="0.7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49999999999999" customHeight="1" x14ac:dyDescent="0.7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49999999999999" customHeight="1" x14ac:dyDescent="0.75">
      <c r="A24" s="78" t="str">
        <f>(IF(E7="NATURAL","",E7))</f>
        <v/>
      </c>
      <c r="B24" s="78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10" t="s">
        <v>82</v>
      </c>
      <c r="H25" s="31"/>
      <c r="I25" s="64"/>
      <c r="J25" s="65"/>
      <c r="K25" s="64"/>
      <c r="L25" s="65"/>
    </row>
    <row r="26" spans="1:12" ht="20.149999999999999" customHeight="1" x14ac:dyDescent="0.7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8" t="s">
        <v>103</v>
      </c>
      <c r="H27" s="118"/>
      <c r="I27" s="118" t="s">
        <v>102</v>
      </c>
      <c r="J27" s="118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4"/>
      <c r="H28" s="114"/>
      <c r="I28" s="114"/>
      <c r="J28" s="114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4"/>
      <c r="H29" s="114"/>
      <c r="I29" s="114"/>
      <c r="J29" s="114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45939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45930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145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143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143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3D8D150-41DD-4189-B3AD-81C87B150C08}"/>
</file>

<file path=customXml/itemProps2.xml><?xml version="1.0" encoding="utf-8"?>
<ds:datastoreItem xmlns:ds="http://schemas.openxmlformats.org/officeDocument/2006/customXml" ds:itemID="{788A5A1F-3239-4BEE-8A84-1FAECAD882FF}"/>
</file>

<file path=customXml/itemProps3.xml><?xml version="1.0" encoding="utf-8"?>
<ds:datastoreItem xmlns:ds="http://schemas.openxmlformats.org/officeDocument/2006/customXml" ds:itemID="{4443A670-810E-4EAC-A3D9-3530401EA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2024-10-03T03:42:51Z</cp:lastPrinted>
  <dcterms:created xsi:type="dcterms:W3CDTF">2019-11-27T23:28:06Z</dcterms:created>
  <dcterms:modified xsi:type="dcterms:W3CDTF">2025-09-15T00:48:15Z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