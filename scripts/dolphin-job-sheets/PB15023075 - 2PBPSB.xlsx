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2ABC29F-B6DA-4A86-859C-5C40819EDE3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<sst xmlns="http://schemas.openxmlformats.org/spreadsheetml/2006/main" count="313" uniqueCount="207">
  <si>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</si>
  <si>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</si>
  <si>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</si>
  <si>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</si>
  <si>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</si>
  <si>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</si>
  <si>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</si>
  <si>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</si>
  <si>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</si>
  <si>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</si>
  <si>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</si>
  <si>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</si>
  <si>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</si>
  <si>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</si>
  <si>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</si>
  <si>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</si>
  <si>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</si>
  <si>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</si>
  <si>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</si>
  <si>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</si>
  <si>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</si>
  <si>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</si>
  <si>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</si>
  <si>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</si>
  <si>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</si>
  <si>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</si>
  <si>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</si>
  <si>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</si>
  <si>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</si>
  <si>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</si>
  <si>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</si>
  <si>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</si>
  <si>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</si>
  <si>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</si>
  <si>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</si>
  <si>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</si>
  <si>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</si>
  <si>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</si>
  <si>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</si>
  <si>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</si>
  <si>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</si>
  <si>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</si>
  <si>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</si>
  <si>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</si>
  <si>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</si>
  <si>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</si>
  <si>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</si>
  <si>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</si>
  <si>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</si>
  <si>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</si>
  <si>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</si>
  <si>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</si>
  <si>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</si>
  <si>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</si>
  <si>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</si>
  <si>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</si>
  <si>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</si>
  <si>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</si>
  <si>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</si>
  <si>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</si>
  <si>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</si>
  <si>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</si>
  <si>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</si>
  <si>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</si>
  <si>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</si>
  <si>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</si>
  <si>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</si>
  <si>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</si>
  <si>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</si>
  <si>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</si>
  <si>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</si>
  <si>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</si>
  <si>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</si>
  <si>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</si>
  <si>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</si>
  <si>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</si>
  <si>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</si>
  <si>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</si>
  <si>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</si>
  <si>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</si>
  <si>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</si>
  <si>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</si>
  <si>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</si>
  <si>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</si>
  <si>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</si>
  <si>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</si>
  <si>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</si>
  <si>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</si>
  <si>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</si>
  <si>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</si>
  <si>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</si>
  <si>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</si>
  <si>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</si>
  <si>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</si>
  <si>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</si>
  <si>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</si>
  <si>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</si>
  <si>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</si>
  <si>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</si>
  <si>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</si>
  <si>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</si>
  <si>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</si>
  <si>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</si>
  <si>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</si>
  <si>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</si>
  <si>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</si>
  <si>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</si>
  <si>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</si>
  <si>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</si>
  <si>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</si>
  <si>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</si>
  <si>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</si>
  <si>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</si>
  <si>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</si>
  <si>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</si>
  <si>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</si>
  <si>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</si>
  <si>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</si>
  <si>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</si>
  <si>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</si>
  <si>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</si>
  <si>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</si>
  <si>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</si>
  <si>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</si>
  <si>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</si>
  <si>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</si>
  <si>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</si>
  <si>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</si>
  <si>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</si>
  <si>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</si>
  <si>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</si>
  <si>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</si>
  <si>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</si>
  <si>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</si>
  <si>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</si>
  <si>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</si>
  <si>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</si>
  <si>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</si>
  <si>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</si>
  <si>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</si>
  <si>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</si>
  <si>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</si>
  <si>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</si>
  <si>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</si>
  <si>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</si>
  <si>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</si>
  <si>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</si>
  <si>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</si>
  <si>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</si>
  <si>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</si>
  <si>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</si>
  <si>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</si>
  <si>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</si>
  <si>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</si>
  <si>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</si>
  <si>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</si>
  <si>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</si>
  <si>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</si>
  <si>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</si>
  <si>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</si>
  <si>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</si>
  <si>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</si>
  <si>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</si>
  <si>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</si>
  <si>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</si>
  <si>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</si>
  <si>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</si>
  <si>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</si>
  <si>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</si>
  <si>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</si>
  <si>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</si>
  <si>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</si>
  <si>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</si>
  <si>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</si>
  <si>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</si>
  <si>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</si>
  <si>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</si>
  <si>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</si>
  <si>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</si>
  <si>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</si>
  <si>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</si>
  <si>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</si>
  <si>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</si>
  <si>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</si>
  <si>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</si>
  <si>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</si>
  <si>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</si>
  <si>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</si>
  <si>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</si>
  <si>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</si>
  <si>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</si>
  <si>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</si>
  <si>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</si>
  <si>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</si>
  <si>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</si>
  <si>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 +/- 5um</t>
  </si>
  <si>
    <t>TRIPLE M</t>
  </si>
  <si>
    <t>ANTIBLOCK</t>
  </si>
  <si>
    <t>#1</t>
  </si>
  <si>
    <t>LIMAX/ORION</t>
  </si>
  <si>
    <t>26/26</t>
  </si>
  <si>
    <t>16/170</t>
  </si>
  <si>
    <t>12/170</t>
  </si>
  <si>
    <t>L2/L3</t>
  </si>
  <si>
    <t>50/15.6</t>
  </si>
  <si>
    <t>5.1/3.2</t>
  </si>
  <si>
    <t>2PBPSF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</si>
</sst>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0" t="str">
        <f>O9&amp;R9&amp;IF(X8="G","G","")&amp;IF(O8="Centrefold Roll","("&amp;E8&amp;")","")&amp;T9&amp;V9&amp;C22&amp;C23&amp;C24&amp;O11&amp;R11</f>
        <v>PB150230750</v>
      </c>
      <c r="C1" s="110"/>
      <c r="D1" s="111"/>
      <c r="E1" s="9" t="s">
        <v>57</v>
      </c>
      <c r="F1" s="86" t="s">
        <v>196</v>
      </c>
      <c r="G1" s="86"/>
      <c r="H1" s="87"/>
      <c r="I1" s="10" t="s">
        <v>181</v>
      </c>
      <c r="J1" s="83">
        <f ca="1">TODAY()</f>
        <v>45945</v>
      </c>
      <c r="K1" s="83"/>
      <c r="L1" s="84"/>
      <c r="M1" s="27"/>
      <c r="N1" s="9" t="s">
        <v>56</v>
      </c>
      <c r="O1" s="110" t="str">
        <f>B1</f>
        <v>PB150230750</v>
      </c>
      <c r="P1" s="110"/>
      <c r="Q1" s="111"/>
      <c r="R1" s="9" t="s">
        <v>57</v>
      </c>
      <c r="S1" s="110" t="str">
        <f>F1</f>
        <v>TRIPLE M</v>
      </c>
      <c r="T1" s="110"/>
      <c r="U1" s="111"/>
      <c r="V1" s="9" t="s">
        <v>181</v>
      </c>
      <c r="W1" s="83">
        <f ca="1">J1</f>
        <v>45945</v>
      </c>
      <c r="X1" s="83"/>
      <c r="Y1" s="84"/>
    </row>
    <row r="2" spans="1:25" ht="20.149999999999999" customHeight="1" x14ac:dyDescent="0.8">
      <c r="A2" s="9" t="s">
        <v>100</v>
      </c>
      <c r="B2" s="110" t="str">
        <f>IF(U10="","",U10)</f>
        <v>2PBPSF</v>
      </c>
      <c r="C2" s="110"/>
      <c r="D2" s="111"/>
      <c r="E2" s="9" t="s">
        <v>58</v>
      </c>
      <c r="F2" s="86">
        <v>950497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2PBPSF</v>
      </c>
      <c r="P2" s="110"/>
      <c r="Q2" s="111"/>
      <c r="R2" s="9" t="s">
        <v>58</v>
      </c>
      <c r="S2" s="110">
        <f>IF(F2="","",F2)</f>
        <v>950497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49999999999999" customHeight="1" x14ac:dyDescent="0.9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50</v>
      </c>
      <c r="P7" s="87"/>
      <c r="Q7" s="9" t="str">
        <f>IF(ISNUMBER(SEARCH("roll",O8,1)),"Per Roll","Per Carton")</f>
        <v>Per Carton</v>
      </c>
      <c r="R7" s="86">
        <v>1000</v>
      </c>
      <c r="S7" s="87"/>
      <c r="T7" s="9" t="str">
        <f>IF(ISNUMBER(SEARCH("bag",O8,1)),"Total Bags","Total Sheets")</f>
        <v>Total Bags</v>
      </c>
      <c r="U7" s="110">
        <f>R7*O7</f>
        <v>50000</v>
      </c>
      <c r="V7" s="111"/>
      <c r="W7" s="9" t="s">
        <v>102</v>
      </c>
      <c r="X7" s="86" t="s">
        <v>31</v>
      </c>
      <c r="Y7" s="87"/>
    </row>
    <row r="8" spans="1:25" ht="20.149999999999999" customHeight="1" x14ac:dyDescent="0.8">
      <c r="A8" s="11" t="s">
        <v>16</v>
      </c>
      <c r="B8" s="88">
        <f>R9</f>
        <v>150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75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49999999999999" customHeight="1" x14ac:dyDescent="0.9">
      <c r="A9" s="14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150</v>
      </c>
      <c r="S9" s="16" t="s">
        <v>78</v>
      </c>
      <c r="T9" s="28">
        <v>230</v>
      </c>
      <c r="U9" s="16" t="s">
        <v>78</v>
      </c>
      <c r="V9" s="28">
        <v>75</v>
      </c>
      <c r="W9" s="15"/>
      <c r="X9" s="135"/>
      <c r="Y9" s="136"/>
    </row>
    <row r="10" spans="1:25" ht="20.149999999999999" customHeight="1" x14ac:dyDescent="0.8">
      <c r="A10" s="9" t="s">
        <v>51</v>
      </c>
      <c r="B10" s="86">
        <v>16</v>
      </c>
      <c r="C10" s="87"/>
      <c r="D10" s="45" t="s">
        <v>134</v>
      </c>
      <c r="E10" s="100">
        <f>IF(ISNUMBER(SEARCH("sheet",O8,1)),((R9*T9*H8/540000)*U7/2000*1.3),((R9*T9*H8/540000)*U7/1000*1.08))</f>
        <v>258.75</v>
      </c>
      <c r="F10" s="101"/>
      <c r="G10" s="9" t="s">
        <v>53</v>
      </c>
      <c r="H10" s="104">
        <f>IF(ISNUMBER(SEARCH("sheet",O8,1)),(U7*T9/2000*1.08),(U7*T9/1000*1.08))</f>
        <v>12420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206</v>
      </c>
      <c r="V10" s="129"/>
      <c r="W10" s="129"/>
      <c r="X10" s="129"/>
      <c r="Y10" s="130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16.171875</v>
      </c>
      <c r="F11" s="103"/>
      <c r="G11" s="9" t="s">
        <v>15</v>
      </c>
      <c r="H11" s="102">
        <f>H10/B10</f>
        <v>776.25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49999999999999" customHeight="1" x14ac:dyDescent="0.7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49999999999999" customHeight="1" x14ac:dyDescent="0.8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50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49999999999999" customHeight="1" x14ac:dyDescent="0.7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 t="s">
        <v>168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78" t="s">
        <v>197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49999999999999" customHeight="1" x14ac:dyDescent="0.7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199</v>
      </c>
      <c r="P25" s="32"/>
      <c r="Q25" s="8" t="s">
        <v>200</v>
      </c>
      <c r="R25" s="8"/>
      <c r="S25" s="8"/>
      <c r="T25" s="8"/>
      <c r="U25" s="8"/>
      <c r="V25" s="8"/>
      <c r="W25" s="8" t="s">
        <v>201</v>
      </c>
      <c r="X25" s="8" t="s">
        <v>202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20" t="s">
        <v>96</v>
      </c>
      <c r="B27" s="7" t="s">
        <v>198</v>
      </c>
      <c r="C27" s="7"/>
      <c r="D27" s="8">
        <v>72</v>
      </c>
      <c r="E27" s="57">
        <v>3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203</v>
      </c>
      <c r="C28" s="7"/>
      <c r="D28" s="8" t="s">
        <v>204</v>
      </c>
      <c r="E28" s="57" t="s">
        <v>205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45976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45966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42C19BF-C3CC-468C-A2A2-985DC4C4163B}"/>
</file>

<file path=customXml/itemProps2.xml><?xml version="1.0" encoding="utf-8"?>
<ds:datastoreItem xmlns:ds="http://schemas.openxmlformats.org/officeDocument/2006/customXml" ds:itemID="{2E67D980-AFA3-4B0C-8DCF-FFB46EA0F250}"/>
</file>

<file path=customXml/itemProps3.xml><?xml version="1.0" encoding="utf-8"?>
<ds:datastoreItem xmlns:ds="http://schemas.openxmlformats.org/officeDocument/2006/customXml" ds:itemID="{E5AFA422-B5A3-4F2E-8650-1D44429B1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2025-10-15T00:29:17Z</cp:lastPrinted>
  <dcterms:created xsi:type="dcterms:W3CDTF">2019-11-27T23:28:06Z</dcterms:created>
  <dcterms:modified xsi:type="dcterms:W3CDTF">2025-10-16T01:36:05Z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