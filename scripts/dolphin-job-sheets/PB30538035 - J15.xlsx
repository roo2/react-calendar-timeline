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AEDD280-2DAB-416F-8200-3A787CE63C5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<sst xmlns="http://schemas.openxmlformats.org/spreadsheetml/2006/main" count="303" uniqueCount="199">
  <si>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</si>
  <si>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</si>
  <si>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</si>
  <si>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</si>
  <si>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</si>
  <si>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</si>
  <si>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</si>
  <si>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</si>
  <si>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</si>
  <si>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</si>
  <si>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</si>
  <si>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</si>
  <si>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</si>
  <si>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</si>
  <si>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</si>
  <si>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</si>
  <si>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</si>
  <si>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</si>
  <si>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</si>
  <si>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</si>
  <si>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</si>
  <si>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</si>
  <si>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</si>
  <si>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</si>
  <si>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</si>
  <si>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</si>
  <si>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</si>
  <si>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</si>
  <si>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</si>
  <si>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</si>
  <si>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</si>
  <si>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</si>
  <si>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</si>
  <si>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</si>
  <si>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</si>
  <si>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</si>
  <si>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</si>
  <si>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</si>
  <si>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</si>
  <si>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</si>
  <si>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</si>
  <si>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</si>
  <si>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</si>
  <si>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</si>
  <si>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</si>
  <si>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</si>
  <si>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</si>
  <si>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</si>
  <si>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</si>
  <si>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</si>
  <si>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</si>
  <si>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</si>
  <si>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</si>
  <si>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</si>
  <si>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</si>
  <si>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</si>
  <si>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</si>
  <si>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</si>
  <si>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</si>
  <si>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</si>
  <si>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</si>
  <si>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</si>
  <si>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</si>
  <si>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</si>
  <si>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</si>
  <si>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</si>
  <si>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</si>
  <si>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</si>
  <si>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</si>
  <si>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</si>
  <si>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</si>
  <si>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</si>
  <si>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</si>
  <si>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</si>
  <si>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</si>
  <si>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</si>
  <si>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</si>
  <si>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</si>
  <si>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</si>
  <si>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</si>
  <si>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</si>
  <si>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</si>
  <si>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</si>
  <si>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</si>
  <si>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</si>
  <si>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</si>
  <si>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</si>
  <si>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</si>
  <si>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</si>
  <si>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</si>
  <si>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</si>
  <si>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</si>
  <si>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</si>
  <si>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</si>
  <si>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</si>
  <si>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</si>
  <si>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</si>
  <si>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</si>
  <si>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</si>
  <si>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</si>
  <si>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</si>
  <si>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</si>
  <si>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</si>
  <si>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</si>
  <si>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</si>
  <si>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</si>
  <si>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</si>
  <si>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</si>
  <si>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</si>
  <si>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</si>
  <si>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</si>
  <si>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</si>
  <si>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</si>
  <si>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</si>
  <si>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</si>
  <si>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</si>
  <si>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</si>
  <si>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</si>
  <si>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</si>
  <si>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</si>
  <si>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</si>
  <si>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</si>
  <si>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</si>
  <si>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</si>
  <si>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</si>
  <si>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</si>
  <si>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</si>
  <si>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</si>
  <si>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</si>
  <si>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</si>
  <si>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</si>
  <si>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</si>
  <si>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</si>
  <si>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</si>
  <si>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</si>
  <si>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</si>
  <si>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</si>
  <si>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</si>
  <si>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</si>
  <si>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</si>
  <si>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</si>
  <si>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</si>
  <si>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</si>
  <si>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</si>
  <si>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</si>
  <si>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</si>
  <si>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</si>
  <si>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</si>
  <si>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</si>
  <si>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</si>
  <si>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</si>
  <si>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</si>
  <si>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</si>
  <si>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</si>
  <si>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</si>
  <si>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</si>
  <si>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</si>
  <si>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</si>
  <si>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</si>
  <si>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</si>
  <si>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</si>
  <si>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</si>
  <si>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</si>
  <si>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</si>
  <si>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</si>
  <si>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</si>
  <si>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</si>
  <si>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</si>
  <si>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</si>
  <si>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</si>
  <si>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</si>
  <si>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</si>
  <si>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</si>
  <si>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</si>
  <si>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</si>
  <si>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</si>
  <si>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</si>
  <si>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</si>
  <si>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</si>
  <si>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</si>
  <si>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</si>
  <si>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</si>
  <si>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</si>
  <si>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</si>
  <si>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</si>
  <si>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</si>
  <si>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</si>
  <si>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</si>
  <si>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</si>
  <si>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</si>
  <si>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</si>
  <si>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</si>
  <si>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</si>
  <si>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</si>
  <si>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</si>
  <si>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RUN AT 30 - 35um</t>
  </si>
  <si>
    <t>MINEMECH</t>
  </si>
  <si>
    <t>10 THOU ON BACKORDER 16.02.2022</t>
  </si>
  <si>
    <t>J15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</si>
</sst>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PB30538035</v>
      </c>
      <c r="C1" s="123"/>
      <c r="D1" s="124"/>
      <c r="E1" s="12" t="s">
        <v>57</v>
      </c>
      <c r="F1" s="134" t="s">
        <v>196</v>
      </c>
      <c r="G1" s="134"/>
      <c r="H1" s="135"/>
      <c r="I1" s="13" t="s">
        <v>181</v>
      </c>
      <c r="J1" s="136">
        <f ca="1">TODAY()</f>
        <v>44614</v>
      </c>
      <c r="K1" s="136"/>
      <c r="L1" s="137"/>
      <c r="M1" s="34"/>
      <c r="N1" s="12" t="s">
        <v>56</v>
      </c>
      <c r="O1" s="123" t="str">
        <f>B1</f>
        <v>PB30538035</v>
      </c>
      <c r="P1" s="123"/>
      <c r="Q1" s="124"/>
      <c r="R1" s="12" t="s">
        <v>57</v>
      </c>
      <c r="S1" s="123" t="str">
        <f>F1</f>
        <v>MINEMECH</v>
      </c>
      <c r="T1" s="123"/>
      <c r="U1" s="124"/>
      <c r="V1" s="12" t="s">
        <v>181</v>
      </c>
      <c r="W1" s="136">
        <f ca="1">J1</f>
        <v>44614</v>
      </c>
      <c r="X1" s="136"/>
      <c r="Y1" s="137"/>
    </row>
    <row r="2" spans="1:28" ht="20.100000000000001" customHeight="1" x14ac:dyDescent="0.25">
      <c r="A2" s="12" t="s">
        <v>100</v>
      </c>
      <c r="B2" s="123" t="str">
        <f>IF(U10="","",U10)</f>
        <v>J15</v>
      </c>
      <c r="C2" s="123"/>
      <c r="D2" s="124"/>
      <c r="E2" s="12" t="s">
        <v>58</v>
      </c>
      <c r="F2" s="73">
        <v>942531</v>
      </c>
      <c r="G2" s="73"/>
      <c r="H2" s="74"/>
      <c r="I2" s="12" t="s">
        <v>59</v>
      </c>
      <c r="J2" s="139">
        <v>44642</v>
      </c>
      <c r="K2" s="73"/>
      <c r="L2" s="74"/>
      <c r="M2" s="34"/>
      <c r="N2" s="12" t="s">
        <v>100</v>
      </c>
      <c r="O2" s="123" t="str">
        <f>IF(B2="","",B2)</f>
        <v>J15</v>
      </c>
      <c r="P2" s="123"/>
      <c r="Q2" s="124"/>
      <c r="R2" s="12" t="s">
        <v>58</v>
      </c>
      <c r="S2" s="123">
        <f>IF(F2="","",F2)</f>
        <v>942531</v>
      </c>
      <c r="T2" s="123"/>
      <c r="U2" s="124"/>
      <c r="V2" s="12" t="s">
        <v>59</v>
      </c>
      <c r="W2" s="138">
        <f>J2</f>
        <v>44642</v>
      </c>
      <c r="X2" s="123"/>
      <c r="Y2" s="124"/>
    </row>
    <row r="3" spans="1:28" ht="20.100000000000001" customHeight="1" x14ac:dyDescent="0.25">
      <c r="A3" s="125" t="s">
        <v>197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10 THOU ON BACKORDER 16.02.2022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6</v>
      </c>
      <c r="P7" s="74"/>
      <c r="Q7" s="12" t="str">
        <f>IF(ISNUMBER(SEARCH("roll",O8,1)),"Per Roll","Per Carton")</f>
        <v>Per Carton</v>
      </c>
      <c r="R7" s="73">
        <v>2000</v>
      </c>
      <c r="S7" s="74"/>
      <c r="T7" s="12" t="str">
        <f>IF(ISNUMBER(SEARCH("bag",O8,1)),"Total Bags","Total Sheets")</f>
        <v>Total Bags</v>
      </c>
      <c r="U7" s="123">
        <f>R7*O7</f>
        <v>12000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305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35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3" t="s">
        <v>193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195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305</v>
      </c>
      <c r="S9" s="20" t="s">
        <v>78</v>
      </c>
      <c r="T9" s="35">
        <v>380</v>
      </c>
      <c r="U9" s="20" t="s">
        <v>78</v>
      </c>
      <c r="V9" s="35">
        <v>35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5</v>
      </c>
      <c r="C10" s="74"/>
      <c r="D10" s="54" t="s">
        <v>134</v>
      </c>
      <c r="E10" s="145">
        <f>IF(ISNUMBER(SEARCH("sheet",O8,1)),((R9*T9*H8/540000)*U7/2000*1.3),((R9*T9*H8/540000)*U7/1000*1.08))</f>
        <v>97.355999999999995</v>
      </c>
      <c r="F10" s="146"/>
      <c r="G10" s="12" t="s">
        <v>53</v>
      </c>
      <c r="H10" s="149">
        <f>IF(ISNUMBER(SEARCH("sheet",O8,1)),(U7*T9/2000*1.08),(U7*T9/1000*1.08))</f>
        <v>4924.8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 t="s">
        <v>198</v>
      </c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19.4712</v>
      </c>
      <c r="F11" s="148"/>
      <c r="G11" s="12" t="s">
        <v>15</v>
      </c>
      <c r="H11" s="147">
        <f>H10/B10</f>
        <v>984.96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6</v>
      </c>
      <c r="R13" s="12" t="s">
        <v>74</v>
      </c>
      <c r="S13" s="36" t="s">
        <v>138</v>
      </c>
      <c r="T13" s="12" t="s">
        <v>178</v>
      </c>
      <c r="U13" s="24">
        <f>IF(S13="No","",(ROUNDUP(U7/W13/24,0)))</f>
        <v>5</v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110</v>
      </c>
      <c r="P16" s="74"/>
      <c r="Q16" s="12" t="s">
        <v>105</v>
      </c>
      <c r="R16" s="73" t="s">
        <v>23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23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44642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44635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EA91E94-2772-42EB-BFA9-9106921110DF}"/>
</file>

<file path=customXml/itemProps2.xml><?xml version="1.0" encoding="utf-8"?>
<ds:datastoreItem xmlns:ds="http://schemas.openxmlformats.org/officeDocument/2006/customXml" ds:itemID="{918CF41B-E84E-4E80-9E78-8B0B06484639}"/>
</file>

<file path=customXml/itemProps3.xml><?xml version="1.0" encoding="utf-8"?>
<ds:datastoreItem xmlns:ds="http://schemas.openxmlformats.org/officeDocument/2006/customXml" ds:itemID="{1C8EDFCC-5ABA-4A54-ADC6-4E03B98806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2022-02-22T03:56:14Z</cp:lastPrinted>
  <dcterms:created xsi:type="dcterms:W3CDTF">2019-11-27T23:28:06Z</dcterms:created>
  <dcterms:modified xsi:type="dcterms:W3CDTF">2022-02-22T04:28:52Z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