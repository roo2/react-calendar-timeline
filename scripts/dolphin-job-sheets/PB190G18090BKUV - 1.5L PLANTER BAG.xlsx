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1" documentId="13_ncr:1_{3C38270F-C328-408F-A9EE-3377D99E27CF}" xr6:coauthVersionLast="47" xr6:coauthVersionMax="47" xr10:uidLastSave="{680F2657-59C8-428C-A297-F49EAF78E94A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H10" i="1" l="1"/>
  <c r="H11" i="1" s="1"/>
  <c r="U13" i="1"/>
  <c r="H8" i="1"/>
  <c r="E10" i="1" s="1"/>
  <c r="E11" i="1" l="1"/>
  <c r="B8" i="1"/>
  <c r="S2" i="1"/>
  <c r="O2" i="1"/>
  <c r="D9" i="1" l="1"/>
  <c r="B11" i="1" s="1"/>
  <c r="A22" i="1"/>
  <c r="C22" i="1" s="1"/>
  <c r="B1" i="1" s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<sst xmlns="http://schemas.openxmlformats.org/spreadsheetml/2006/main" count="310" uniqueCount="206">
  <si>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</si>
  <si>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</si>
  <si>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</si>
  <si>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</si>
  <si>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</si>
  <si>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</si>
  <si>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</si>
  <si>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</si>
  <si>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</si>
  <si>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</si>
  <si>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</si>
  <si>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</si>
  <si>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</si>
  <si>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</si>
  <si>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</si>
  <si>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</si>
  <si>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</si>
  <si>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</si>
  <si>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</si>
  <si>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</si>
  <si>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</si>
  <si>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</si>
  <si>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</si>
  <si>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</si>
  <si>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</si>
  <si>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</si>
  <si>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</si>
  <si>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</si>
  <si>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</si>
  <si>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</si>
  <si>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</si>
  <si>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</si>
  <si>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</si>
  <si>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</si>
  <si>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</si>
  <si>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</si>
  <si>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</si>
  <si>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</si>
  <si>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</si>
  <si>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</si>
  <si>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</si>
  <si>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</si>
  <si>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</si>
  <si>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</si>
  <si>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</si>
  <si>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</si>
  <si>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</si>
  <si>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</si>
  <si>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</si>
  <si>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</si>
  <si>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</si>
  <si>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</si>
  <si>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</si>
  <si>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</si>
  <si>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</si>
  <si>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</si>
  <si>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</si>
  <si>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</si>
  <si>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</si>
  <si>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</si>
  <si>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</si>
  <si>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</si>
  <si>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</si>
  <si>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</si>
  <si>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</si>
  <si>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</si>
  <si>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</si>
  <si>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</si>
  <si>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</si>
  <si>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</si>
  <si>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</si>
  <si>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</si>
  <si>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</si>
  <si>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</si>
  <si>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</si>
  <si>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</si>
  <si>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</si>
  <si>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</si>
  <si>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</si>
  <si>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</si>
  <si>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</si>
  <si>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</si>
  <si>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</si>
  <si>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</si>
  <si>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</si>
  <si>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</si>
  <si>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</si>
  <si>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</si>
  <si>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</si>
  <si>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</si>
  <si>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</si>
  <si>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</si>
  <si>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</si>
  <si>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</si>
  <si>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</si>
  <si>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</si>
  <si>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</si>
  <si>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</si>
  <si>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</si>
  <si>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</si>
  <si>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</si>
  <si>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</si>
  <si>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</si>
  <si>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</si>
  <si>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</si>
  <si>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</si>
  <si>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</si>
  <si>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</si>
  <si>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</si>
  <si>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</si>
  <si>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</si>
  <si>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</si>
  <si>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</si>
  <si>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</si>
  <si>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</si>
  <si>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</si>
  <si>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</si>
  <si>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</si>
  <si>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</si>
  <si>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</si>
  <si>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</si>
  <si>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</si>
  <si>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</si>
  <si>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</si>
  <si>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</si>
  <si>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</si>
  <si>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</si>
  <si>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</si>
  <si>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</si>
  <si>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</si>
  <si>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</si>
  <si>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</si>
  <si>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</si>
  <si>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</si>
  <si>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</si>
  <si>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</si>
  <si>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</si>
  <si>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</si>
  <si>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</si>
  <si>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</si>
  <si>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</si>
  <si>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</si>
  <si>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</si>
  <si>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</si>
  <si>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</si>
  <si>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</si>
  <si>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</si>
  <si>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</si>
  <si>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</si>
  <si>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</si>
  <si>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</si>
  <si>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</si>
  <si>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</si>
  <si>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</si>
  <si>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</si>
  <si>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</si>
  <si>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</si>
  <si>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</si>
  <si>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</si>
  <si>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</si>
  <si>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</si>
  <si>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</si>
  <si>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</si>
  <si>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</si>
  <si>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</si>
  <si>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</si>
  <si>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</si>
  <si>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</si>
  <si>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</si>
  <si>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</si>
  <si>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</si>
  <si>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</si>
  <si>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</si>
  <si>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</si>
  <si>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</si>
  <si>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</si>
  <si>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</si>
  <si>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</si>
  <si>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</si>
  <si>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</si>
  <si>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</si>
  <si>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</si>
  <si>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</si>
  <si>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</si>
  <si>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</si>
  <si>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</si>
  <si>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</si>
  <si>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</si>
  <si>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</si>
  <si>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</si>
  <si>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</si>
  <si>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</si>
  <si>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</si>
  <si>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</si>
  <si>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 xml:space="preserve"> +/-5mm</t>
  </si>
  <si>
    <t>UV</t>
  </si>
  <si>
    <t>HT CONCEPTS</t>
  </si>
  <si>
    <t>ASAP</t>
  </si>
  <si>
    <t>Centrefold Roll</t>
  </si>
  <si>
    <t>(100+90)</t>
  </si>
  <si>
    <t xml:space="preserve">PERF </t>
  </si>
  <si>
    <t>1.5L PLANTER BAG</t>
  </si>
  <si>
    <t>130 Meat</t>
  </si>
  <si>
    <t>150 Meat</t>
  </si>
  <si>
    <t>22.06.2022</t>
  </si>
  <si>
    <t>130MEAT CARTONS ONLY - BUNDLES MUST BE IN PACKS OF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</si>
</sst>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7" fillId="5" borderId="5" xfId="0" applyFont="1" applyFill="1" applyBorder="1" applyAlignment="1" applyProtection="1">
      <alignment horizontal="center"/>
      <protection locked="0"/>
    </xf>
    <xf numFmtId="0" fontId="18" fillId="5" borderId="4" xfId="0" applyFont="1" applyFill="1" applyBorder="1"/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/>
      <protection locked="0"/>
    </xf>
    <xf numFmtId="0" fontId="3" fillId="0" borderId="3" xfId="0" applyFont="1" applyBorder="1" applyAlignment="1" applyProtection="1">
      <alignment horizontal="center" vertical="top"/>
      <protection locked="0"/>
    </xf>
    <xf numFmtId="0" fontId="3" fillId="0" borderId="8" xfId="0" applyFont="1" applyBorder="1" applyAlignment="1" applyProtection="1">
      <alignment horizontal="center" vertical="top"/>
      <protection locked="0"/>
    </xf>
    <xf numFmtId="0" fontId="3" fillId="0" borderId="9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0" fontId="3" fillId="0" borderId="10" xfId="0" applyFont="1" applyBorder="1" applyAlignment="1" applyProtection="1">
      <alignment horizontal="center" vertical="top"/>
      <protection locked="0"/>
    </xf>
    <xf numFmtId="0" fontId="3" fillId="0" borderId="11" xfId="0" applyFont="1" applyBorder="1" applyAlignment="1" applyProtection="1">
      <alignment horizontal="center" vertical="top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U10" sqref="U10:Y11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PB190G18090BKUVV</v>
      </c>
      <c r="C1" s="111"/>
      <c r="D1" s="112"/>
      <c r="E1" s="11" t="s">
        <v>57</v>
      </c>
      <c r="F1" s="65" t="s">
        <v>196</v>
      </c>
      <c r="G1" s="65"/>
      <c r="H1" s="66"/>
      <c r="I1" s="12" t="s">
        <v>181</v>
      </c>
      <c r="J1" s="122" t="s">
        <v>204</v>
      </c>
      <c r="K1" s="122"/>
      <c r="L1" s="123"/>
      <c r="M1" s="30"/>
      <c r="N1" s="11" t="s">
        <v>56</v>
      </c>
      <c r="O1" s="111" t="str">
        <f>B1</f>
        <v>PB190G18090BKUVV</v>
      </c>
      <c r="P1" s="111"/>
      <c r="Q1" s="112"/>
      <c r="R1" s="11" t="s">
        <v>57</v>
      </c>
      <c r="S1" s="111" t="str">
        <f>F1</f>
        <v>HT CONCEPTS</v>
      </c>
      <c r="T1" s="111"/>
      <c r="U1" s="112"/>
      <c r="V1" s="11" t="s">
        <v>181</v>
      </c>
      <c r="W1" s="122" t="str">
        <f>J1</f>
        <v>22.06.2022</v>
      </c>
      <c r="X1" s="122"/>
      <c r="Y1" s="123"/>
    </row>
    <row r="2" spans="1:25" ht="20.100000000000001" customHeight="1" x14ac:dyDescent="0.25">
      <c r="A2" s="11" t="s">
        <v>100</v>
      </c>
      <c r="B2" s="111" t="str">
        <f>IF(U10="","",U10)</f>
        <v>1.5L PLANTER BAG</v>
      </c>
      <c r="C2" s="111"/>
      <c r="D2" s="112"/>
      <c r="E2" s="11" t="s">
        <v>58</v>
      </c>
      <c r="F2" s="65">
        <v>943663</v>
      </c>
      <c r="G2" s="65"/>
      <c r="H2" s="66"/>
      <c r="I2" s="11" t="s">
        <v>59</v>
      </c>
      <c r="J2" s="125">
        <v>44782</v>
      </c>
      <c r="K2" s="65"/>
      <c r="L2" s="66"/>
      <c r="M2" s="30"/>
      <c r="N2" s="11" t="s">
        <v>100</v>
      </c>
      <c r="O2" s="111" t="str">
        <f>IF(B2="","",B2)</f>
        <v>1.5L PLANTER BAG</v>
      </c>
      <c r="P2" s="111"/>
      <c r="Q2" s="112"/>
      <c r="R2" s="11" t="s">
        <v>58</v>
      </c>
      <c r="S2" s="111">
        <f>IF(F2="","",F2)</f>
        <v>943663</v>
      </c>
      <c r="T2" s="111"/>
      <c r="U2" s="112"/>
      <c r="V2" s="11" t="s">
        <v>59</v>
      </c>
      <c r="W2" s="124">
        <f>J2</f>
        <v>44782</v>
      </c>
      <c r="X2" s="111"/>
      <c r="Y2" s="112"/>
    </row>
    <row r="3" spans="1:25" ht="20.100000000000001" customHeight="1" x14ac:dyDescent="0.25">
      <c r="A3" s="113" t="s">
        <v>193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0"/>
      <c r="N3" s="113" t="str">
        <f>A3</f>
        <v>SPOT ON FINISH. USE DOLPHIN REMILL, MUST NOT BE BLOCKED.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0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0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3"/>
      <c r="K6" s="73"/>
      <c r="L6" s="74"/>
      <c r="M6" s="30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00000000000001" customHeight="1" x14ac:dyDescent="0.3">
      <c r="A7" s="11" t="s">
        <v>49</v>
      </c>
      <c r="B7" s="103" t="s">
        <v>177</v>
      </c>
      <c r="C7" s="103"/>
      <c r="D7" s="103"/>
      <c r="E7" s="103"/>
      <c r="F7" s="103"/>
      <c r="G7" s="103"/>
      <c r="H7" s="103"/>
      <c r="I7" s="104"/>
      <c r="J7" s="70" t="s">
        <v>179</v>
      </c>
      <c r="K7" s="70"/>
      <c r="L7" s="71"/>
      <c r="M7" s="30"/>
      <c r="N7" s="11" t="str">
        <f>IF(ISNUMBER(SEARCH("roll",O8,1)),"No. Rolls","No. Cartons")</f>
        <v>No. Cartons</v>
      </c>
      <c r="O7" s="65">
        <v>20</v>
      </c>
      <c r="P7" s="66"/>
      <c r="Q7" s="11" t="str">
        <f>IF(ISNUMBER(SEARCH("roll",O8,1)),"Per Roll","Per Carton")</f>
        <v>Per Carton</v>
      </c>
      <c r="R7" s="65">
        <v>2000</v>
      </c>
      <c r="S7" s="66"/>
      <c r="T7" s="11" t="str">
        <f>IF(ISNUMBER(SEARCH("bag",O8,1)),"Total Bags","Total Sheets")</f>
        <v>Total Bags</v>
      </c>
      <c r="U7" s="111">
        <v>18000</v>
      </c>
      <c r="V7" s="112"/>
      <c r="W7" s="11" t="s">
        <v>102</v>
      </c>
      <c r="X7" s="65" t="s">
        <v>23</v>
      </c>
      <c r="Y7" s="66"/>
    </row>
    <row r="8" spans="1:25" ht="20.100000000000001" customHeight="1" x14ac:dyDescent="0.25">
      <c r="A8" s="13" t="s">
        <v>16</v>
      </c>
      <c r="B8" s="99">
        <f>R9</f>
        <v>190</v>
      </c>
      <c r="C8" s="100"/>
      <c r="D8" s="13" t="str">
        <f>IF(ISNUMBER(SEARCH("bag",O8,1)),"Gusset","Centrefold")</f>
        <v>Gusset</v>
      </c>
      <c r="E8" s="99" t="str">
        <f>IF(O8="Centrefold Roll",B8*2,IF(X9="","None",X9))</f>
        <v>(100+90)</v>
      </c>
      <c r="F8" s="100"/>
      <c r="G8" s="13" t="s">
        <v>52</v>
      </c>
      <c r="H8" s="99">
        <f>(IF(V9&lt;30,"30",V9))</f>
        <v>90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30"/>
      <c r="N8" s="14" t="s">
        <v>54</v>
      </c>
      <c r="O8" s="101" t="s">
        <v>164</v>
      </c>
      <c r="P8" s="102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G</v>
      </c>
      <c r="Y8" s="98"/>
    </row>
    <row r="9" spans="1:25" ht="20.100000000000001" customHeight="1" x14ac:dyDescent="0.3">
      <c r="A9" s="17" t="s">
        <v>48</v>
      </c>
      <c r="B9" s="128" t="s">
        <v>182</v>
      </c>
      <c r="C9" s="129"/>
      <c r="D9" s="136" t="str">
        <f>IF(K10="Middle","RUN 2 UP",IF(AND(O8="Centrefold Roll",B8=380),"RUN 2 UP",""))</f>
        <v/>
      </c>
      <c r="E9" s="103"/>
      <c r="F9" s="104"/>
      <c r="G9" s="17" t="s">
        <v>48</v>
      </c>
      <c r="H9" s="128" t="s">
        <v>194</v>
      </c>
      <c r="I9" s="129"/>
      <c r="J9" s="11" t="s">
        <v>55</v>
      </c>
      <c r="K9" s="65" t="s">
        <v>30</v>
      </c>
      <c r="L9" s="66"/>
      <c r="M9" s="30"/>
      <c r="N9" s="18"/>
      <c r="O9" s="105" t="str">
        <f>IF(O8="Poly Bag","PB",IF(O8="Poly Bag Roll","PBR",IF(O8="Centrefold Roll","CFR",IF(O8="Sheet","S",IF(O8="Sheet Roll","SR")))))</f>
        <v>PB</v>
      </c>
      <c r="P9" s="106"/>
      <c r="Q9" s="18"/>
      <c r="R9" s="31">
        <v>190</v>
      </c>
      <c r="S9" s="19" t="s">
        <v>78</v>
      </c>
      <c r="T9" s="31">
        <v>180</v>
      </c>
      <c r="U9" s="19" t="s">
        <v>78</v>
      </c>
      <c r="V9" s="31">
        <v>90</v>
      </c>
      <c r="W9" s="18"/>
      <c r="X9" s="91" t="s">
        <v>199</v>
      </c>
      <c r="Y9" s="92"/>
    </row>
    <row r="10" spans="1:25" ht="20.100000000000001" customHeight="1" x14ac:dyDescent="0.25">
      <c r="A10" s="11" t="s">
        <v>51</v>
      </c>
      <c r="B10" s="65">
        <v>16</v>
      </c>
      <c r="C10" s="66"/>
      <c r="D10" s="48" t="s">
        <v>134</v>
      </c>
      <c r="E10" s="130">
        <f>IF(ISNUMBER(SEARCH("sheet",O8,1)),((R9*T9*H8/540000)*U7/2000*1.3),((R9*T9*H8/540000)*U7/1000*1.08))</f>
        <v>110.80800000000001</v>
      </c>
      <c r="F10" s="131"/>
      <c r="G10" s="11" t="s">
        <v>53</v>
      </c>
      <c r="H10" s="134">
        <f>IF(ISNUMBER(SEARCH("sheet",O8,1)),(U7*T9/2000*1.08),(U7*T9/1000*1.08))</f>
        <v>3499.2000000000003</v>
      </c>
      <c r="I10" s="135"/>
      <c r="J10" s="11" t="s">
        <v>41</v>
      </c>
      <c r="K10" s="65" t="s">
        <v>44</v>
      </c>
      <c r="L10" s="66"/>
      <c r="M10" s="30"/>
      <c r="N10" s="14" t="s">
        <v>141</v>
      </c>
      <c r="O10" s="101" t="s">
        <v>189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201</v>
      </c>
      <c r="V10" s="107"/>
      <c r="W10" s="107"/>
      <c r="X10" s="107"/>
      <c r="Y10" s="108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2">
        <f>E10/B10</f>
        <v>6.9255000000000004</v>
      </c>
      <c r="F11" s="133"/>
      <c r="G11" s="11" t="s">
        <v>15</v>
      </c>
      <c r="H11" s="132">
        <f>H10/B10</f>
        <v>218.70000000000002</v>
      </c>
      <c r="I11" s="133"/>
      <c r="J11" s="11" t="s">
        <v>50</v>
      </c>
      <c r="K11" s="65" t="s">
        <v>44</v>
      </c>
      <c r="L11" s="66"/>
      <c r="M11" s="30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00000000000001" customHeight="1" x14ac:dyDescent="0.2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30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00000000000001" customHeight="1" x14ac:dyDescent="0.25">
      <c r="A13" s="11" t="s">
        <v>68</v>
      </c>
      <c r="B13" s="65" t="s">
        <v>44</v>
      </c>
      <c r="C13" s="65"/>
      <c r="D13" s="66"/>
      <c r="E13" s="20" t="s">
        <v>61</v>
      </c>
      <c r="F13" s="65" t="s">
        <v>44</v>
      </c>
      <c r="G13" s="65"/>
      <c r="H13" s="66"/>
      <c r="I13" s="11" t="s">
        <v>62</v>
      </c>
      <c r="J13" s="65" t="s">
        <v>44</v>
      </c>
      <c r="K13" s="65"/>
      <c r="L13" s="66"/>
      <c r="M13" s="30"/>
      <c r="N13" s="11" t="s">
        <v>72</v>
      </c>
      <c r="O13" s="32" t="s">
        <v>57</v>
      </c>
      <c r="P13" s="11" t="s">
        <v>73</v>
      </c>
      <c r="Q13" s="21">
        <f>O7</f>
        <v>20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61" t="s">
        <v>75</v>
      </c>
      <c r="W13" s="60">
        <v>50</v>
      </c>
      <c r="X13" s="11" t="s">
        <v>76</v>
      </c>
      <c r="Y13" s="33"/>
    </row>
    <row r="14" spans="1:25" ht="20.100000000000001" customHeight="1" x14ac:dyDescent="0.3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30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00000000000001" customHeight="1" x14ac:dyDescent="0.2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30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00000000000001" customHeight="1" x14ac:dyDescent="0.25">
      <c r="A16" s="69" t="s">
        <v>3</v>
      </c>
      <c r="B16" s="71"/>
      <c r="C16" s="69" t="s">
        <v>142</v>
      </c>
      <c r="D16" s="71"/>
      <c r="E16" s="149" t="s">
        <v>4</v>
      </c>
      <c r="F16" s="149"/>
      <c r="G16" s="149" t="s">
        <v>5</v>
      </c>
      <c r="H16" s="149"/>
      <c r="I16" s="70" t="s">
        <v>11</v>
      </c>
      <c r="J16" s="71"/>
      <c r="K16" s="70" t="s">
        <v>12</v>
      </c>
      <c r="L16" s="71"/>
      <c r="M16" s="30"/>
      <c r="N16" s="11" t="s">
        <v>28</v>
      </c>
      <c r="O16" s="65" t="s">
        <v>202</v>
      </c>
      <c r="P16" s="66"/>
      <c r="Q16" s="11" t="s">
        <v>105</v>
      </c>
      <c r="R16" s="65" t="s">
        <v>23</v>
      </c>
      <c r="S16" s="66"/>
      <c r="T16" s="12" t="s">
        <v>103</v>
      </c>
      <c r="U16" s="65" t="s">
        <v>31</v>
      </c>
      <c r="V16" s="66"/>
      <c r="W16" s="11" t="str">
        <f>IF(ISNUMBER(SEARCH("bag",O8,1)),"Total Bags","Total Sheets")</f>
        <v>Total Bags</v>
      </c>
      <c r="X16" s="67"/>
      <c r="Y16" s="68"/>
    </row>
    <row r="17" spans="1:25" ht="20.100000000000001" customHeight="1" x14ac:dyDescent="0.25">
      <c r="A17" s="64" t="s">
        <v>6</v>
      </c>
      <c r="B17" s="64"/>
      <c r="C17" s="95" t="s">
        <v>147</v>
      </c>
      <c r="D17" s="96"/>
      <c r="E17" s="62"/>
      <c r="F17" s="63"/>
      <c r="G17" s="49" t="s">
        <v>81</v>
      </c>
      <c r="H17" s="33"/>
      <c r="I17" s="62"/>
      <c r="J17" s="63"/>
      <c r="K17" s="62"/>
      <c r="L17" s="63"/>
      <c r="M17" s="30"/>
      <c r="N17" s="11" t="s">
        <v>26</v>
      </c>
      <c r="O17" s="65" t="s">
        <v>37</v>
      </c>
      <c r="P17" s="66"/>
      <c r="Q17" s="11" t="s">
        <v>104</v>
      </c>
      <c r="R17" s="65" t="s">
        <v>31</v>
      </c>
      <c r="S17" s="66"/>
      <c r="T17" s="12" t="str">
        <f>IF(ISNUMBER(SEARCH("roll",O8,1)),"Part Rolls","Part Ctns")</f>
        <v>Part Ctns</v>
      </c>
      <c r="U17" s="65" t="s">
        <v>31</v>
      </c>
      <c r="V17" s="66"/>
      <c r="W17" s="11" t="str">
        <f>IF(ISNUMBER(SEARCH("roll",O8,1)),"Total Rolls","Total Ctns")</f>
        <v>Total Ctns</v>
      </c>
      <c r="X17" s="67"/>
      <c r="Y17" s="68"/>
    </row>
    <row r="18" spans="1:25" ht="20.100000000000001" customHeight="1" x14ac:dyDescent="0.25">
      <c r="A18" s="64" t="s">
        <v>7</v>
      </c>
      <c r="B18" s="64"/>
      <c r="C18" s="95" t="s">
        <v>146</v>
      </c>
      <c r="D18" s="96"/>
      <c r="E18" s="62"/>
      <c r="F18" s="63"/>
      <c r="G18" s="49" t="s">
        <v>82</v>
      </c>
      <c r="H18" s="33"/>
      <c r="I18" s="62"/>
      <c r="J18" s="63"/>
      <c r="K18" s="62"/>
      <c r="L18" s="63"/>
      <c r="M18" s="30"/>
      <c r="N18" s="11" t="s">
        <v>101</v>
      </c>
      <c r="O18" s="65" t="s">
        <v>186</v>
      </c>
      <c r="P18" s="66"/>
      <c r="Q18" s="11" t="s">
        <v>106</v>
      </c>
      <c r="R18" s="65" t="s">
        <v>31</v>
      </c>
      <c r="S18" s="66"/>
      <c r="T18" s="22" t="s">
        <v>27</v>
      </c>
      <c r="U18" s="65" t="s">
        <v>36</v>
      </c>
      <c r="V18" s="66"/>
      <c r="W18" s="11" t="s">
        <v>109</v>
      </c>
      <c r="X18" s="67"/>
      <c r="Y18" s="68"/>
    </row>
    <row r="19" spans="1:25" ht="20.100000000000001" customHeight="1" x14ac:dyDescent="0.25">
      <c r="A19" s="64" t="s">
        <v>8</v>
      </c>
      <c r="B19" s="64"/>
      <c r="C19" s="95" t="s">
        <v>145</v>
      </c>
      <c r="D19" s="96"/>
      <c r="E19" s="62"/>
      <c r="F19" s="63"/>
      <c r="G19" s="49" t="s">
        <v>83</v>
      </c>
      <c r="H19" s="33"/>
      <c r="I19" s="62"/>
      <c r="J19" s="63"/>
      <c r="K19" s="62"/>
      <c r="L19" s="63"/>
      <c r="M19" s="30"/>
      <c r="N19" s="78" t="s">
        <v>205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00000000000001" customHeight="1" x14ac:dyDescent="0.25">
      <c r="A20" s="64" t="s">
        <v>9</v>
      </c>
      <c r="B20" s="64"/>
      <c r="C20" s="95" t="s">
        <v>144</v>
      </c>
      <c r="D20" s="96"/>
      <c r="E20" s="62"/>
      <c r="F20" s="63"/>
      <c r="G20" s="49" t="s">
        <v>84</v>
      </c>
      <c r="H20" s="33"/>
      <c r="I20" s="62"/>
      <c r="J20" s="63"/>
      <c r="K20" s="62"/>
      <c r="L20" s="63"/>
      <c r="M20" s="3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00000000000001" customHeight="1" x14ac:dyDescent="0.25">
      <c r="A21" s="64" t="s">
        <v>10</v>
      </c>
      <c r="B21" s="64"/>
      <c r="C21" s="95" t="s">
        <v>143</v>
      </c>
      <c r="D21" s="96"/>
      <c r="E21" s="62"/>
      <c r="F21" s="63"/>
      <c r="G21" s="49" t="s">
        <v>85</v>
      </c>
      <c r="H21" s="33"/>
      <c r="I21" s="62"/>
      <c r="J21" s="63"/>
      <c r="K21" s="62"/>
      <c r="L21" s="63"/>
      <c r="M21" s="3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00000000000001" customHeight="1" x14ac:dyDescent="0.25">
      <c r="A22" s="64" t="str">
        <f>(IF(B7="NATURAL","",B7))</f>
        <v>BLACK</v>
      </c>
      <c r="B22" s="64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6"/>
      <c r="E22" s="62"/>
      <c r="F22" s="63"/>
      <c r="G22" s="49" t="s">
        <v>86</v>
      </c>
      <c r="H22" s="33"/>
      <c r="I22" s="62"/>
      <c r="J22" s="63"/>
      <c r="K22" s="62"/>
      <c r="L22" s="63"/>
      <c r="M22" s="3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00000000000001" customHeight="1" x14ac:dyDescent="0.25">
      <c r="A23" s="150" t="s">
        <v>195</v>
      </c>
      <c r="B23" s="150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6"/>
      <c r="E23" s="62"/>
      <c r="F23" s="63"/>
      <c r="G23" s="49" t="s">
        <v>87</v>
      </c>
      <c r="H23" s="33"/>
      <c r="I23" s="62"/>
      <c r="J23" s="63"/>
      <c r="K23" s="62"/>
      <c r="L23" s="63"/>
      <c r="M23" s="30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00000000000001" customHeight="1" x14ac:dyDescent="0.25">
      <c r="A24" s="151"/>
      <c r="B24" s="152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62"/>
      <c r="F24" s="63"/>
      <c r="G24" s="49" t="s">
        <v>88</v>
      </c>
      <c r="H24" s="33"/>
      <c r="I24" s="62"/>
      <c r="J24" s="63"/>
      <c r="K24" s="62"/>
      <c r="L24" s="63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00000000000001" customHeight="1" x14ac:dyDescent="0.2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30"/>
      <c r="N25" s="23" t="s">
        <v>96</v>
      </c>
      <c r="O25" s="10" t="s">
        <v>200</v>
      </c>
      <c r="P25" s="35"/>
      <c r="Q25" s="10">
        <v>21</v>
      </c>
      <c r="R25" s="10">
        <v>6</v>
      </c>
      <c r="S25" s="10"/>
      <c r="T25" s="10">
        <v>8</v>
      </c>
      <c r="U25" s="10"/>
      <c r="V25" s="10">
        <v>3</v>
      </c>
      <c r="W25" s="10">
        <v>200</v>
      </c>
      <c r="X25" s="10">
        <v>200</v>
      </c>
      <c r="Y25" s="10"/>
    </row>
    <row r="26" spans="1:25" ht="20.100000000000001" customHeight="1" x14ac:dyDescent="0.2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4" t="s">
        <v>132</v>
      </c>
      <c r="H26" s="94"/>
      <c r="I26" s="94" t="s">
        <v>131</v>
      </c>
      <c r="J26" s="94"/>
      <c r="K26" s="25" t="s">
        <v>94</v>
      </c>
      <c r="L26" s="25" t="s">
        <v>95</v>
      </c>
      <c r="M26" s="30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23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00000000000001" customHeight="1" x14ac:dyDescent="0.25">
      <c r="A28" s="23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00000000000001" customHeight="1" x14ac:dyDescent="0.2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00000000000001" customHeight="1" x14ac:dyDescent="0.2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00000000000001" customHeight="1" x14ac:dyDescent="0.2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00000000000001" customHeight="1" x14ac:dyDescent="0.2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00000000000001" customHeight="1" x14ac:dyDescent="0.2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00000000000001" customHeight="1" x14ac:dyDescent="0.2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00000000000001" customHeight="1" x14ac:dyDescent="0.2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00000000000001" customHeight="1" x14ac:dyDescent="0.2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00000000000001" customHeight="1" x14ac:dyDescent="0.2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00000000000001" customHeight="1" x14ac:dyDescent="0.2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00000000000001" customHeight="1" x14ac:dyDescent="0.2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00000000000001" customHeight="1" x14ac:dyDescent="0.2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00000000000001" customHeight="1" x14ac:dyDescent="0.25">
      <c r="N43" s="52"/>
    </row>
    <row r="44" spans="1:25" ht="20.100000000000001" customHeight="1" x14ac:dyDescent="0.2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00000000000001" customHeight="1" x14ac:dyDescent="0.2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00000000000001" customHeight="1" x14ac:dyDescent="0.2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00000000000001" customHeight="1" x14ac:dyDescent="0.2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00000000000001" customHeight="1" x14ac:dyDescent="0.2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00000000000001" customHeight="1" x14ac:dyDescent="0.2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00000000000001" customHeight="1" x14ac:dyDescent="0.2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00000000000001" customHeight="1" x14ac:dyDescent="0.2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00000000000001" customHeight="1" x14ac:dyDescent="0.2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00000000000001" customHeight="1" x14ac:dyDescent="0.2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00000000000001" customHeight="1" x14ac:dyDescent="0.2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00000000000001" customHeight="1" x14ac:dyDescent="0.2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00000000000001" customHeight="1" x14ac:dyDescent="0.2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00000000000001" customHeight="1" x14ac:dyDescent="0.2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00000000000001" customHeight="1" x14ac:dyDescent="0.2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00000000000001" customHeight="1" x14ac:dyDescent="0.2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00000000000001" customHeight="1" x14ac:dyDescent="0.2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00000000000001" customHeight="1" x14ac:dyDescent="0.2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00000000000001" customHeight="1" x14ac:dyDescent="0.2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00000000000001" customHeight="1" x14ac:dyDescent="0.2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00000000000001" customHeight="1" x14ac:dyDescent="0.2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00000000000001" customHeight="1" x14ac:dyDescent="0.2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00000000000001" customHeight="1" x14ac:dyDescent="0.2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00000000000001" customHeight="1" x14ac:dyDescent="0.2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00000000000001" customHeight="1" x14ac:dyDescent="0.2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00000000000001" customHeight="1" x14ac:dyDescent="0.2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00000000000001" customHeight="1" x14ac:dyDescent="0.2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00000000000001" customHeight="1" x14ac:dyDescent="0.2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00000000000001" customHeight="1" x14ac:dyDescent="0.2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00000000000001" customHeight="1" x14ac:dyDescent="0.2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00000000000001" customHeight="1" x14ac:dyDescent="0.2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00000000000001" customHeight="1" x14ac:dyDescent="0.2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00000000000001" customHeight="1" x14ac:dyDescent="0.2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00000000000001" customHeight="1" x14ac:dyDescent="0.2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00000000000001" customHeight="1" x14ac:dyDescent="0.2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00000000000001" customHeight="1" x14ac:dyDescent="0.2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00000000000001" customHeight="1" x14ac:dyDescent="0.2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00000000000001" customHeight="1" x14ac:dyDescent="0.2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00000000000001" customHeight="1" x14ac:dyDescent="0.2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00000000000001" customHeight="1" x14ac:dyDescent="0.2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00000000000001" customHeight="1" x14ac:dyDescent="0.2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00000000000001" customHeight="1" x14ac:dyDescent="0.2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2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 t="e">
        <f>DATE(YEAR(Sheet1!J1),MONTH(Sheet1!J1)+1,DAY(Sheet1!J1))</f>
        <v>#VALUE!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 t="e">
        <f>DATE(YEAR(Sheet1!J1),MONTH(Sheet1!J1),DAY(Sheet1!J1)+21)</f>
        <v>#VALUE!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2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2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2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2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2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2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2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2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2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2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2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202</v>
      </c>
      <c r="U33" s="1"/>
      <c r="V33" s="1"/>
    </row>
    <row r="34" spans="1:22" x14ac:dyDescent="0.2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203</v>
      </c>
      <c r="U34" s="1"/>
      <c r="V34" s="1"/>
    </row>
    <row r="35" spans="1:22" x14ac:dyDescent="0.2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2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2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2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2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2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2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2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2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2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2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2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2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2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2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2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2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2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2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2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2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2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2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25">
      <c r="A59" s="56" t="s">
        <v>148</v>
      </c>
    </row>
    <row r="60" spans="1:20" x14ac:dyDescent="0.25">
      <c r="A60" s="56" t="s">
        <v>149</v>
      </c>
      <c r="O60" s="1"/>
      <c r="Q60" s="1"/>
      <c r="R60" s="3"/>
      <c r="S60" s="1"/>
    </row>
    <row r="61" spans="1:20" x14ac:dyDescent="0.25">
      <c r="A61" s="56" t="s">
        <v>150</v>
      </c>
      <c r="O61" s="1"/>
      <c r="Q61" s="1"/>
      <c r="R61" s="1"/>
      <c r="S61" s="1"/>
    </row>
    <row r="62" spans="1:20" x14ac:dyDescent="0.25">
      <c r="A62" s="56" t="s">
        <v>151</v>
      </c>
      <c r="O62" s="1"/>
      <c r="Q62" s="1"/>
      <c r="R62" s="1"/>
      <c r="S62" s="1"/>
    </row>
    <row r="63" spans="1:20" x14ac:dyDescent="0.25">
      <c r="A63" s="56" t="s">
        <v>152</v>
      </c>
      <c r="O63" s="1"/>
      <c r="Q63" s="1"/>
      <c r="R63" s="1"/>
      <c r="S63" s="1"/>
      <c r="T63" s="1"/>
    </row>
    <row r="64" spans="1:20" x14ac:dyDescent="0.25">
      <c r="A64" s="56" t="s">
        <v>153</v>
      </c>
      <c r="O64" s="1"/>
      <c r="Q64" s="1"/>
      <c r="R64" s="1"/>
      <c r="S64" s="1"/>
      <c r="T64" s="1"/>
    </row>
    <row r="65" spans="1:20" x14ac:dyDescent="0.2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6DB052-01AD-4D52-81DF-DF52AB564C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D4A723-D6E5-4AF1-B45F-079542667121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customXml/itemProps3.xml><?xml version="1.0" encoding="utf-8"?>
<ds:datastoreItem xmlns:ds="http://schemas.openxmlformats.org/officeDocument/2006/customXml" ds:itemID="{6EBCD134-4145-4BEF-BCF7-E532B79466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2022-07-19T00:57:05Z</cp:lastPrinted>
  <dcterms:created xsi:type="dcterms:W3CDTF">2019-11-27T23:28:06Z</dcterms:created>
  <dcterms:modified xsi:type="dcterms:W3CDTF">2026-04-16T05:37:59Z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