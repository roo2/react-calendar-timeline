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6D4DC8B-7877-4F30-BFA9-CEEA9BB854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<sst xmlns="http://schemas.openxmlformats.org/spreadsheetml/2006/main" count="303" uniqueCount="201">
  <si>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</si>
  <si>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</si>
  <si>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</si>
  <si>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</si>
  <si>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</si>
  <si>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</si>
  <si>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</si>
  <si>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</si>
  <si>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</si>
  <si>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</si>
  <si>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</si>
  <si>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</si>
  <si>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</si>
  <si>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</si>
  <si>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</si>
  <si>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</si>
  <si>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</si>
  <si>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</si>
  <si>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</si>
  <si>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</si>
  <si>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</si>
  <si>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</si>
  <si>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</si>
  <si>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</si>
  <si>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</si>
  <si>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</si>
  <si>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</si>
  <si>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</si>
  <si>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</si>
  <si>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</si>
  <si>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</si>
  <si>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</si>
  <si>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</si>
  <si>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</si>
  <si>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</si>
  <si>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</si>
  <si>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</si>
  <si>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</si>
  <si>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</si>
  <si>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</si>
  <si>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</si>
  <si>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</si>
  <si>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</si>
  <si>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</si>
  <si>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</si>
  <si>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</si>
  <si>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</si>
  <si>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</si>
  <si>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</si>
  <si>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</si>
  <si>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</si>
  <si>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</si>
  <si>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</si>
  <si>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</si>
  <si>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</si>
  <si>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</si>
  <si>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</si>
  <si>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</si>
  <si>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</si>
  <si>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</si>
  <si>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</si>
  <si>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</si>
  <si>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</si>
  <si>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</si>
  <si>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</si>
  <si>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</si>
  <si>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</si>
  <si>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</si>
  <si>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</si>
  <si>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</si>
  <si>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</si>
  <si>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</si>
  <si>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</si>
  <si>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</si>
  <si>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</si>
  <si>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</si>
  <si>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</si>
  <si>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</si>
  <si>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</si>
  <si>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</si>
  <si>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</si>
  <si>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</si>
  <si>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</si>
  <si>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</si>
  <si>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</si>
  <si>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</si>
  <si>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</si>
  <si>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</si>
  <si>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</si>
  <si>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</si>
  <si>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</si>
  <si>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</si>
  <si>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</si>
  <si>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</si>
  <si>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</si>
  <si>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</si>
  <si>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</si>
  <si>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</si>
  <si>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</si>
  <si>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</si>
  <si>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</si>
  <si>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</si>
  <si>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</si>
  <si>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</si>
  <si>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</si>
  <si>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</si>
  <si>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</si>
  <si>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</si>
  <si>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</si>
  <si>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</si>
  <si>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</si>
  <si>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</si>
  <si>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</si>
  <si>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</si>
  <si>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</si>
  <si>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</si>
  <si>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</si>
  <si>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</si>
  <si>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</si>
  <si>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</si>
  <si>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</si>
  <si>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</si>
  <si>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</si>
  <si>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</si>
  <si>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</si>
  <si>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</si>
  <si>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</si>
  <si>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</si>
  <si>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</si>
  <si>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</si>
  <si>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</si>
  <si>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</si>
  <si>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</si>
  <si>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</si>
  <si>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</si>
  <si>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</si>
  <si>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</si>
  <si>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</si>
  <si>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</si>
  <si>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</si>
  <si>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</si>
  <si>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</si>
  <si>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</si>
  <si>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</si>
  <si>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</si>
  <si>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</si>
  <si>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</si>
  <si>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</si>
  <si>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</si>
  <si>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</si>
  <si>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</si>
  <si>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</si>
  <si>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</si>
  <si>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</si>
  <si>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</si>
  <si>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</si>
  <si>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</si>
  <si>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</si>
  <si>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</si>
  <si>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</si>
  <si>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</si>
  <si>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</si>
  <si>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</si>
  <si>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</si>
  <si>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</si>
  <si>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</si>
  <si>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</si>
  <si>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</si>
  <si>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</si>
  <si>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</si>
  <si>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</si>
  <si>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</si>
  <si>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</si>
  <si>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</si>
  <si>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</si>
  <si>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</si>
  <si>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</si>
  <si>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</si>
  <si>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</si>
  <si>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</si>
  <si>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</si>
  <si>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</si>
  <si>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</si>
  <si>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</si>
  <si>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</si>
  <si>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</si>
  <si>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</si>
  <si>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</si>
  <si>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</si>
  <si>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</si>
  <si>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</si>
  <si>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</si>
  <si>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</si>
  <si>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</si>
  <si>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ANTISTATIC</t>
  </si>
  <si>
    <t xml:space="preserve"> +/- 5um</t>
  </si>
  <si>
    <t xml:space="preserve"> +/- 5mm</t>
  </si>
  <si>
    <t>PERF</t>
  </si>
  <si>
    <t xml:space="preserve"> FILM MUST NOT BE SPLITTY</t>
  </si>
  <si>
    <t>TRANSPORT SEATING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</si>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</sst>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6" t="str">
        <f>O9&amp;R9&amp;IF(X8="G","G","")&amp;IF(O8="Centrefold Roll","("&amp;E8&amp;")","")&amp;T9&amp;V9&amp;C22&amp;C23&amp;C24&amp;O11&amp;R11</f>
        <v>PBR710150040AS0</v>
      </c>
      <c r="C1" s="96"/>
      <c r="D1" s="97"/>
      <c r="E1" s="15" t="s">
        <v>56</v>
      </c>
      <c r="F1" s="60" t="s">
        <v>199</v>
      </c>
      <c r="G1" s="60"/>
      <c r="H1" s="61"/>
      <c r="I1" s="15" t="s">
        <v>180</v>
      </c>
      <c r="J1" s="107">
        <f ca="1">TODAY()</f>
        <v>45616</v>
      </c>
      <c r="K1" s="107"/>
      <c r="L1" s="108"/>
      <c r="M1" s="29"/>
      <c r="N1" s="15" t="s">
        <v>55</v>
      </c>
      <c r="O1" s="96" t="str">
        <f>B1</f>
        <v>PBR710150040AS0</v>
      </c>
      <c r="P1" s="96"/>
      <c r="Q1" s="97"/>
      <c r="R1" s="15" t="s">
        <v>56</v>
      </c>
      <c r="S1" s="96" t="str">
        <f>F1</f>
        <v>TRANSPORT SEATING</v>
      </c>
      <c r="T1" s="96"/>
      <c r="U1" s="97"/>
      <c r="V1" s="15" t="s">
        <v>180</v>
      </c>
      <c r="W1" s="107">
        <f ca="1">J1</f>
        <v>45616</v>
      </c>
      <c r="X1" s="107"/>
      <c r="Y1" s="108"/>
    </row>
    <row r="2" spans="1:25" ht="20.100000000000001" customHeight="1" x14ac:dyDescent="0.25">
      <c r="A2" s="15" t="s">
        <v>99</v>
      </c>
      <c r="B2" s="96" t="str">
        <f>IF(U10="","",U10)</f>
        <v/>
      </c>
      <c r="C2" s="96"/>
      <c r="D2" s="97"/>
      <c r="E2" s="15" t="s">
        <v>57</v>
      </c>
      <c r="F2" s="60">
        <v>948879</v>
      </c>
      <c r="G2" s="60"/>
      <c r="H2" s="61"/>
      <c r="I2" s="15" t="s">
        <v>58</v>
      </c>
      <c r="J2" s="117">
        <v>45611</v>
      </c>
      <c r="K2" s="60"/>
      <c r="L2" s="61"/>
      <c r="M2" s="29"/>
      <c r="N2" s="15" t="s">
        <v>99</v>
      </c>
      <c r="O2" s="96" t="str">
        <f>IF(B2="","",B2)</f>
        <v/>
      </c>
      <c r="P2" s="96"/>
      <c r="Q2" s="97"/>
      <c r="R2" s="15" t="s">
        <v>57</v>
      </c>
      <c r="S2" s="96">
        <f>IF(F2="","",F2)</f>
        <v>948879</v>
      </c>
      <c r="T2" s="96"/>
      <c r="U2" s="97"/>
      <c r="V2" s="15" t="s">
        <v>58</v>
      </c>
      <c r="W2" s="109">
        <f>J2</f>
        <v>45611</v>
      </c>
      <c r="X2" s="96"/>
      <c r="Y2" s="97"/>
    </row>
    <row r="3" spans="1:25" ht="20.100000000000001" customHeight="1" x14ac:dyDescent="0.25">
      <c r="A3" s="98" t="s">
        <v>198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29"/>
      <c r="N3" s="98" t="str">
        <f>A3</f>
        <v xml:space="preserve"> FILM MUST NOT BE SPLITTY</v>
      </c>
      <c r="O3" s="99"/>
      <c r="P3" s="99"/>
      <c r="Q3" s="99"/>
      <c r="R3" s="99"/>
      <c r="S3" s="99"/>
      <c r="T3" s="99"/>
      <c r="U3" s="99"/>
      <c r="V3" s="99"/>
      <c r="W3" s="99"/>
      <c r="X3" s="99"/>
      <c r="Y3" s="100"/>
    </row>
    <row r="4" spans="1:25" ht="20.100000000000001" customHeigh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29"/>
      <c r="N4" s="101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3"/>
    </row>
    <row r="5" spans="1:25" ht="20.100000000000001" customHeight="1" x14ac:dyDescent="0.25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6"/>
      <c r="M5" s="29"/>
      <c r="N5" s="104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6"/>
    </row>
    <row r="6" spans="1:25" ht="20.100000000000001" customHeight="1" x14ac:dyDescent="0.25">
      <c r="A6" s="128" t="s">
        <v>1</v>
      </c>
      <c r="B6" s="129"/>
      <c r="C6" s="129"/>
      <c r="D6" s="129"/>
      <c r="E6" s="129"/>
      <c r="F6" s="129"/>
      <c r="G6" s="129"/>
      <c r="H6" s="129"/>
      <c r="I6" s="129"/>
      <c r="J6" s="79"/>
      <c r="K6" s="79"/>
      <c r="L6" s="80"/>
      <c r="M6" s="29"/>
      <c r="N6" s="112" t="s">
        <v>1</v>
      </c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4"/>
    </row>
    <row r="7" spans="1:25" ht="20.100000000000001" customHeight="1" x14ac:dyDescent="0.3">
      <c r="A7" s="15" t="s">
        <v>48</v>
      </c>
      <c r="B7" s="67" t="s">
        <v>162</v>
      </c>
      <c r="C7" s="67"/>
      <c r="D7" s="67"/>
      <c r="E7" s="67"/>
      <c r="F7" s="67"/>
      <c r="G7" s="67"/>
      <c r="H7" s="67"/>
      <c r="I7" s="68"/>
      <c r="J7" s="90" t="s">
        <v>178</v>
      </c>
      <c r="K7" s="90"/>
      <c r="L7" s="91"/>
      <c r="M7" s="29"/>
      <c r="N7" s="15" t="str">
        <f>IF(ISNUMBER(SEARCH("roll",O8,1)),"No. Rolls","No. Cartons")</f>
        <v>No. Rolls</v>
      </c>
      <c r="O7" s="60">
        <v>4</v>
      </c>
      <c r="P7" s="61"/>
      <c r="Q7" s="15" t="str">
        <f>IF(ISNUMBER(SEARCH("roll",O8,1)),"Per Roll","Per Carton")</f>
        <v>Per Roll</v>
      </c>
      <c r="R7" s="60">
        <v>250</v>
      </c>
      <c r="S7" s="61"/>
      <c r="T7" s="15" t="str">
        <f>IF(ISNUMBER(SEARCH("bag",O8,1)),"Total Bags","Total Sheets")</f>
        <v>Total Bags</v>
      </c>
      <c r="U7" s="96">
        <f>R7*O7</f>
        <v>1000</v>
      </c>
      <c r="V7" s="97"/>
      <c r="W7" s="15" t="s">
        <v>101</v>
      </c>
      <c r="X7" s="60" t="s">
        <v>22</v>
      </c>
      <c r="Y7" s="61"/>
    </row>
    <row r="8" spans="1:25" ht="20.100000000000001" customHeight="1" x14ac:dyDescent="0.25">
      <c r="A8" s="16" t="s">
        <v>15</v>
      </c>
      <c r="B8" s="115">
        <f>R9</f>
        <v>710</v>
      </c>
      <c r="C8" s="116"/>
      <c r="D8" s="19" t="str">
        <f>IF(ISNUMBER(SEARCH("bag",#REF!,1)),"Gusset","Centrefold")</f>
        <v>Centrefold</v>
      </c>
      <c r="E8" s="115" t="str">
        <f>IF(O8="Centrefold Roll",B8*2,IF(X9="","None",X9))</f>
        <v>None</v>
      </c>
      <c r="F8" s="116"/>
      <c r="G8" s="16" t="s">
        <v>51</v>
      </c>
      <c r="H8" s="115">
        <f>(IF(V9&lt;30,"30",V9))</f>
        <v>40</v>
      </c>
      <c r="I8" s="116"/>
      <c r="J8" s="15" t="s">
        <v>53</v>
      </c>
      <c r="K8" s="96" t="str">
        <f>IF(X8="None","Layflat Tube",IF(X8="","Layflat Tube",IF(X8="CF","Layflat Tube",IF(X8="G","Gusset Tube",IF(X9="","Layflat Tube",)))))</f>
        <v>Layflat Tube</v>
      </c>
      <c r="L8" s="97"/>
      <c r="M8" s="29"/>
      <c r="N8" s="17" t="s">
        <v>53</v>
      </c>
      <c r="O8" s="124" t="s">
        <v>164</v>
      </c>
      <c r="P8" s="12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None</v>
      </c>
      <c r="Y8" s="111"/>
    </row>
    <row r="9" spans="1:25" ht="20.100000000000001" customHeight="1" x14ac:dyDescent="0.3">
      <c r="A9" s="20" t="s">
        <v>47</v>
      </c>
      <c r="B9" s="130" t="s">
        <v>196</v>
      </c>
      <c r="C9" s="131"/>
      <c r="D9" s="95" t="str">
        <f>IF(K10="Middle","RUN 2 UP",IF(AND(O8="Centrefold Roll",B8=380),"RUN 2 UP",""))</f>
        <v/>
      </c>
      <c r="E9" s="67"/>
      <c r="F9" s="68"/>
      <c r="G9" s="20" t="s">
        <v>47</v>
      </c>
      <c r="H9" s="130" t="s">
        <v>195</v>
      </c>
      <c r="I9" s="131"/>
      <c r="J9" s="15" t="s">
        <v>54</v>
      </c>
      <c r="K9" s="60" t="s">
        <v>29</v>
      </c>
      <c r="L9" s="61"/>
      <c r="M9" s="29"/>
      <c r="N9" s="21"/>
      <c r="O9" s="138" t="str">
        <f>IF(O8="Poly Bag","PB",IF(O8="Poly Bag Roll","PBR",IF(O8="Centrefold Roll","CFR",IF(O8="Sheet","S",IF(O8="Sheet Roll","SR")))))</f>
        <v>PBR</v>
      </c>
      <c r="P9" s="139"/>
      <c r="Q9" s="21"/>
      <c r="R9" s="30">
        <v>710</v>
      </c>
      <c r="S9" s="22" t="s">
        <v>77</v>
      </c>
      <c r="T9" s="30">
        <v>1500</v>
      </c>
      <c r="U9" s="22" t="s">
        <v>77</v>
      </c>
      <c r="V9" s="30">
        <v>40</v>
      </c>
      <c r="W9" s="21"/>
      <c r="X9" s="122"/>
      <c r="Y9" s="123"/>
    </row>
    <row r="10" spans="1:25" ht="20.100000000000001" customHeight="1" x14ac:dyDescent="0.25">
      <c r="A10" s="15" t="s">
        <v>50</v>
      </c>
      <c r="B10" s="60">
        <v>4</v>
      </c>
      <c r="C10" s="61"/>
      <c r="D10" s="48" t="s">
        <v>133</v>
      </c>
      <c r="E10" s="132">
        <f>IF(ISNUMBER(SEARCH("sheet",O8,1)),((R9*T9*H8/540000)*U7/2000*1.3),((R9*T9*H8/540000)*U7/1000*1.08))</f>
        <v>85.2</v>
      </c>
      <c r="F10" s="133"/>
      <c r="G10" s="15" t="s">
        <v>52</v>
      </c>
      <c r="H10" s="136">
        <f>IF(ISNUMBER(SEARCH("sheet",O8,1)),(U7*T9/2000*1.08),(U7*T9/1000*1.08))</f>
        <v>1620</v>
      </c>
      <c r="I10" s="137"/>
      <c r="J10" s="15" t="s">
        <v>40</v>
      </c>
      <c r="K10" s="60" t="s">
        <v>43</v>
      </c>
      <c r="L10" s="61"/>
      <c r="M10" s="29"/>
      <c r="N10" s="17" t="s">
        <v>140</v>
      </c>
      <c r="O10" s="124" t="s">
        <v>43</v>
      </c>
      <c r="P10" s="125"/>
      <c r="Q10" s="17" t="s">
        <v>49</v>
      </c>
      <c r="R10" s="110" t="str">
        <f>IF(K11="NONE","None",IF(K11="INLINE","Yes",IF(K11="OUT OF LINE","Yes")))</f>
        <v>None</v>
      </c>
      <c r="S10" s="110"/>
      <c r="T10" s="17" t="s">
        <v>99</v>
      </c>
      <c r="U10" s="118"/>
      <c r="V10" s="118"/>
      <c r="W10" s="118"/>
      <c r="X10" s="118"/>
      <c r="Y10" s="119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6" t="str">
        <f>IF(AND(O8="Centrefold Roll",D9="RUN 2 UP"),B10*2,IF(ISNUMBER(SEARCH("sheet",O8,1)),B10*2,""))</f>
        <v/>
      </c>
      <c r="C11" s="97"/>
      <c r="D11" s="15" t="s">
        <v>134</v>
      </c>
      <c r="E11" s="134">
        <f>E10/B10</f>
        <v>21.3</v>
      </c>
      <c r="F11" s="135"/>
      <c r="G11" s="15" t="s">
        <v>14</v>
      </c>
      <c r="H11" s="134">
        <f>H10/B10</f>
        <v>405</v>
      </c>
      <c r="I11" s="135"/>
      <c r="J11" s="15" t="s">
        <v>49</v>
      </c>
      <c r="K11" s="60" t="s">
        <v>43</v>
      </c>
      <c r="L11" s="61"/>
      <c r="M11" s="29"/>
      <c r="N11" s="16"/>
      <c r="O11" s="115" t="str">
        <f>IF(O10="NONE","","V")</f>
        <v/>
      </c>
      <c r="P11" s="116"/>
      <c r="Q11" s="16"/>
      <c r="R11" s="115" t="str">
        <f>IF(R10="None","","P")</f>
        <v/>
      </c>
      <c r="S11" s="115"/>
      <c r="T11" s="16"/>
      <c r="U11" s="120"/>
      <c r="V11" s="120"/>
      <c r="W11" s="120"/>
      <c r="X11" s="120"/>
      <c r="Y11" s="121"/>
    </row>
    <row r="12" spans="1:25" ht="20.100000000000001" customHeight="1" x14ac:dyDescent="0.25">
      <c r="A12" s="126" t="s">
        <v>12</v>
      </c>
      <c r="B12" s="127"/>
      <c r="C12" s="127"/>
      <c r="D12" s="127"/>
      <c r="E12" s="65"/>
      <c r="F12" s="65"/>
      <c r="G12" s="65"/>
      <c r="H12" s="65"/>
      <c r="I12" s="65"/>
      <c r="J12" s="65"/>
      <c r="K12" s="65"/>
      <c r="L12" s="66"/>
      <c r="M12" s="29"/>
      <c r="N12" s="92" t="s">
        <v>70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4"/>
    </row>
    <row r="13" spans="1:25" ht="20.100000000000001" customHeight="1" x14ac:dyDescent="0.25">
      <c r="A13" s="15" t="s">
        <v>67</v>
      </c>
      <c r="B13" s="60" t="s">
        <v>43</v>
      </c>
      <c r="C13" s="60"/>
      <c r="D13" s="61"/>
      <c r="E13" s="23" t="s">
        <v>60</v>
      </c>
      <c r="F13" s="60" t="s">
        <v>43</v>
      </c>
      <c r="G13" s="60"/>
      <c r="H13" s="61"/>
      <c r="I13" s="15" t="s">
        <v>61</v>
      </c>
      <c r="J13" s="60" t="s">
        <v>43</v>
      </c>
      <c r="K13" s="60"/>
      <c r="L13" s="61"/>
      <c r="M13" s="29"/>
      <c r="N13" s="15" t="s">
        <v>71</v>
      </c>
      <c r="O13" s="31" t="s">
        <v>76</v>
      </c>
      <c r="P13" s="15" t="s">
        <v>72</v>
      </c>
      <c r="Q13" s="24">
        <f>O7</f>
        <v>4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9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9"/>
      <c r="N15" s="89" t="s">
        <v>107</v>
      </c>
      <c r="O15" s="90"/>
      <c r="P15" s="91"/>
      <c r="Q15" s="89" t="s">
        <v>106</v>
      </c>
      <c r="R15" s="90"/>
      <c r="S15" s="91"/>
      <c r="T15" s="89" t="s">
        <v>117</v>
      </c>
      <c r="U15" s="90"/>
      <c r="V15" s="91"/>
      <c r="W15" s="89" t="s">
        <v>116</v>
      </c>
      <c r="X15" s="90"/>
      <c r="Y15" s="91"/>
    </row>
    <row r="16" spans="1:25" ht="20.100000000000001" customHeight="1" x14ac:dyDescent="0.25">
      <c r="A16" s="89" t="s">
        <v>2</v>
      </c>
      <c r="B16" s="91"/>
      <c r="C16" s="89" t="s">
        <v>141</v>
      </c>
      <c r="D16" s="91"/>
      <c r="E16" s="89" t="s">
        <v>3</v>
      </c>
      <c r="F16" s="91"/>
      <c r="G16" s="89" t="s">
        <v>4</v>
      </c>
      <c r="H16" s="91"/>
      <c r="I16" s="89" t="s">
        <v>10</v>
      </c>
      <c r="J16" s="91"/>
      <c r="K16" s="90" t="s">
        <v>11</v>
      </c>
      <c r="L16" s="91"/>
      <c r="M16" s="29"/>
      <c r="N16" s="15" t="s">
        <v>27</v>
      </c>
      <c r="O16" s="60"/>
      <c r="P16" s="61"/>
      <c r="Q16" s="15" t="s">
        <v>104</v>
      </c>
      <c r="R16" s="60" t="s">
        <v>22</v>
      </c>
      <c r="S16" s="61"/>
      <c r="T16" s="15" t="s">
        <v>102</v>
      </c>
      <c r="U16" s="60" t="s">
        <v>30</v>
      </c>
      <c r="V16" s="61"/>
      <c r="W16" s="15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3" t="s">
        <v>80</v>
      </c>
      <c r="H17" s="34"/>
      <c r="I17" s="145"/>
      <c r="J17" s="146"/>
      <c r="K17" s="145"/>
      <c r="L17" s="146"/>
      <c r="M17" s="29"/>
      <c r="N17" s="15" t="s">
        <v>25</v>
      </c>
      <c r="O17" s="60"/>
      <c r="P17" s="61"/>
      <c r="Q17" s="15" t="s">
        <v>103</v>
      </c>
      <c r="R17" s="60" t="s">
        <v>30</v>
      </c>
      <c r="S17" s="61"/>
      <c r="T17" s="25" t="str">
        <f>IF(ISNUMBER(SEARCH("roll",O8,1)),"Part Rolls","Part Ctns")</f>
        <v>Part Rolls</v>
      </c>
      <c r="U17" s="60" t="s">
        <v>22</v>
      </c>
      <c r="V17" s="61"/>
      <c r="W17" s="15" t="str">
        <f>IF(ISNUMBER(SEARCH("roll",O8,1)),"Total Rolls","Total Ctns")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3" t="s">
        <v>81</v>
      </c>
      <c r="H18" s="34"/>
      <c r="I18" s="145"/>
      <c r="J18" s="146"/>
      <c r="K18" s="145"/>
      <c r="L18" s="146"/>
      <c r="M18" s="29"/>
      <c r="N18" s="15" t="s">
        <v>100</v>
      </c>
      <c r="O18" s="60"/>
      <c r="P18" s="61"/>
      <c r="Q18" s="15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5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3" t="s">
        <v>82</v>
      </c>
      <c r="H19" s="34"/>
      <c r="I19" s="145"/>
      <c r="J19" s="146"/>
      <c r="K19" s="145"/>
      <c r="L19" s="146"/>
      <c r="M19" s="29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3" t="s">
        <v>83</v>
      </c>
      <c r="H20" s="34"/>
      <c r="I20" s="145"/>
      <c r="J20" s="146"/>
      <c r="K20" s="145"/>
      <c r="L20" s="146"/>
      <c r="M20" s="29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3" t="s">
        <v>84</v>
      </c>
      <c r="H21" s="34"/>
      <c r="I21" s="145"/>
      <c r="J21" s="146"/>
      <c r="K21" s="145"/>
      <c r="L21" s="146"/>
      <c r="M21" s="29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/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2"/>
      <c r="F22" s="83"/>
      <c r="G22" s="33" t="s">
        <v>85</v>
      </c>
      <c r="H22" s="34"/>
      <c r="I22" s="145"/>
      <c r="J22" s="146"/>
      <c r="K22" s="145"/>
      <c r="L22" s="146"/>
      <c r="M22" s="29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40" t="s">
        <v>194</v>
      </c>
      <c r="B23" s="140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6"/>
      <c r="E23" s="82">
        <v>0.02</v>
      </c>
      <c r="F23" s="83"/>
      <c r="G23" s="33" t="s">
        <v>86</v>
      </c>
      <c r="H23" s="34"/>
      <c r="I23" s="145"/>
      <c r="J23" s="146"/>
      <c r="K23" s="145"/>
      <c r="L23" s="146"/>
      <c r="M23" s="29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41" t="s">
        <v>200</v>
      </c>
      <c r="B24" s="142"/>
      <c r="C24" s="85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6"/>
      <c r="E24" s="87"/>
      <c r="F24" s="88"/>
      <c r="G24" s="33" t="s">
        <v>87</v>
      </c>
      <c r="H24" s="34"/>
      <c r="I24" s="145"/>
      <c r="J24" s="146"/>
      <c r="K24" s="145"/>
      <c r="L24" s="146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9"/>
      <c r="N25" s="13" t="s">
        <v>95</v>
      </c>
      <c r="O25" s="9" t="s">
        <v>197</v>
      </c>
      <c r="P25" s="35"/>
      <c r="Q25" s="9">
        <v>30</v>
      </c>
      <c r="R25" s="9">
        <v>9</v>
      </c>
      <c r="S25" s="9"/>
      <c r="T25" s="9">
        <v>6</v>
      </c>
      <c r="U25" s="9">
        <v>2</v>
      </c>
      <c r="V25" s="9">
        <v>3</v>
      </c>
      <c r="W25" s="9">
        <v>150</v>
      </c>
      <c r="X25" s="9">
        <v>150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4" t="s">
        <v>131</v>
      </c>
      <c r="H26" s="84"/>
      <c r="I26" s="84" t="s">
        <v>130</v>
      </c>
      <c r="J26" s="84"/>
      <c r="K26" s="10" t="s">
        <v>93</v>
      </c>
      <c r="L26" s="10" t="s">
        <v>94</v>
      </c>
      <c r="M26" s="29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3" t="s">
        <v>95</v>
      </c>
      <c r="B27" s="7"/>
      <c r="C27" s="7"/>
      <c r="D27" s="147">
        <v>23</v>
      </c>
      <c r="E27" s="148">
        <v>7.6</v>
      </c>
      <c r="F27" s="7"/>
      <c r="G27" s="144"/>
      <c r="H27" s="144"/>
      <c r="I27" s="144"/>
      <c r="J27" s="144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44"/>
      <c r="H28" s="144"/>
      <c r="I28" s="144"/>
      <c r="J28" s="144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6" t="s">
        <v>98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43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2" t="s">
        <v>135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4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45646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45637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A543864-5876-4E03-9B69-2493D39E2C06}"/>
</file>

<file path=customXml/itemProps2.xml><?xml version="1.0" encoding="utf-8"?>
<ds:datastoreItem xmlns:ds="http://schemas.openxmlformats.org/officeDocument/2006/customXml" ds:itemID="{87122AE4-A377-4452-9566-56FEE1A17836}"/>
</file>

<file path=customXml/itemProps3.xml><?xml version="1.0" encoding="utf-8"?>
<ds:datastoreItem xmlns:ds="http://schemas.openxmlformats.org/officeDocument/2006/customXml" ds:itemID="{40D83DD7-BAA8-4F3A-817B-E110656AD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2024-10-25T02:53:13Z</cp:lastPrinted>
  <dcterms:created xsi:type="dcterms:W3CDTF">2019-11-27T23:28:06Z</dcterms:created>
  <dcterms:modified xsi:type="dcterms:W3CDTF">2024-11-20T04:34:59Z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