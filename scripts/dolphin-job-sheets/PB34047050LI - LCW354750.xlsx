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B792793-5606-4BCA-A5F6-8B2D543E1242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Extrude" sheetId="1" r:id="rId1"/>
    <sheet name="Convert" sheetId="2" state="hidden" r:id="rId2"/>
    <sheet name="extra extrusion sheets" sheetId="6" r:id="rId3"/>
    <sheet name="Machine Settings" sheetId="3" r:id="rId4"/>
    <sheet name="Extra Conversion sheets" sheetId="5" r:id="rId5"/>
    <sheet name="drop down list" sheetId="4" r:id="rId6"/>
  </sheets>
  <definedNames>
    <definedName name="Bag_Type">'drop down list'!$O$2:$O$5</definedName>
    <definedName name="Carton_size">'drop down list'!$W$2:$W$9</definedName>
    <definedName name="Date">'drop down list'!$Y$2:$Y$3</definedName>
    <definedName name="Extrusion_Type">'drop down list'!$G$2:$G$7</definedName>
    <definedName name="Lay_Flat">'drop down list'!$Q$2:$Q$6</definedName>
    <definedName name="Pack_Types">'drop down list'!$Q$2:$Q$5</definedName>
    <definedName name="pallet_type">'drop down list'!$U$2:$U$3</definedName>
    <definedName name="PlasticType">'drop down list'!$E$2:$E$3</definedName>
    <definedName name="Print_Inline">'drop down list'!$K$2:$K$4</definedName>
    <definedName name="Sleeves">'drop down list'!$O$2:$O$6</definedName>
    <definedName name="Tick_box">'drop down list'!$S$2:$S$3</definedName>
    <definedName name="Treatment">'drop down list'!$C$2:$C$5</definedName>
    <definedName name="Yes">'drop down list'!$A$2:$A$4</definedName>
    <definedName name="YesNoBlank">'drop down list'!$A$2:$A$4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2" i="4" l="1"/>
  <c r="N9" i="1" l="1"/>
  <c r="R2" i="1" l="1"/>
  <c r="V1" i="1"/>
  <c r="R1" i="1"/>
  <c r="N1" i="1"/>
  <c r="B7" i="1"/>
  <c r="F7" i="1"/>
  <c r="N7" i="1" l="1"/>
  <c r="E9" i="1" s="1"/>
  <c r="B9" i="1" l="1"/>
  <c r="N2" i="1"/>
  <c r="B4" i="2"/>
  <c r="B10" i="1" l="1"/>
  <c r="E10" i="1"/>
</calcChain>
</file>

<file path=xl/sharedStrings.xml><?xml version="1.0" encoding="utf-8"?>
<sst xmlns="http://schemas.openxmlformats.org/spreadsheetml/2006/main" count="447" uniqueCount="270">
  <si>
    <t>Roll No.</t>
  </si>
  <si>
    <t>Wt/Roll</t>
  </si>
  <si>
    <t>Mts/Roll</t>
  </si>
  <si>
    <t>Guage</t>
  </si>
  <si>
    <t>Width</t>
  </si>
  <si>
    <t>Operator</t>
  </si>
  <si>
    <t>Time</t>
  </si>
  <si>
    <t>Checked by</t>
  </si>
  <si>
    <t>Open Ability</t>
  </si>
  <si>
    <t xml:space="preserve"> </t>
  </si>
  <si>
    <t>Comments</t>
  </si>
  <si>
    <t>Die Heaters</t>
  </si>
  <si>
    <t>Percentage</t>
  </si>
  <si>
    <t>Batch</t>
  </si>
  <si>
    <t>Cardboard cores</t>
  </si>
  <si>
    <t>PVC Cores</t>
  </si>
  <si>
    <t>Treat outside of roll</t>
  </si>
  <si>
    <t>Treat inside of roll</t>
  </si>
  <si>
    <t>No. of rolls per pallet</t>
  </si>
  <si>
    <t>Type of pallet</t>
  </si>
  <si>
    <t>Printed</t>
  </si>
  <si>
    <t>Ink Colour</t>
  </si>
  <si>
    <t>No. of Rolls</t>
  </si>
  <si>
    <t>Total Kgs</t>
  </si>
  <si>
    <t>Total metres</t>
  </si>
  <si>
    <t>No. of rolls</t>
  </si>
  <si>
    <t>Date</t>
  </si>
  <si>
    <t>Size:</t>
  </si>
  <si>
    <t>Colour</t>
  </si>
  <si>
    <t>Customer</t>
  </si>
  <si>
    <t>Job Name</t>
  </si>
  <si>
    <t>Kg's per Mix or</t>
  </si>
  <si>
    <t>Weight/roll</t>
  </si>
  <si>
    <t>Metres/roll</t>
  </si>
  <si>
    <t>Machine Settings and Resin Formula</t>
  </si>
  <si>
    <t>Tension Dial</t>
  </si>
  <si>
    <t>Sec Nip Dial</t>
  </si>
  <si>
    <t>Speed</t>
  </si>
  <si>
    <t>Blower</t>
  </si>
  <si>
    <t>Nip Roller Dial</t>
  </si>
  <si>
    <t>Extruder Dial</t>
  </si>
  <si>
    <t>Reeler</t>
  </si>
  <si>
    <t>rpm</t>
  </si>
  <si>
    <t>mts/min</t>
  </si>
  <si>
    <t>Extruder</t>
  </si>
  <si>
    <t>Amps</t>
  </si>
  <si>
    <t>Start date</t>
  </si>
  <si>
    <t>Start time</t>
  </si>
  <si>
    <t>Finish Time</t>
  </si>
  <si>
    <t>From Box No.</t>
  </si>
  <si>
    <t>To Box No.</t>
  </si>
  <si>
    <t>Total Boxes</t>
  </si>
  <si>
    <t>Conversion</t>
  </si>
  <si>
    <t>Side seal</t>
  </si>
  <si>
    <t>Tail Seal</t>
  </si>
  <si>
    <t>Wide side seal</t>
  </si>
  <si>
    <t>Grand total of boxes</t>
  </si>
  <si>
    <t>Perforation</t>
  </si>
  <si>
    <t>Bags per roll</t>
  </si>
  <si>
    <t>Total Bags</t>
  </si>
  <si>
    <t>Size (Width x Length x um)</t>
  </si>
  <si>
    <t>x</t>
  </si>
  <si>
    <t>um</t>
  </si>
  <si>
    <t>Perf Bags</t>
  </si>
  <si>
    <t>Perf sheet</t>
  </si>
  <si>
    <t>Perf C/fold</t>
  </si>
  <si>
    <t xml:space="preserve">                               PVC Cores</t>
  </si>
  <si>
    <t xml:space="preserve">                    Cardboard cores</t>
  </si>
  <si>
    <t>Rolls / pallet</t>
  </si>
  <si>
    <t>Pallet Type</t>
  </si>
  <si>
    <t xml:space="preserve">Machine </t>
  </si>
  <si>
    <t>Belts</t>
  </si>
  <si>
    <t>Pulse</t>
  </si>
  <si>
    <t>Air</t>
  </si>
  <si>
    <t>No. of rings</t>
  </si>
  <si>
    <t>Punch time</t>
  </si>
  <si>
    <t>Bottom temp</t>
  </si>
  <si>
    <t>Top temp</t>
  </si>
  <si>
    <t>Plain Label</t>
  </si>
  <si>
    <t>Dolphin Label</t>
  </si>
  <si>
    <t>No of bags</t>
  </si>
  <si>
    <t>No of cartons</t>
  </si>
  <si>
    <t>Size (Width x length x um)</t>
  </si>
  <si>
    <t>Gusset Bag</t>
  </si>
  <si>
    <t>Code Box</t>
  </si>
  <si>
    <t>Order No.</t>
  </si>
  <si>
    <t>Job name</t>
  </si>
  <si>
    <t>Bags</t>
  </si>
  <si>
    <t>Lay flat</t>
  </si>
  <si>
    <t>Vent</t>
  </si>
  <si>
    <t>No of holes</t>
  </si>
  <si>
    <t>Pack</t>
  </si>
  <si>
    <t>Qty per pack</t>
  </si>
  <si>
    <t>Inner pack</t>
  </si>
  <si>
    <t>Loose</t>
  </si>
  <si>
    <t>Qty to stock</t>
  </si>
  <si>
    <t>Send all bags</t>
  </si>
  <si>
    <t>Handle</t>
  </si>
  <si>
    <t>Packs = Bags per carton</t>
  </si>
  <si>
    <t>cartons</t>
  </si>
  <si>
    <t>Total amount of bags</t>
  </si>
  <si>
    <t>Size of cartons</t>
  </si>
  <si>
    <t>Cust. Label</t>
  </si>
  <si>
    <t>Weight of waste</t>
  </si>
  <si>
    <t>Time per box</t>
  </si>
  <si>
    <t>Bags / carton</t>
  </si>
  <si>
    <t>Weight of unused roll</t>
  </si>
  <si>
    <t>X</t>
  </si>
  <si>
    <t>Tag Packs</t>
  </si>
  <si>
    <t>HEALTH ASSIST:CODE219</t>
  </si>
  <si>
    <t>GABBS CODE:IW204</t>
  </si>
  <si>
    <t>ORION 1</t>
  </si>
  <si>
    <t>Linea 1 MELT</t>
  </si>
  <si>
    <t>PB470G72035</t>
  </si>
  <si>
    <t>DOLPHIN PLASTICS &amp; PACKAGING  ABN 64 530 554 800</t>
  </si>
  <si>
    <t>ROLL #</t>
  </si>
  <si>
    <t>Adjustments</t>
  </si>
  <si>
    <t>CHECKED</t>
  </si>
  <si>
    <t>#130</t>
  </si>
  <si>
    <t>NATURAL REMILL</t>
  </si>
  <si>
    <t>10% LD MELT 2    -   215</t>
  </si>
  <si>
    <t>ARVOR</t>
  </si>
  <si>
    <t>PLEASE NOTE ANY DISCREPANCY WITH RESIN MIX AND NOTE ANY EXTRA MATERIALS USED</t>
  </si>
  <si>
    <t>RESIN MIX BELOW</t>
  </si>
  <si>
    <t>KGS</t>
  </si>
  <si>
    <t>LINEA</t>
  </si>
  <si>
    <t xml:space="preserve"> EXXON MOBIL LL1001KW</t>
  </si>
  <si>
    <t>LDPE</t>
  </si>
  <si>
    <t>LD2426H / LD2402D</t>
  </si>
  <si>
    <t>REMILL</t>
  </si>
  <si>
    <t>REMILL(________)</t>
  </si>
  <si>
    <t>EXTRUDER</t>
  </si>
  <si>
    <t>COMPONENTS</t>
  </si>
  <si>
    <t>LIGHT 2426H</t>
  </si>
  <si>
    <t>LIGHT</t>
  </si>
  <si>
    <t>HEAVY 2420D</t>
  </si>
  <si>
    <t>MIX 3</t>
  </si>
  <si>
    <t>HEAVY</t>
  </si>
  <si>
    <t>APEX REMILL</t>
  </si>
  <si>
    <t>MIX 4</t>
  </si>
  <si>
    <t>APEX</t>
  </si>
  <si>
    <t>DOLPHIN REMILL</t>
  </si>
  <si>
    <t>MIX 5</t>
  </si>
  <si>
    <t>DOLPHIN</t>
  </si>
  <si>
    <t>SLIP</t>
  </si>
  <si>
    <t>EXTRUDER USED</t>
  </si>
  <si>
    <t>MIX OPERATOR</t>
  </si>
  <si>
    <t>MIX 1</t>
  </si>
  <si>
    <t>MIX 2</t>
  </si>
  <si>
    <t>DP922014</t>
  </si>
  <si>
    <t>Please complete all squares. Has the job been checked and signed by another staff member.</t>
  </si>
  <si>
    <t>Due</t>
  </si>
  <si>
    <t>Tolerance</t>
  </si>
  <si>
    <t>Gauge</t>
  </si>
  <si>
    <t>Printed Description</t>
  </si>
  <si>
    <t>Treatment</t>
  </si>
  <si>
    <t>Yes</t>
  </si>
  <si>
    <t>No</t>
  </si>
  <si>
    <t>CUSTOMER</t>
  </si>
  <si>
    <t>Inside One Side</t>
  </si>
  <si>
    <t>Outside Two Side</t>
  </si>
  <si>
    <t>None</t>
  </si>
  <si>
    <t>operator</t>
  </si>
  <si>
    <t>time</t>
  </si>
  <si>
    <t>date</t>
  </si>
  <si>
    <t>roll #</t>
  </si>
  <si>
    <t>existing speed</t>
  </si>
  <si>
    <t>new speed</t>
  </si>
  <si>
    <t>existing temp</t>
  </si>
  <si>
    <t>new temp</t>
  </si>
  <si>
    <t>existing nip setting</t>
  </si>
  <si>
    <t>new nip setting</t>
  </si>
  <si>
    <t>reason for change</t>
  </si>
  <si>
    <t>Job Start Time:</t>
  </si>
  <si>
    <t>Job Start Date:</t>
  </si>
  <si>
    <t>Sign:</t>
  </si>
  <si>
    <t>Notable Machine Setting Changes</t>
  </si>
  <si>
    <t>MIX INPUT (%)</t>
  </si>
  <si>
    <t>MIX BREAKDOWN (kg)</t>
  </si>
  <si>
    <t>MATERIAL USED (kg)</t>
  </si>
  <si>
    <t>MD</t>
  </si>
  <si>
    <t>LD</t>
  </si>
  <si>
    <t>Plastic Type</t>
  </si>
  <si>
    <t>Production &amp; Extrusion comments</t>
  </si>
  <si>
    <t>Extrusion Type</t>
  </si>
  <si>
    <t xml:space="preserve">Extrusion format </t>
  </si>
  <si>
    <t>Gusseted</t>
  </si>
  <si>
    <t>(290 + 180)</t>
  </si>
  <si>
    <t>Layflat Tube</t>
  </si>
  <si>
    <t>Gusset Tube</t>
  </si>
  <si>
    <t>Perforate Inline</t>
  </si>
  <si>
    <t xml:space="preserve"> +/- 10mm</t>
  </si>
  <si>
    <t>Print Inline</t>
  </si>
  <si>
    <t>PLEASE NOTE ANY DISCREPANCY WITH RESIN MIX AND ANY EXTRA MATERIALS USED</t>
  </si>
  <si>
    <t>Extruder Settings</t>
  </si>
  <si>
    <t>SETUP OPERATOR</t>
  </si>
  <si>
    <t>Other Waste:</t>
  </si>
  <si>
    <t>Setup Waste:</t>
  </si>
  <si>
    <t>Standard</t>
  </si>
  <si>
    <t>Labels</t>
  </si>
  <si>
    <t>Customer Label</t>
  </si>
  <si>
    <t>Labels Printed?</t>
  </si>
  <si>
    <t>Machine Settings</t>
  </si>
  <si>
    <t>Bag Type</t>
  </si>
  <si>
    <t>Sleeves</t>
  </si>
  <si>
    <t>Bag</t>
  </si>
  <si>
    <t>Lay Flat</t>
  </si>
  <si>
    <t>Pack Type</t>
  </si>
  <si>
    <t>Inner Pack</t>
  </si>
  <si>
    <t>QTY per Pack</t>
  </si>
  <si>
    <t>Punched</t>
  </si>
  <si>
    <t>QTY to Stock</t>
  </si>
  <si>
    <t>QA Testing</t>
  </si>
  <si>
    <t>Seal Test</t>
  </si>
  <si>
    <t>Water Test</t>
  </si>
  <si>
    <t>Size test</t>
  </si>
  <si>
    <t>tick box</t>
  </si>
  <si>
    <t>√</t>
  </si>
  <si>
    <t>Overs Accepted</t>
  </si>
  <si>
    <t>Part Cartons</t>
  </si>
  <si>
    <t>Production &amp; Conversion comments</t>
  </si>
  <si>
    <t>Carton Size</t>
  </si>
  <si>
    <t>Chep</t>
  </si>
  <si>
    <t>Plain</t>
  </si>
  <si>
    <t>Flat pack or fold pack</t>
  </si>
  <si>
    <t>________</t>
  </si>
  <si>
    <t>Notes:</t>
  </si>
  <si>
    <t>Checked</t>
  </si>
  <si>
    <t>#GCP6 - Small</t>
  </si>
  <si>
    <t>#110</t>
  </si>
  <si>
    <t>#150</t>
  </si>
  <si>
    <t>#180</t>
  </si>
  <si>
    <t>#180 Meat</t>
  </si>
  <si>
    <t>BEST FIT</t>
  </si>
  <si>
    <t>NIP ROLLER tension / speed</t>
  </si>
  <si>
    <t>RUN 1</t>
  </si>
  <si>
    <t>RUN 2</t>
  </si>
  <si>
    <t>WINDER tension  / speed</t>
  </si>
  <si>
    <t>Inline Temp</t>
  </si>
  <si>
    <t>Seal Time</t>
  </si>
  <si>
    <t>Screw Speed</t>
  </si>
  <si>
    <t>Nip Speed</t>
  </si>
  <si>
    <t>Start Time</t>
  </si>
  <si>
    <t>Blower %</t>
  </si>
  <si>
    <t>Build Date</t>
  </si>
  <si>
    <t>Total Bags:___________________________</t>
  </si>
  <si>
    <t>Total Boxes:__________________________</t>
  </si>
  <si>
    <t>Total Waste:_________________________</t>
  </si>
  <si>
    <t>PB34047050LI - LCW354750</t>
  </si>
  <si>
    <t>.</t>
  </si>
  <si>
    <t>LILAC</t>
  </si>
  <si>
    <t>LCW354750</t>
  </si>
  <si>
    <t>RUN 1 UP ON ARVOR</t>
  </si>
  <si>
    <t>WHITE</t>
  </si>
  <si>
    <t>"CYTOTOXIC"</t>
  </si>
  <si>
    <t>YES</t>
  </si>
  <si>
    <t>RUN AT 45UM</t>
  </si>
  <si>
    <t>Please record reason for "Other Waste"</t>
  </si>
  <si>
    <t>Finish Time:</t>
  </si>
  <si>
    <t>Purge Waste</t>
  </si>
  <si>
    <t>Finish Date:</t>
  </si>
  <si>
    <t>QC Check</t>
  </si>
  <si>
    <t>Remark</t>
  </si>
  <si>
    <t>LIMAX</t>
  </si>
  <si>
    <t>ONE CARTON ON BACKORDER FOR GREENSLOPES</t>
  </si>
  <si>
    <t>GREENSLOPES</t>
  </si>
  <si>
    <t>30.01.2019</t>
  </si>
  <si>
    <t>ASAP</t>
  </si>
  <si>
    <t>DP932834</t>
  </si>
  <si>
    <t>T750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</si>
</sst>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name val="Arial"/>
      <family val="2"/>
    </font>
    <font>
      <sz val="11"/>
      <name val="Arial"/>
      <family val="2"/>
    </font>
    <font>
      <sz val="11"/>
      <name val="Wide Latin"/>
      <family val="1"/>
    </font>
    <font>
      <sz val="9"/>
      <name val="Wide Latin"/>
      <family val="1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8"/>
      <color indexed="55"/>
      <name val="Arial"/>
      <family val="2"/>
    </font>
    <font>
      <sz val="10"/>
      <color indexed="55"/>
      <name val="Arial"/>
      <family val="2"/>
    </font>
    <font>
      <sz val="7"/>
      <color indexed="55"/>
      <name val="Arial"/>
      <family val="2"/>
    </font>
    <font>
      <sz val="11"/>
      <color indexed="55"/>
      <name val="Arial"/>
      <family val="2"/>
    </font>
    <font>
      <sz val="10"/>
      <color indexed="55"/>
      <name val="Arial"/>
      <family val="2"/>
    </font>
    <font>
      <sz val="11"/>
      <color indexed="55"/>
      <name val="Wide Latin"/>
      <family val="1"/>
    </font>
    <font>
      <b/>
      <sz val="7"/>
      <color indexed="55"/>
      <name val="Arial"/>
      <family val="2"/>
    </font>
    <font>
      <b/>
      <sz val="10"/>
      <color indexed="55"/>
      <name val="Arial"/>
      <family val="2"/>
    </font>
    <font>
      <sz val="9"/>
      <color indexed="55"/>
      <name val="Arial"/>
      <family val="2"/>
    </font>
    <font>
      <sz val="9"/>
      <color indexed="55"/>
      <name val="Wide Latin"/>
      <family val="1"/>
    </font>
    <font>
      <sz val="7"/>
      <color indexed="55"/>
      <name val="Wide Latin"/>
      <family val="1"/>
    </font>
    <font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7.5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7"/>
      <color indexed="55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55"/>
      <name val="Calibri"/>
      <family val="2"/>
      <scheme val="minor"/>
    </font>
    <font>
      <b/>
      <sz val="7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3"/>
      <name val="Calibri"/>
      <family val="2"/>
      <scheme val="minor"/>
    </font>
    <font>
      <sz val="10"/>
      <color indexed="55"/>
      <name val="Calibri"/>
      <family val="2"/>
      <scheme val="minor"/>
    </font>
    <font>
      <sz val="11"/>
      <name val="Calibri"/>
      <family val="2"/>
      <scheme val="minor"/>
    </font>
    <font>
      <sz val="7"/>
      <name val="Calibri"/>
      <family val="2"/>
      <scheme val="minor"/>
    </font>
    <font>
      <sz val="8"/>
      <color indexed="55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52" fillId="0" borderId="0" applyFont="0" applyFill="0" applyBorder="0" applyAlignment="0" applyProtection="0"/>
  </cellStyleXfs>
  <cellXfs count="380">
    <xf numFmtId="0" fontId="0" fillId="0" borderId="0" xfId="0"/>
    <xf numFmtId="0" fontId="5" fillId="0" borderId="0" xfId="0" applyFont="1"/>
    <xf numFmtId="0" fontId="7" fillId="0" borderId="2" xfId="0" applyFont="1" applyBorder="1"/>
    <xf numFmtId="0" fontId="7" fillId="0" borderId="3" xfId="0" applyFont="1" applyBorder="1"/>
    <xf numFmtId="0" fontId="8" fillId="0" borderId="3" xfId="0" applyFont="1" applyBorder="1"/>
    <xf numFmtId="0" fontId="8" fillId="0" borderId="1" xfId="0" applyFont="1" applyBorder="1"/>
    <xf numFmtId="0" fontId="9" fillId="0" borderId="1" xfId="0" applyFont="1" applyBorder="1"/>
    <xf numFmtId="0" fontId="9" fillId="0" borderId="3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0" xfId="0" applyFont="1"/>
    <xf numFmtId="0" fontId="14" fillId="0" borderId="4" xfId="0" applyFont="1" applyBorder="1"/>
    <xf numFmtId="0" fontId="15" fillId="0" borderId="1" xfId="0" applyFont="1" applyBorder="1"/>
    <xf numFmtId="0" fontId="12" fillId="0" borderId="1" xfId="0" applyFont="1" applyBorder="1"/>
    <xf numFmtId="0" fontId="14" fillId="0" borderId="1" xfId="0" applyFont="1" applyBorder="1"/>
    <xf numFmtId="0" fontId="17" fillId="0" borderId="1" xfId="0" applyFont="1" applyBorder="1"/>
    <xf numFmtId="0" fontId="14" fillId="0" borderId="2" xfId="0" applyFont="1" applyBorder="1"/>
    <xf numFmtId="0" fontId="14" fillId="0" borderId="0" xfId="0" applyFont="1"/>
    <xf numFmtId="0" fontId="14" fillId="0" borderId="5" xfId="0" applyFont="1" applyBorder="1"/>
    <xf numFmtId="0" fontId="15" fillId="0" borderId="3" xfId="0" applyFont="1" applyBorder="1"/>
    <xf numFmtId="0" fontId="14" fillId="0" borderId="3" xfId="0" applyFont="1" applyBorder="1"/>
    <xf numFmtId="0" fontId="20" fillId="0" borderId="3" xfId="0" applyFont="1" applyBorder="1"/>
    <xf numFmtId="0" fontId="17" fillId="0" borderId="3" xfId="0" applyFont="1" applyBorder="1"/>
    <xf numFmtId="0" fontId="21" fillId="0" borderId="1" xfId="0" applyFont="1" applyBorder="1"/>
    <xf numFmtId="0" fontId="19" fillId="0" borderId="1" xfId="0" applyFont="1" applyBorder="1"/>
    <xf numFmtId="0" fontId="12" fillId="0" borderId="6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8" xfId="0" applyFont="1" applyBorder="1"/>
    <xf numFmtId="0" fontId="14" fillId="0" borderId="0" xfId="0" applyFont="1" applyAlignment="1">
      <alignment vertical="top"/>
    </xf>
    <xf numFmtId="0" fontId="14" fillId="0" borderId="9" xfId="0" applyFont="1" applyBorder="1"/>
    <xf numFmtId="0" fontId="16" fillId="0" borderId="10" xfId="0" applyFont="1" applyBorder="1"/>
    <xf numFmtId="0" fontId="14" fillId="0" borderId="11" xfId="0" applyFont="1" applyBorder="1"/>
    <xf numFmtId="0" fontId="14" fillId="0" borderId="12" xfId="0" applyFont="1" applyBorder="1"/>
    <xf numFmtId="0" fontId="18" fillId="0" borderId="10" xfId="0" applyFont="1" applyBorder="1"/>
    <xf numFmtId="0" fontId="22" fillId="0" borderId="2" xfId="0" applyFont="1" applyBorder="1"/>
    <xf numFmtId="0" fontId="14" fillId="0" borderId="4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13" xfId="0" applyFont="1" applyBorder="1"/>
    <xf numFmtId="0" fontId="14" fillId="0" borderId="10" xfId="0" applyFont="1" applyBorder="1"/>
    <xf numFmtId="10" fontId="15" fillId="0" borderId="1" xfId="0" applyNumberFormat="1" applyFont="1" applyBorder="1"/>
    <xf numFmtId="0" fontId="15" fillId="0" borderId="1" xfId="0" quotePrefix="1" applyFont="1" applyBorder="1"/>
    <xf numFmtId="0" fontId="14" fillId="0" borderId="14" xfId="0" applyFont="1" applyBorder="1"/>
    <xf numFmtId="0" fontId="16" fillId="0" borderId="0" xfId="0" applyFont="1"/>
    <xf numFmtId="0" fontId="0" fillId="0" borderId="5" xfId="0" applyBorder="1"/>
    <xf numFmtId="0" fontId="0" fillId="0" borderId="2" xfId="0" applyBorder="1"/>
    <xf numFmtId="0" fontId="0" fillId="0" borderId="15" xfId="0" applyBorder="1"/>
    <xf numFmtId="0" fontId="9" fillId="0" borderId="7" xfId="0" applyFont="1" applyBorder="1" applyAlignment="1">
      <alignment vertical="top"/>
    </xf>
    <xf numFmtId="0" fontId="21" fillId="0" borderId="0" xfId="0" applyFont="1"/>
    <xf numFmtId="0" fontId="11" fillId="0" borderId="11" xfId="0" applyFont="1" applyBorder="1"/>
    <xf numFmtId="0" fontId="14" fillId="0" borderId="7" xfId="0" applyFont="1" applyBorder="1"/>
    <xf numFmtId="0" fontId="11" fillId="0" borderId="7" xfId="0" applyFont="1" applyBorder="1"/>
    <xf numFmtId="0" fontId="9" fillId="0" borderId="7" xfId="0" applyFont="1" applyBorder="1"/>
    <xf numFmtId="0" fontId="11" fillId="0" borderId="16" xfId="0" applyFont="1" applyBorder="1"/>
    <xf numFmtId="0" fontId="0" fillId="0" borderId="8" xfId="0" applyBorder="1"/>
    <xf numFmtId="0" fontId="22" fillId="0" borderId="5" xfId="0" applyFont="1" applyBorder="1"/>
    <xf numFmtId="0" fontId="7" fillId="0" borderId="5" xfId="0" applyFont="1" applyBorder="1"/>
    <xf numFmtId="0" fontId="14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25" fillId="0" borderId="16" xfId="0" applyFont="1" applyBorder="1"/>
    <xf numFmtId="0" fontId="27" fillId="0" borderId="16" xfId="0" applyFont="1" applyBorder="1"/>
    <xf numFmtId="0" fontId="13" fillId="0" borderId="8" xfId="0" applyFont="1" applyBorder="1"/>
    <xf numFmtId="0" fontId="5" fillId="0" borderId="17" xfId="0" applyFont="1" applyBorder="1"/>
    <xf numFmtId="9" fontId="29" fillId="0" borderId="18" xfId="0" applyNumberFormat="1" applyFont="1" applyBorder="1"/>
    <xf numFmtId="0" fontId="9" fillId="0" borderId="17" xfId="0" applyFont="1" applyBorder="1"/>
    <xf numFmtId="0" fontId="6" fillId="0" borderId="19" xfId="0" applyFont="1" applyBorder="1" applyAlignment="1">
      <alignment horizontal="right"/>
    </xf>
    <xf numFmtId="9" fontId="29" fillId="0" borderId="16" xfId="0" applyNumberFormat="1" applyFont="1" applyBorder="1"/>
    <xf numFmtId="0" fontId="18" fillId="0" borderId="20" xfId="0" applyFont="1" applyBorder="1"/>
    <xf numFmtId="0" fontId="7" fillId="0" borderId="21" xfId="0" applyFont="1" applyBorder="1"/>
    <xf numFmtId="0" fontId="14" fillId="0" borderId="22" xfId="0" applyFont="1" applyBorder="1"/>
    <xf numFmtId="0" fontId="15" fillId="0" borderId="2" xfId="0" applyFont="1" applyBorder="1"/>
    <xf numFmtId="0" fontId="24" fillId="2" borderId="23" xfId="0" applyFont="1" applyFill="1" applyBorder="1" applyAlignment="1">
      <alignment horizontal="center"/>
    </xf>
    <xf numFmtId="0" fontId="7" fillId="0" borderId="24" xfId="0" applyFont="1" applyBorder="1"/>
    <xf numFmtId="0" fontId="11" fillId="0" borderId="18" xfId="0" applyFont="1" applyBorder="1"/>
    <xf numFmtId="0" fontId="11" fillId="0" borderId="24" xfId="0" applyFont="1" applyBorder="1"/>
    <xf numFmtId="0" fontId="7" fillId="0" borderId="25" xfId="0" applyFont="1" applyBorder="1"/>
    <xf numFmtId="0" fontId="11" fillId="0" borderId="24" xfId="0" applyFont="1" applyBorder="1" applyAlignment="1">
      <alignment horizontal="right"/>
    </xf>
    <xf numFmtId="0" fontId="6" fillId="0" borderId="24" xfId="0" applyFont="1" applyBorder="1"/>
    <xf numFmtId="0" fontId="5" fillId="0" borderId="24" xfId="0" applyFont="1" applyBorder="1"/>
    <xf numFmtId="0" fontId="6" fillId="0" borderId="21" xfId="0" applyFont="1" applyBorder="1"/>
    <xf numFmtId="0" fontId="10" fillId="0" borderId="24" xfId="0" applyFont="1" applyBorder="1"/>
    <xf numFmtId="0" fontId="7" fillId="0" borderId="14" xfId="0" applyFont="1" applyBorder="1"/>
    <xf numFmtId="0" fontId="5" fillId="0" borderId="18" xfId="0" applyFont="1" applyBorder="1"/>
    <xf numFmtId="0" fontId="18" fillId="0" borderId="6" xfId="0" applyFont="1" applyBorder="1"/>
    <xf numFmtId="0" fontId="24" fillId="0" borderId="26" xfId="0" applyFont="1" applyBorder="1"/>
    <xf numFmtId="1" fontId="34" fillId="0" borderId="1" xfId="0" applyNumberFormat="1" applyFont="1" applyBorder="1"/>
    <xf numFmtId="0" fontId="9" fillId="0" borderId="0" xfId="0" applyFont="1"/>
    <xf numFmtId="0" fontId="36" fillId="0" borderId="4" xfId="0" applyFont="1" applyBorder="1"/>
    <xf numFmtId="0" fontId="36" fillId="0" borderId="10" xfId="0" applyFont="1" applyBorder="1"/>
    <xf numFmtId="0" fontId="36" fillId="0" borderId="11" xfId="0" applyFont="1" applyBorder="1"/>
    <xf numFmtId="0" fontId="36" fillId="0" borderId="1" xfId="0" applyFont="1" applyBorder="1"/>
    <xf numFmtId="0" fontId="40" fillId="0" borderId="3" xfId="0" applyFont="1" applyBorder="1"/>
    <xf numFmtId="0" fontId="42" fillId="0" borderId="1" xfId="0" applyFont="1" applyBorder="1" applyAlignment="1">
      <alignment horizontal="center"/>
    </xf>
    <xf numFmtId="0" fontId="36" fillId="0" borderId="0" xfId="0" applyFont="1"/>
    <xf numFmtId="0" fontId="40" fillId="0" borderId="0" xfId="0" applyFont="1"/>
    <xf numFmtId="0" fontId="42" fillId="0" borderId="11" xfId="0" applyFont="1" applyBorder="1" applyAlignment="1">
      <alignment horizontal="center"/>
    </xf>
    <xf numFmtId="14" fontId="0" fillId="0" borderId="0" xfId="0" applyNumberFormat="1"/>
    <xf numFmtId="0" fontId="36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14" fontId="44" fillId="0" borderId="0" xfId="0" applyNumberFormat="1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9" fillId="0" borderId="0" xfId="0" applyFont="1" applyAlignment="1">
      <alignment horizontal="left"/>
    </xf>
    <xf numFmtId="0" fontId="39" fillId="0" borderId="0" xfId="0" applyFont="1"/>
    <xf numFmtId="0" fontId="11" fillId="0" borderId="0" xfId="0" applyFont="1"/>
    <xf numFmtId="0" fontId="31" fillId="0" borderId="6" xfId="0" applyFont="1" applyBorder="1" applyAlignment="1">
      <alignment horizontal="right"/>
    </xf>
    <xf numFmtId="0" fontId="31" fillId="0" borderId="7" xfId="0" applyFont="1" applyBorder="1" applyAlignment="1">
      <alignment horizontal="right"/>
    </xf>
    <xf numFmtId="0" fontId="32" fillId="0" borderId="7" xfId="0" applyFont="1" applyBorder="1"/>
    <xf numFmtId="0" fontId="35" fillId="0" borderId="7" xfId="0" applyFont="1" applyBorder="1" applyAlignment="1">
      <alignment horizontal="right"/>
    </xf>
    <xf numFmtId="0" fontId="38" fillId="0" borderId="7" xfId="0" applyFont="1" applyBorder="1"/>
    <xf numFmtId="1" fontId="32" fillId="0" borderId="7" xfId="0" applyNumberFormat="1" applyFont="1" applyBorder="1"/>
    <xf numFmtId="0" fontId="38" fillId="0" borderId="0" xfId="0" applyFont="1"/>
    <xf numFmtId="0" fontId="42" fillId="0" borderId="3" xfId="0" applyFont="1" applyBorder="1" applyAlignment="1" applyProtection="1">
      <alignment horizontal="center"/>
      <protection locked="0"/>
    </xf>
    <xf numFmtId="0" fontId="39" fillId="0" borderId="8" xfId="0" applyFont="1" applyBorder="1" applyProtection="1">
      <protection locked="0"/>
    </xf>
    <xf numFmtId="0" fontId="35" fillId="0" borderId="5" xfId="0" applyFont="1" applyBorder="1" applyAlignment="1">
      <alignment horizontal="right"/>
    </xf>
    <xf numFmtId="1" fontId="42" fillId="0" borderId="1" xfId="0" applyNumberFormat="1" applyFont="1" applyBorder="1" applyAlignment="1">
      <alignment horizontal="center"/>
    </xf>
    <xf numFmtId="0" fontId="44" fillId="0" borderId="0" xfId="0" applyFont="1" applyAlignment="1" applyProtection="1">
      <alignment horizontal="left" vertical="center"/>
      <protection locked="0"/>
    </xf>
    <xf numFmtId="0" fontId="36" fillId="0" borderId="43" xfId="0" applyFont="1" applyBorder="1" applyAlignment="1">
      <alignment horizontal="left" vertical="center"/>
    </xf>
    <xf numFmtId="0" fontId="36" fillId="0" borderId="2" xfId="0" applyFont="1" applyBorder="1"/>
    <xf numFmtId="0" fontId="36" fillId="0" borderId="3" xfId="0" applyFont="1" applyBorder="1"/>
    <xf numFmtId="0" fontId="37" fillId="0" borderId="11" xfId="0" applyFont="1" applyBorder="1"/>
    <xf numFmtId="0" fontId="49" fillId="0" borderId="7" xfId="0" applyFont="1" applyBorder="1" applyAlignment="1">
      <alignment vertical="top"/>
    </xf>
    <xf numFmtId="0" fontId="38" fillId="0" borderId="7" xfId="0" applyFont="1" applyBorder="1" applyAlignment="1">
      <alignment vertical="top"/>
    </xf>
    <xf numFmtId="0" fontId="36" fillId="0" borderId="0" xfId="0" applyFont="1" applyAlignment="1">
      <alignment vertical="top"/>
    </xf>
    <xf numFmtId="0" fontId="48" fillId="0" borderId="0" xfId="0" applyFont="1"/>
    <xf numFmtId="0" fontId="38" fillId="0" borderId="1" xfId="0" applyFont="1" applyBorder="1" applyAlignment="1">
      <alignment horizontal="center"/>
    </xf>
    <xf numFmtId="0" fontId="47" fillId="0" borderId="0" xfId="0" applyFont="1"/>
    <xf numFmtId="0" fontId="36" fillId="0" borderId="0" xfId="0" applyFont="1" applyAlignment="1">
      <alignment vertical="center"/>
    </xf>
    <xf numFmtId="0" fontId="32" fillId="0" borderId="3" xfId="0" applyFont="1" applyBorder="1"/>
    <xf numFmtId="2" fontId="42" fillId="0" borderId="3" xfId="0" applyNumberFormat="1" applyFont="1" applyBorder="1" applyAlignment="1" applyProtection="1">
      <alignment horizontal="center"/>
      <protection locked="0"/>
    </xf>
    <xf numFmtId="0" fontId="39" fillId="0" borderId="1" xfId="0" applyFont="1" applyBorder="1" applyProtection="1">
      <protection locked="0"/>
    </xf>
    <xf numFmtId="0" fontId="39" fillId="0" borderId="3" xfId="0" applyFont="1" applyBorder="1" applyProtection="1">
      <protection locked="0"/>
    </xf>
    <xf numFmtId="1" fontId="42" fillId="0" borderId="1" xfId="0" applyNumberFormat="1" applyFont="1" applyBorder="1" applyAlignment="1" applyProtection="1">
      <alignment horizontal="center"/>
      <protection locked="0"/>
    </xf>
    <xf numFmtId="1" fontId="42" fillId="0" borderId="3" xfId="0" applyNumberFormat="1" applyFont="1" applyBorder="1" applyAlignment="1" applyProtection="1">
      <alignment horizontal="center"/>
      <protection locked="0"/>
    </xf>
    <xf numFmtId="0" fontId="36" fillId="0" borderId="11" xfId="0" applyFont="1" applyBorder="1" applyProtection="1">
      <protection locked="0"/>
    </xf>
    <xf numFmtId="0" fontId="51" fillId="0" borderId="11" xfId="0" applyFont="1" applyBorder="1" applyProtection="1">
      <protection locked="0"/>
    </xf>
    <xf numFmtId="0" fontId="50" fillId="0" borderId="1" xfId="0" applyFont="1" applyBorder="1" applyProtection="1">
      <protection locked="0"/>
    </xf>
    <xf numFmtId="0" fontId="32" fillId="0" borderId="1" xfId="0" applyFont="1" applyBorder="1" applyProtection="1">
      <protection locked="0"/>
    </xf>
    <xf numFmtId="0" fontId="40" fillId="0" borderId="1" xfId="0" applyFont="1" applyBorder="1" applyProtection="1">
      <protection locked="0"/>
    </xf>
    <xf numFmtId="0" fontId="36" fillId="0" borderId="2" xfId="0" applyFont="1" applyBorder="1" applyProtection="1">
      <protection locked="0"/>
    </xf>
    <xf numFmtId="0" fontId="38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14" fontId="0" fillId="0" borderId="2" xfId="0" applyNumberFormat="1" applyBorder="1" applyProtection="1">
      <protection locked="0"/>
    </xf>
    <xf numFmtId="0" fontId="0" fillId="0" borderId="4" xfId="0" applyBorder="1" applyProtection="1">
      <protection locked="0"/>
    </xf>
    <xf numFmtId="0" fontId="46" fillId="0" borderId="2" xfId="0" applyFont="1" applyBorder="1" applyProtection="1">
      <protection locked="0"/>
    </xf>
    <xf numFmtId="0" fontId="36" fillId="5" borderId="2" xfId="0" applyFont="1" applyFill="1" applyBorder="1" applyProtection="1">
      <protection locked="0"/>
    </xf>
    <xf numFmtId="0" fontId="47" fillId="0" borderId="8" xfId="0" applyFont="1" applyBorder="1"/>
    <xf numFmtId="0" fontId="36" fillId="0" borderId="7" xfId="0" applyFont="1" applyBorder="1"/>
    <xf numFmtId="0" fontId="38" fillId="0" borderId="8" xfId="0" applyFont="1" applyBorder="1"/>
    <xf numFmtId="0" fontId="40" fillId="0" borderId="3" xfId="0" applyFont="1" applyBorder="1" applyProtection="1">
      <protection locked="0"/>
    </xf>
    <xf numFmtId="0" fontId="3" fillId="0" borderId="0" xfId="1"/>
    <xf numFmtId="0" fontId="36" fillId="0" borderId="2" xfId="1" applyFont="1" applyBorder="1"/>
    <xf numFmtId="0" fontId="36" fillId="0" borderId="2" xfId="1" applyFont="1" applyBorder="1" applyProtection="1">
      <protection locked="0"/>
    </xf>
    <xf numFmtId="0" fontId="36" fillId="5" borderId="2" xfId="1" applyFont="1" applyFill="1" applyBorder="1" applyProtection="1">
      <protection locked="0"/>
    </xf>
    <xf numFmtId="0" fontId="38" fillId="0" borderId="2" xfId="1" applyFont="1" applyBorder="1" applyProtection="1">
      <protection locked="0"/>
    </xf>
    <xf numFmtId="0" fontId="38" fillId="5" borderId="2" xfId="1" applyFont="1" applyFill="1" applyBorder="1" applyProtection="1">
      <protection locked="0"/>
    </xf>
    <xf numFmtId="0" fontId="46" fillId="0" borderId="2" xfId="1" applyFont="1" applyBorder="1" applyProtection="1">
      <protection locked="0"/>
    </xf>
    <xf numFmtId="2" fontId="40" fillId="0" borderId="2" xfId="0" applyNumberFormat="1" applyFont="1" applyBorder="1" applyProtection="1">
      <protection locked="0"/>
    </xf>
    <xf numFmtId="9" fontId="40" fillId="0" borderId="2" xfId="2" applyFont="1" applyBorder="1" applyProtection="1">
      <protection locked="0"/>
    </xf>
    <xf numFmtId="0" fontId="54" fillId="0" borderId="1" xfId="0" applyFont="1" applyBorder="1" applyProtection="1">
      <protection locked="0"/>
    </xf>
    <xf numFmtId="0" fontId="55" fillId="6" borderId="27" xfId="0" applyFont="1" applyFill="1" applyBorder="1"/>
    <xf numFmtId="0" fontId="56" fillId="0" borderId="4" xfId="0" applyFont="1" applyBorder="1"/>
    <xf numFmtId="0" fontId="56" fillId="0" borderId="6" xfId="0" applyFont="1" applyBorder="1"/>
    <xf numFmtId="0" fontId="56" fillId="0" borderId="1" xfId="0" applyFont="1" applyBorder="1"/>
    <xf numFmtId="0" fontId="56" fillId="0" borderId="11" xfId="0" applyFont="1" applyBorder="1"/>
    <xf numFmtId="0" fontId="56" fillId="0" borderId="10" xfId="0" applyFont="1" applyBorder="1"/>
    <xf numFmtId="0" fontId="56" fillId="0" borderId="4" xfId="0" applyFont="1" applyBorder="1" applyAlignment="1">
      <alignment horizontal="left"/>
    </xf>
    <xf numFmtId="0" fontId="56" fillId="0" borderId="4" xfId="0" applyFont="1" applyBorder="1" applyAlignment="1">
      <alignment horizontal="left" vertical="center" wrapText="1"/>
    </xf>
    <xf numFmtId="0" fontId="56" fillId="0" borderId="4" xfId="0" applyFont="1" applyBorder="1" applyAlignment="1">
      <alignment horizontal="right"/>
    </xf>
    <xf numFmtId="0" fontId="56" fillId="0" borderId="4" xfId="0" applyFont="1" applyBorder="1" applyAlignment="1">
      <alignment horizontal="center"/>
    </xf>
    <xf numFmtId="0" fontId="56" fillId="0" borderId="4" xfId="0" applyFont="1" applyBorder="1" applyAlignment="1">
      <alignment horizontal="center" vertical="center" wrapText="1"/>
    </xf>
    <xf numFmtId="0" fontId="56" fillId="0" borderId="6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right"/>
    </xf>
    <xf numFmtId="0" fontId="56" fillId="0" borderId="2" xfId="0" applyFont="1" applyBorder="1" applyAlignment="1" applyProtection="1">
      <alignment horizontal="right"/>
      <protection locked="0"/>
    </xf>
    <xf numFmtId="0" fontId="56" fillId="0" borderId="6" xfId="0" applyFont="1" applyBorder="1" applyAlignment="1" applyProtection="1">
      <alignment vertical="top"/>
      <protection locked="0"/>
    </xf>
    <xf numFmtId="0" fontId="56" fillId="0" borderId="2" xfId="0" applyFont="1" applyBorder="1"/>
    <xf numFmtId="0" fontId="56" fillId="0" borderId="37" xfId="0" applyFont="1" applyBorder="1" applyAlignment="1">
      <alignment horizontal="right"/>
    </xf>
    <xf numFmtId="0" fontId="56" fillId="0" borderId="10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Protection="1">
      <protection locked="0"/>
    </xf>
    <xf numFmtId="0" fontId="56" fillId="0" borderId="4" xfId="0" applyFont="1" applyBorder="1" applyAlignment="1">
      <alignment horizontal="center" wrapText="1" shrinkToFit="1"/>
    </xf>
    <xf numFmtId="0" fontId="53" fillId="0" borderId="4" xfId="0" applyFont="1" applyBorder="1" applyAlignment="1">
      <alignment horizontal="center" vertical="top" wrapText="1" shrinkToFit="1"/>
    </xf>
    <xf numFmtId="10" fontId="32" fillId="0" borderId="2" xfId="0" applyNumberFormat="1" applyFont="1" applyBorder="1" applyAlignment="1" applyProtection="1">
      <alignment horizontal="center"/>
      <protection locked="0"/>
    </xf>
    <xf numFmtId="10" fontId="32" fillId="0" borderId="5" xfId="0" applyNumberFormat="1" applyFont="1" applyBorder="1" applyAlignment="1" applyProtection="1">
      <alignment horizontal="center"/>
      <protection locked="0"/>
    </xf>
    <xf numFmtId="0" fontId="32" fillId="0" borderId="2" xfId="0" applyFont="1" applyBorder="1" applyAlignment="1" applyProtection="1">
      <alignment horizontal="center"/>
      <protection locked="0"/>
    </xf>
    <xf numFmtId="0" fontId="38" fillId="0" borderId="2" xfId="0" applyFont="1" applyBorder="1" applyAlignment="1" applyProtection="1">
      <alignment horizontal="center"/>
      <protection locked="0"/>
    </xf>
    <xf numFmtId="0" fontId="38" fillId="0" borderId="5" xfId="0" applyFont="1" applyBorder="1" applyAlignment="1" applyProtection="1">
      <alignment horizontal="center"/>
      <protection locked="0"/>
    </xf>
    <xf numFmtId="1" fontId="32" fillId="0" borderId="2" xfId="0" applyNumberFormat="1" applyFont="1" applyBorder="1" applyAlignment="1" applyProtection="1">
      <alignment horizontal="center"/>
      <protection locked="0"/>
    </xf>
    <xf numFmtId="1" fontId="32" fillId="0" borderId="5" xfId="0" applyNumberFormat="1" applyFont="1" applyBorder="1" applyAlignment="1" applyProtection="1">
      <alignment horizontal="center"/>
      <protection locked="0"/>
    </xf>
    <xf numFmtId="0" fontId="53" fillId="0" borderId="6" xfId="1" applyFont="1" applyBorder="1"/>
    <xf numFmtId="0" fontId="53" fillId="0" borderId="2" xfId="1" applyFont="1" applyBorder="1"/>
    <xf numFmtId="0" fontId="53" fillId="0" borderId="2" xfId="1" applyFont="1" applyBorder="1" applyProtection="1">
      <protection locked="0"/>
    </xf>
    <xf numFmtId="0" fontId="53" fillId="5" borderId="2" xfId="1" applyFont="1" applyFill="1" applyBorder="1" applyProtection="1">
      <protection locked="0"/>
    </xf>
    <xf numFmtId="0" fontId="2" fillId="0" borderId="0" xfId="1" applyFont="1"/>
    <xf numFmtId="0" fontId="56" fillId="7" borderId="4" xfId="0" applyFont="1" applyFill="1" applyBorder="1"/>
    <xf numFmtId="0" fontId="56" fillId="0" borderId="0" xfId="0" applyFont="1"/>
    <xf numFmtId="2" fontId="40" fillId="0" borderId="0" xfId="0" applyNumberFormat="1" applyFont="1" applyProtection="1">
      <protection locked="0"/>
    </xf>
    <xf numFmtId="9" fontId="40" fillId="0" borderId="0" xfId="2" applyFont="1" applyBorder="1" applyProtection="1">
      <protection locked="0"/>
    </xf>
    <xf numFmtId="2" fontId="46" fillId="0" borderId="0" xfId="0" applyNumberFormat="1" applyFont="1" applyProtection="1">
      <protection locked="0"/>
    </xf>
    <xf numFmtId="0" fontId="56" fillId="0" borderId="46" xfId="0" applyFont="1" applyBorder="1" applyAlignment="1">
      <alignment horizontal="right"/>
    </xf>
    <xf numFmtId="0" fontId="46" fillId="0" borderId="46" xfId="0" applyFont="1" applyBorder="1" applyProtection="1">
      <protection locked="0"/>
    </xf>
    <xf numFmtId="0" fontId="46" fillId="0" borderId="46" xfId="0" applyFont="1" applyBorder="1"/>
    <xf numFmtId="0" fontId="56" fillId="5" borderId="2" xfId="0" applyFont="1" applyFill="1" applyBorder="1" applyProtection="1">
      <protection locked="0"/>
    </xf>
    <xf numFmtId="0" fontId="53" fillId="9" borderId="2" xfId="0" applyFont="1" applyFill="1" applyBorder="1" applyProtection="1">
      <protection locked="0"/>
    </xf>
    <xf numFmtId="0" fontId="53" fillId="5" borderId="2" xfId="0" applyFont="1" applyFill="1" applyBorder="1" applyProtection="1">
      <protection locked="0"/>
    </xf>
    <xf numFmtId="0" fontId="45" fillId="2" borderId="4" xfId="0" applyFont="1" applyFill="1" applyBorder="1" applyAlignment="1">
      <alignment horizontal="left"/>
    </xf>
    <xf numFmtId="0" fontId="45" fillId="2" borderId="1" xfId="0" applyFont="1" applyFill="1" applyBorder="1" applyAlignment="1">
      <alignment horizontal="left"/>
    </xf>
    <xf numFmtId="0" fontId="45" fillId="2" borderId="3" xfId="0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42" fillId="0" borderId="3" xfId="0" applyFont="1" applyBorder="1" applyAlignment="1">
      <alignment horizontal="left"/>
    </xf>
    <xf numFmtId="0" fontId="56" fillId="0" borderId="4" xfId="0" applyFont="1" applyBorder="1" applyAlignment="1">
      <alignment horizontal="left"/>
    </xf>
    <xf numFmtId="0" fontId="56" fillId="0" borderId="1" xfId="0" applyFont="1" applyBorder="1" applyAlignment="1">
      <alignment horizontal="left"/>
    </xf>
    <xf numFmtId="0" fontId="56" fillId="0" borderId="3" xfId="0" applyFont="1" applyBorder="1" applyAlignment="1">
      <alignment horizontal="left"/>
    </xf>
    <xf numFmtId="0" fontId="42" fillId="0" borderId="45" xfId="0" applyFont="1" applyBorder="1" applyAlignment="1" applyProtection="1">
      <alignment horizontal="center"/>
      <protection locked="0"/>
    </xf>
    <xf numFmtId="0" fontId="42" fillId="0" borderId="5" xfId="0" applyFont="1" applyBorder="1" applyAlignment="1" applyProtection="1">
      <alignment horizontal="center" vertical="top"/>
      <protection locked="0"/>
    </xf>
    <xf numFmtId="0" fontId="42" fillId="0" borderId="14" xfId="0" applyFont="1" applyBorder="1" applyAlignment="1" applyProtection="1">
      <alignment horizontal="center" vertical="top"/>
      <protection locked="0"/>
    </xf>
    <xf numFmtId="0" fontId="42" fillId="0" borderId="5" xfId="0" applyFont="1" applyBorder="1" applyAlignment="1" applyProtection="1">
      <alignment horizontal="left" vertical="top" wrapText="1"/>
      <protection locked="0"/>
    </xf>
    <xf numFmtId="0" fontId="42" fillId="0" borderId="14" xfId="0" applyFont="1" applyBorder="1" applyAlignment="1" applyProtection="1">
      <alignment horizontal="left" vertical="top" wrapText="1"/>
      <protection locked="0"/>
    </xf>
    <xf numFmtId="0" fontId="57" fillId="0" borderId="4" xfId="0" applyFont="1" applyBorder="1" applyAlignment="1" applyProtection="1">
      <alignment horizontal="center"/>
      <protection locked="0"/>
    </xf>
    <xf numFmtId="0" fontId="57" fillId="0" borderId="3" xfId="0" applyFont="1" applyBorder="1" applyAlignment="1" applyProtection="1">
      <alignment horizontal="center"/>
      <protection locked="0"/>
    </xf>
    <xf numFmtId="0" fontId="42" fillId="0" borderId="1" xfId="0" applyFont="1" applyBorder="1" applyAlignment="1" applyProtection="1">
      <alignment horizontal="left"/>
      <protection locked="0"/>
    </xf>
    <xf numFmtId="0" fontId="42" fillId="0" borderId="3" xfId="0" applyFont="1" applyBorder="1" applyAlignment="1" applyProtection="1">
      <alignment horizontal="left"/>
      <protection locked="0"/>
    </xf>
    <xf numFmtId="0" fontId="39" fillId="0" borderId="1" xfId="0" applyFont="1" applyBorder="1" applyAlignment="1" applyProtection="1">
      <alignment horizontal="center"/>
      <protection locked="0"/>
    </xf>
    <xf numFmtId="0" fontId="39" fillId="0" borderId="3" xfId="0" applyFont="1" applyBorder="1" applyAlignment="1" applyProtection="1">
      <alignment horizontal="center"/>
      <protection locked="0"/>
    </xf>
    <xf numFmtId="0" fontId="36" fillId="0" borderId="1" xfId="0" applyFont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center"/>
      <protection locked="0"/>
    </xf>
    <xf numFmtId="0" fontId="43" fillId="0" borderId="1" xfId="0" applyFont="1" applyBorder="1" applyAlignment="1">
      <alignment horizontal="left"/>
    </xf>
    <xf numFmtId="0" fontId="43" fillId="0" borderId="3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44" fillId="0" borderId="3" xfId="0" applyFont="1" applyBorder="1" applyAlignment="1">
      <alignment horizontal="left"/>
    </xf>
    <xf numFmtId="14" fontId="44" fillId="0" borderId="7" xfId="0" applyNumberFormat="1" applyFont="1" applyBorder="1" applyAlignment="1">
      <alignment horizontal="left"/>
    </xf>
    <xf numFmtId="14" fontId="43" fillId="0" borderId="7" xfId="0" applyNumberFormat="1" applyFont="1" applyBorder="1" applyAlignment="1">
      <alignment horizontal="left"/>
    </xf>
    <xf numFmtId="0" fontId="43" fillId="0" borderId="7" xfId="0" applyFont="1" applyBorder="1" applyAlignment="1">
      <alignment horizontal="left"/>
    </xf>
    <xf numFmtId="0" fontId="43" fillId="0" borderId="8" xfId="0" applyFont="1" applyBorder="1" applyAlignment="1">
      <alignment horizontal="left"/>
    </xf>
    <xf numFmtId="0" fontId="44" fillId="2" borderId="4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/>
    </xf>
    <xf numFmtId="0" fontId="36" fillId="0" borderId="7" xfId="0" applyFont="1" applyBorder="1" applyAlignment="1" applyProtection="1">
      <alignment horizontal="center" vertical="top"/>
      <protection locked="0"/>
    </xf>
    <xf numFmtId="0" fontId="56" fillId="0" borderId="38" xfId="0" applyFont="1" applyBorder="1" applyAlignment="1">
      <alignment horizontal="left" vertical="center"/>
    </xf>
    <xf numFmtId="0" fontId="56" fillId="0" borderId="40" xfId="0" applyFont="1" applyBorder="1" applyAlignment="1">
      <alignment horizontal="left" vertical="center"/>
    </xf>
    <xf numFmtId="49" fontId="44" fillId="0" borderId="39" xfId="0" applyNumberFormat="1" applyFont="1" applyBorder="1" applyAlignment="1" applyProtection="1">
      <alignment horizontal="left" vertical="center" wrapText="1"/>
      <protection locked="0"/>
    </xf>
    <xf numFmtId="49" fontId="44" fillId="0" borderId="0" xfId="0" applyNumberFormat="1" applyFont="1" applyAlignment="1" applyProtection="1">
      <alignment horizontal="left" vertical="center" wrapText="1"/>
      <protection locked="0"/>
    </xf>
    <xf numFmtId="49" fontId="44" fillId="0" borderId="44" xfId="0" applyNumberFormat="1" applyFont="1" applyBorder="1" applyAlignment="1" applyProtection="1">
      <alignment horizontal="left" vertical="center" wrapText="1"/>
      <protection locked="0"/>
    </xf>
    <xf numFmtId="49" fontId="44" fillId="0" borderId="41" xfId="0" applyNumberFormat="1" applyFont="1" applyBorder="1" applyAlignment="1" applyProtection="1">
      <alignment horizontal="left" vertical="center" wrapText="1"/>
      <protection locked="0"/>
    </xf>
    <xf numFmtId="49" fontId="44" fillId="0" borderId="42" xfId="0" applyNumberFormat="1" applyFont="1" applyBorder="1" applyAlignment="1" applyProtection="1">
      <alignment horizontal="left" vertical="center" wrapText="1"/>
      <protection locked="0"/>
    </xf>
    <xf numFmtId="0" fontId="42" fillId="0" borderId="11" xfId="0" applyFont="1" applyBorder="1" applyAlignment="1">
      <alignment horizontal="left"/>
    </xf>
    <xf numFmtId="0" fontId="42" fillId="0" borderId="12" xfId="0" applyFont="1" applyBorder="1" applyAlignment="1">
      <alignment horizontal="left"/>
    </xf>
    <xf numFmtId="0" fontId="42" fillId="0" borderId="13" xfId="0" applyFont="1" applyBorder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9" xfId="0" applyFont="1" applyBorder="1" applyAlignment="1" applyProtection="1">
      <alignment horizontal="left" vertical="top" wrapText="1"/>
      <protection locked="0"/>
    </xf>
    <xf numFmtId="0" fontId="42" fillId="0" borderId="10" xfId="0" applyFont="1" applyBorder="1" applyAlignment="1" applyProtection="1">
      <alignment horizontal="left" vertical="top" wrapText="1"/>
      <protection locked="0"/>
    </xf>
    <xf numFmtId="0" fontId="42" fillId="0" borderId="11" xfId="0" applyFont="1" applyBorder="1" applyAlignment="1" applyProtection="1">
      <alignment horizontal="left" vertical="top" wrapText="1"/>
      <protection locked="0"/>
    </xf>
    <xf numFmtId="0" fontId="42" fillId="0" borderId="12" xfId="0" applyFont="1" applyBorder="1" applyAlignment="1" applyProtection="1">
      <alignment horizontal="left" vertical="top" wrapText="1"/>
      <protection locked="0"/>
    </xf>
    <xf numFmtId="2" fontId="42" fillId="6" borderId="28" xfId="0" applyNumberFormat="1" applyFont="1" applyFill="1" applyBorder="1" applyAlignment="1">
      <alignment horizontal="center"/>
    </xf>
    <xf numFmtId="2" fontId="42" fillId="6" borderId="19" xfId="0" applyNumberFormat="1" applyFont="1" applyFill="1" applyBorder="1" applyAlignment="1">
      <alignment horizontal="center"/>
    </xf>
    <xf numFmtId="0" fontId="56" fillId="0" borderId="2" xfId="0" applyFont="1" applyBorder="1" applyAlignment="1" applyProtection="1">
      <alignment horizontal="left"/>
      <protection locked="0"/>
    </xf>
    <xf numFmtId="0" fontId="56" fillId="7" borderId="4" xfId="0" applyFont="1" applyFill="1" applyBorder="1" applyAlignment="1">
      <alignment horizontal="center"/>
    </xf>
    <xf numFmtId="0" fontId="56" fillId="7" borderId="3" xfId="0" applyFont="1" applyFill="1" applyBorder="1" applyAlignment="1">
      <alignment horizontal="center"/>
    </xf>
    <xf numFmtId="0" fontId="56" fillId="0" borderId="4" xfId="0" applyFont="1" applyBorder="1" applyAlignment="1">
      <alignment horizontal="right"/>
    </xf>
    <xf numFmtId="0" fontId="56" fillId="0" borderId="3" xfId="0" applyFont="1" applyBorder="1" applyAlignment="1">
      <alignment horizontal="right"/>
    </xf>
    <xf numFmtId="1" fontId="42" fillId="0" borderId="1" xfId="0" applyNumberFormat="1" applyFont="1" applyBorder="1" applyAlignment="1" applyProtection="1">
      <alignment horizontal="center"/>
      <protection locked="0"/>
    </xf>
    <xf numFmtId="1" fontId="42" fillId="0" borderId="3" xfId="0" applyNumberFormat="1" applyFont="1" applyBorder="1" applyAlignment="1" applyProtection="1">
      <alignment horizontal="center"/>
      <protection locked="0"/>
    </xf>
    <xf numFmtId="0" fontId="39" fillId="0" borderId="1" xfId="0" applyFont="1" applyBorder="1" applyAlignment="1" applyProtection="1">
      <alignment horizontal="center" shrinkToFit="1"/>
      <protection locked="0"/>
    </xf>
    <xf numFmtId="0" fontId="43" fillId="0" borderId="1" xfId="0" applyFont="1" applyBorder="1" applyAlignment="1" applyProtection="1">
      <alignment horizontal="left"/>
      <protection locked="0"/>
    </xf>
    <xf numFmtId="0" fontId="43" fillId="0" borderId="3" xfId="0" applyFont="1" applyBorder="1" applyAlignment="1" applyProtection="1">
      <alignment horizontal="left"/>
      <protection locked="0"/>
    </xf>
    <xf numFmtId="14" fontId="44" fillId="0" borderId="7" xfId="0" applyNumberFormat="1" applyFont="1" applyBorder="1" applyAlignment="1" applyProtection="1">
      <alignment horizontal="left"/>
      <protection locked="0"/>
    </xf>
    <xf numFmtId="14" fontId="43" fillId="0" borderId="7" xfId="0" applyNumberFormat="1" applyFont="1" applyBorder="1" applyAlignment="1" applyProtection="1">
      <alignment horizontal="left"/>
      <protection locked="0"/>
    </xf>
    <xf numFmtId="0" fontId="43" fillId="0" borderId="7" xfId="0" applyFont="1" applyBorder="1" applyAlignment="1" applyProtection="1">
      <alignment horizontal="left"/>
      <protection locked="0"/>
    </xf>
    <xf numFmtId="0" fontId="43" fillId="0" borderId="8" xfId="0" applyFont="1" applyBorder="1" applyAlignment="1" applyProtection="1">
      <alignment horizontal="left"/>
      <protection locked="0"/>
    </xf>
    <xf numFmtId="0" fontId="44" fillId="0" borderId="1" xfId="0" applyFont="1" applyBorder="1" applyAlignment="1" applyProtection="1">
      <alignment horizontal="left"/>
      <protection locked="0"/>
    </xf>
    <xf numFmtId="0" fontId="44" fillId="0" borderId="3" xfId="0" applyFont="1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center"/>
      <protection locked="0"/>
    </xf>
    <xf numFmtId="0" fontId="41" fillId="0" borderId="2" xfId="0" applyFont="1" applyBorder="1"/>
    <xf numFmtId="0" fontId="37" fillId="0" borderId="2" xfId="0" applyFont="1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45" fillId="2" borderId="6" xfId="0" applyFont="1" applyFill="1" applyBorder="1" applyAlignment="1">
      <alignment horizontal="left"/>
    </xf>
    <xf numFmtId="0" fontId="45" fillId="2" borderId="7" xfId="0" applyFont="1" applyFill="1" applyBorder="1" applyAlignment="1">
      <alignment horizontal="left"/>
    </xf>
    <xf numFmtId="0" fontId="45" fillId="2" borderId="8" xfId="0" applyFont="1" applyFill="1" applyBorder="1" applyAlignment="1">
      <alignment horizontal="left"/>
    </xf>
    <xf numFmtId="0" fontId="45" fillId="2" borderId="2" xfId="0" applyFont="1" applyFill="1" applyBorder="1" applyAlignment="1">
      <alignment horizontal="left"/>
    </xf>
    <xf numFmtId="0" fontId="56" fillId="0" borderId="2" xfId="0" applyFont="1" applyBorder="1" applyAlignment="1">
      <alignment horizontal="center"/>
    </xf>
    <xf numFmtId="0" fontId="56" fillId="0" borderId="4" xfId="0" applyFont="1" applyBorder="1" applyAlignment="1">
      <alignment horizontal="center"/>
    </xf>
    <xf numFmtId="0" fontId="56" fillId="0" borderId="3" xfId="0" applyFont="1" applyBorder="1" applyAlignment="1">
      <alignment horizontal="center"/>
    </xf>
    <xf numFmtId="2" fontId="42" fillId="0" borderId="11" xfId="0" applyNumberFormat="1" applyFont="1" applyBorder="1" applyAlignment="1">
      <alignment horizontal="center"/>
    </xf>
    <xf numFmtId="2" fontId="42" fillId="0" borderId="12" xfId="0" applyNumberFormat="1" applyFont="1" applyBorder="1" applyAlignment="1">
      <alignment horizontal="center"/>
    </xf>
    <xf numFmtId="0" fontId="42" fillId="0" borderId="11" xfId="0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1" fontId="42" fillId="0" borderId="1" xfId="0" applyNumberFormat="1" applyFont="1" applyBorder="1" applyAlignment="1">
      <alignment horizontal="center"/>
    </xf>
    <xf numFmtId="1" fontId="42" fillId="0" borderId="3" xfId="0" applyNumberFormat="1" applyFont="1" applyBorder="1" applyAlignment="1">
      <alignment horizontal="center"/>
    </xf>
    <xf numFmtId="0" fontId="39" fillId="0" borderId="4" xfId="0" applyFont="1" applyBorder="1" applyAlignment="1" applyProtection="1">
      <alignment horizontal="center"/>
      <protection locked="0"/>
    </xf>
    <xf numFmtId="0" fontId="56" fillId="0" borderId="1" xfId="0" applyFont="1" applyBorder="1" applyAlignment="1">
      <alignment horizontal="center"/>
    </xf>
    <xf numFmtId="0" fontId="42" fillId="0" borderId="4" xfId="0" applyFont="1" applyBorder="1" applyAlignment="1" applyProtection="1">
      <alignment horizontal="center"/>
      <protection locked="0"/>
    </xf>
    <xf numFmtId="0" fontId="42" fillId="0" borderId="1" xfId="0" applyFont="1" applyBorder="1" applyAlignment="1" applyProtection="1">
      <alignment horizontal="center"/>
      <protection locked="0"/>
    </xf>
    <xf numFmtId="0" fontId="42" fillId="0" borderId="3" xfId="0" applyFont="1" applyBorder="1" applyAlignment="1" applyProtection="1">
      <alignment horizontal="center"/>
      <protection locked="0"/>
    </xf>
    <xf numFmtId="0" fontId="42" fillId="4" borderId="4" xfId="0" applyFont="1" applyFill="1" applyBorder="1" applyAlignment="1" applyProtection="1">
      <alignment horizontal="center"/>
      <protection locked="0"/>
    </xf>
    <xf numFmtId="0" fontId="42" fillId="4" borderId="1" xfId="0" applyFont="1" applyFill="1" applyBorder="1" applyAlignment="1" applyProtection="1">
      <alignment horizontal="center"/>
      <protection locked="0"/>
    </xf>
    <xf numFmtId="0" fontId="42" fillId="4" borderId="3" xfId="0" applyFont="1" applyFill="1" applyBorder="1" applyAlignment="1" applyProtection="1">
      <alignment horizontal="center"/>
      <protection locked="0"/>
    </xf>
    <xf numFmtId="0" fontId="54" fillId="0" borderId="4" xfId="0" applyFont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54" fillId="0" borderId="3" xfId="0" applyFont="1" applyBorder="1" applyAlignment="1">
      <alignment horizontal="center"/>
    </xf>
    <xf numFmtId="0" fontId="42" fillId="8" borderId="1" xfId="0" applyFont="1" applyFill="1" applyBorder="1" applyAlignment="1" applyProtection="1">
      <alignment horizontal="center"/>
      <protection locked="0"/>
    </xf>
    <xf numFmtId="0" fontId="42" fillId="8" borderId="3" xfId="0" applyFont="1" applyFill="1" applyBorder="1" applyAlignment="1" applyProtection="1">
      <alignment horizontal="center"/>
      <protection locked="0"/>
    </xf>
    <xf numFmtId="14" fontId="42" fillId="0" borderId="1" xfId="0" applyNumberFormat="1" applyFont="1" applyBorder="1" applyAlignment="1" applyProtection="1">
      <alignment horizontal="center"/>
      <protection locked="0"/>
    </xf>
    <xf numFmtId="14" fontId="42" fillId="0" borderId="3" xfId="0" applyNumberFormat="1" applyFont="1" applyBorder="1" applyAlignment="1" applyProtection="1">
      <alignment horizontal="center"/>
      <protection locked="0"/>
    </xf>
    <xf numFmtId="1" fontId="42" fillId="0" borderId="4" xfId="0" applyNumberFormat="1" applyFont="1" applyBorder="1" applyAlignment="1" applyProtection="1">
      <alignment horizontal="center"/>
      <protection locked="0"/>
    </xf>
    <xf numFmtId="0" fontId="1" fillId="0" borderId="13" xfId="0" applyFont="1" applyBorder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9" xfId="0" applyFont="1" applyBorder="1" applyAlignment="1" applyProtection="1">
      <alignment horizontal="center" vertical="top" wrapText="1"/>
      <protection locked="0"/>
    </xf>
    <xf numFmtId="0" fontId="4" fillId="0" borderId="13" xfId="0" applyFont="1" applyBorder="1" applyAlignment="1" applyProtection="1">
      <alignment horizontal="center" vertical="top" wrapText="1"/>
      <protection locked="0"/>
    </xf>
    <xf numFmtId="0" fontId="4" fillId="0" borderId="10" xfId="0" applyFont="1" applyBorder="1" applyAlignment="1" applyProtection="1">
      <alignment horizontal="center" vertical="top" wrapText="1"/>
      <protection locked="0"/>
    </xf>
    <xf numFmtId="0" fontId="4" fillId="0" borderId="11" xfId="0" applyFont="1" applyBorder="1" applyAlignment="1" applyProtection="1">
      <alignment horizontal="center" vertical="top" wrapText="1"/>
      <protection locked="0"/>
    </xf>
    <xf numFmtId="0" fontId="4" fillId="0" borderId="12" xfId="0" applyFont="1" applyBorder="1" applyAlignment="1" applyProtection="1">
      <alignment horizontal="center" vertical="top" wrapText="1"/>
      <protection locked="0"/>
    </xf>
    <xf numFmtId="0" fontId="51" fillId="0" borderId="11" xfId="0" applyFont="1" applyBorder="1" applyProtection="1">
      <protection locked="0"/>
    </xf>
    <xf numFmtId="0" fontId="50" fillId="0" borderId="12" xfId="0" applyFont="1" applyBorder="1" applyProtection="1">
      <protection locked="0"/>
    </xf>
    <xf numFmtId="0" fontId="36" fillId="0" borderId="1" xfId="0" applyFont="1" applyBorder="1"/>
    <xf numFmtId="0" fontId="0" fillId="0" borderId="6" xfId="0" applyBorder="1" applyAlignment="1" applyProtection="1">
      <alignment horizontal="center" wrapText="1"/>
      <protection locked="0"/>
    </xf>
    <xf numFmtId="0" fontId="0" fillId="0" borderId="7" xfId="0" applyBorder="1" applyAlignment="1" applyProtection="1">
      <alignment horizontal="center" wrapText="1"/>
      <protection locked="0"/>
    </xf>
    <xf numFmtId="0" fontId="0" fillId="0" borderId="8" xfId="0" applyBorder="1" applyAlignment="1" applyProtection="1">
      <alignment horizontal="center" wrapText="1"/>
      <protection locked="0"/>
    </xf>
    <xf numFmtId="0" fontId="0" fillId="0" borderId="13" xfId="0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9" xfId="0" applyBorder="1" applyAlignment="1" applyProtection="1">
      <alignment horizontal="center" wrapText="1"/>
      <protection locked="0"/>
    </xf>
    <xf numFmtId="0" fontId="0" fillId="0" borderId="10" xfId="0" applyBorder="1" applyAlignment="1" applyProtection="1">
      <alignment horizontal="center" wrapText="1"/>
      <protection locked="0"/>
    </xf>
    <xf numFmtId="0" fontId="0" fillId="0" borderId="11" xfId="0" applyBorder="1" applyAlignment="1" applyProtection="1">
      <alignment horizontal="center" wrapText="1"/>
      <protection locked="0"/>
    </xf>
    <xf numFmtId="0" fontId="0" fillId="0" borderId="12" xfId="0" applyBorder="1" applyAlignment="1" applyProtection="1">
      <alignment horizontal="center" wrapText="1"/>
      <protection locked="0"/>
    </xf>
    <xf numFmtId="0" fontId="14" fillId="0" borderId="1" xfId="0" applyFont="1" applyBorder="1"/>
    <xf numFmtId="0" fontId="8" fillId="0" borderId="1" xfId="0" applyFont="1" applyBorder="1"/>
    <xf numFmtId="0" fontId="23" fillId="0" borderId="1" xfId="0" applyFont="1" applyBorder="1"/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21" fillId="0" borderId="1" xfId="0" applyFont="1" applyBorder="1"/>
    <xf numFmtId="0" fontId="13" fillId="0" borderId="3" xfId="0" applyFont="1" applyBorder="1"/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3" borderId="31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26" fillId="2" borderId="27" xfId="0" applyFont="1" applyFill="1" applyBorder="1" applyAlignment="1">
      <alignment horizontal="center"/>
    </xf>
    <xf numFmtId="0" fontId="26" fillId="2" borderId="28" xfId="0" applyFont="1" applyFill="1" applyBorder="1" applyAlignment="1">
      <alignment horizontal="center"/>
    </xf>
    <xf numFmtId="0" fontId="26" fillId="2" borderId="19" xfId="0" applyFont="1" applyFill="1" applyBorder="1" applyAlignment="1">
      <alignment horizontal="center"/>
    </xf>
    <xf numFmtId="0" fontId="33" fillId="2" borderId="27" xfId="0" applyFont="1" applyFill="1" applyBorder="1" applyAlignment="1">
      <alignment horizontal="center"/>
    </xf>
    <xf numFmtId="0" fontId="33" fillId="2" borderId="28" xfId="0" applyFont="1" applyFill="1" applyBorder="1" applyAlignment="1">
      <alignment horizontal="center"/>
    </xf>
    <xf numFmtId="0" fontId="33" fillId="2" borderId="32" xfId="0" applyFont="1" applyFill="1" applyBorder="1" applyAlignment="1">
      <alignment horizontal="center"/>
    </xf>
    <xf numFmtId="0" fontId="33" fillId="2" borderId="29" xfId="0" applyFont="1" applyFill="1" applyBorder="1" applyAlignment="1">
      <alignment horizontal="center"/>
    </xf>
    <xf numFmtId="0" fontId="11" fillId="3" borderId="30" xfId="0" applyFont="1" applyFill="1" applyBorder="1" applyAlignment="1">
      <alignment horizontal="center"/>
    </xf>
    <xf numFmtId="0" fontId="11" fillId="3" borderId="31" xfId="0" applyFont="1" applyFill="1" applyBorder="1" applyAlignment="1">
      <alignment horizontal="center"/>
    </xf>
    <xf numFmtId="0" fontId="5" fillId="0" borderId="33" xfId="0" applyFont="1" applyBorder="1"/>
    <xf numFmtId="0" fontId="9" fillId="0" borderId="34" xfId="0" applyFont="1" applyBorder="1"/>
    <xf numFmtId="0" fontId="14" fillId="0" borderId="10" xfId="0" applyFont="1" applyBorder="1"/>
    <xf numFmtId="0" fontId="13" fillId="0" borderId="11" xfId="0" applyFont="1" applyBorder="1"/>
    <xf numFmtId="0" fontId="5" fillId="0" borderId="18" xfId="0" applyFont="1" applyBorder="1"/>
    <xf numFmtId="0" fontId="9" fillId="0" borderId="17" xfId="0" applyFont="1" applyBorder="1"/>
    <xf numFmtId="0" fontId="14" fillId="0" borderId="3" xfId="0" applyFont="1" applyBorder="1"/>
    <xf numFmtId="0" fontId="13" fillId="0" borderId="2" xfId="0" applyFont="1" applyBorder="1"/>
    <xf numFmtId="0" fontId="5" fillId="0" borderId="35" xfId="0" applyFont="1" applyBorder="1"/>
    <xf numFmtId="9" fontId="10" fillId="2" borderId="27" xfId="0" applyNumberFormat="1" applyFont="1" applyFill="1" applyBorder="1" applyAlignment="1">
      <alignment horizontal="center"/>
    </xf>
    <xf numFmtId="9" fontId="10" fillId="2" borderId="19" xfId="0" applyNumberFormat="1" applyFont="1" applyFill="1" applyBorder="1" applyAlignment="1">
      <alignment horizontal="center"/>
    </xf>
    <xf numFmtId="9" fontId="30" fillId="2" borderId="27" xfId="0" applyNumberFormat="1" applyFont="1" applyFill="1" applyBorder="1" applyAlignment="1">
      <alignment horizontal="center"/>
    </xf>
    <xf numFmtId="9" fontId="30" fillId="2" borderId="19" xfId="0" applyNumberFormat="1" applyFont="1" applyFill="1" applyBorder="1" applyAlignment="1">
      <alignment horizontal="center"/>
    </xf>
    <xf numFmtId="0" fontId="5" fillId="0" borderId="9" xfId="0" applyFont="1" applyBorder="1"/>
    <xf numFmtId="0" fontId="9" fillId="0" borderId="15" xfId="0" applyFont="1" applyBorder="1"/>
    <xf numFmtId="9" fontId="11" fillId="2" borderId="27" xfId="0" applyNumberFormat="1" applyFont="1" applyFill="1" applyBorder="1" applyAlignment="1">
      <alignment horizontal="center"/>
    </xf>
    <xf numFmtId="9" fontId="11" fillId="2" borderId="19" xfId="0" applyNumberFormat="1" applyFont="1" applyFill="1" applyBorder="1" applyAlignment="1">
      <alignment horizontal="center"/>
    </xf>
    <xf numFmtId="0" fontId="5" fillId="0" borderId="36" xfId="0" applyFont="1" applyBorder="1"/>
    <xf numFmtId="164" fontId="10" fillId="2" borderId="27" xfId="0" applyNumberFormat="1" applyFont="1" applyFill="1" applyBorder="1" applyAlignment="1">
      <alignment horizontal="center"/>
    </xf>
    <xf numFmtId="164" fontId="10" fillId="2" borderId="19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36" xfId="0" applyFont="1" applyBorder="1"/>
    <xf numFmtId="0" fontId="11" fillId="0" borderId="17" xfId="0" applyFont="1" applyBorder="1"/>
    <xf numFmtId="0" fontId="28" fillId="2" borderId="27" xfId="0" applyFont="1" applyFill="1" applyBorder="1" applyAlignment="1">
      <alignment horizontal="center"/>
    </xf>
    <xf numFmtId="0" fontId="28" fillId="2" borderId="19" xfId="0" applyFont="1" applyFill="1" applyBorder="1" applyAlignment="1">
      <alignment horizontal="center"/>
    </xf>
    <xf numFmtId="0" fontId="10" fillId="2" borderId="27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0" fontId="45" fillId="2" borderId="4" xfId="1" applyFont="1" applyFill="1" applyBorder="1" applyAlignment="1">
      <alignment horizontal="left"/>
    </xf>
    <xf numFmtId="0" fontId="45" fillId="2" borderId="1" xfId="1" applyFont="1" applyFill="1" applyBorder="1" applyAlignment="1">
      <alignment horizontal="left"/>
    </xf>
    <xf numFmtId="0" fontId="45" fillId="2" borderId="3" xfId="1" applyFont="1" applyFill="1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14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7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Y118"/>
  <sheetViews>
    <sheetView tabSelected="1" zoomScale="90" zoomScaleNormal="90" workbookViewId="0">
      <selection activeCell="AB15" sqref="AB15"/>
    </sheetView>
  </sheetViews>
  <sheetFormatPr defaultRowHeight="13" x14ac:dyDescent="0.6"/>
  <cols>
    <col min="1" max="1" width="11.26953125" customWidth="1"/>
    <col min="2" max="2" width="11.40625" bestFit="1" customWidth="1"/>
    <col min="3" max="3" width="9.86328125" bestFit="1" customWidth="1"/>
    <col min="4" max="4" width="11" bestFit="1" customWidth="1"/>
    <col min="5" max="5" width="9.26953125" bestFit="1" customWidth="1"/>
    <col min="6" max="6" width="8" bestFit="1" customWidth="1"/>
    <col min="7" max="7" width="9.26953125" customWidth="1"/>
    <col min="8" max="8" width="10.40625" bestFit="1" customWidth="1"/>
    <col min="9" max="9" width="8.54296875" bestFit="1" customWidth="1"/>
    <col min="10" max="10" width="7.54296875" customWidth="1"/>
    <col min="11" max="11" width="9.26953125" customWidth="1"/>
    <col min="12" max="12" width="1.26953125" customWidth="1"/>
    <col min="13" max="13" width="9.26953125" customWidth="1"/>
  </cols>
  <sheetData>
    <row r="1" spans="1:23" ht="18.95" customHeight="1" x14ac:dyDescent="0.8">
      <c r="A1" s="162" t="s">
        <v>29</v>
      </c>
      <c r="B1" s="221" t="s">
        <v>265</v>
      </c>
      <c r="C1" s="221"/>
      <c r="D1" s="221"/>
      <c r="E1" s="162" t="s">
        <v>30</v>
      </c>
      <c r="F1" s="264" t="s">
        <v>248</v>
      </c>
      <c r="G1" s="264"/>
      <c r="H1" s="265"/>
      <c r="I1" s="162" t="s">
        <v>13</v>
      </c>
      <c r="J1" s="270" t="s">
        <v>268</v>
      </c>
      <c r="K1" s="271"/>
      <c r="M1" s="162" t="s">
        <v>29</v>
      </c>
      <c r="N1" s="209" t="str">
        <f>B1</f>
        <v>GREENSLOPES</v>
      </c>
      <c r="O1" s="209"/>
      <c r="P1" s="209"/>
      <c r="Q1" s="162" t="s">
        <v>30</v>
      </c>
      <c r="R1" s="227" t="str">
        <f>F1</f>
        <v>PB34047050LI - LCW354750</v>
      </c>
      <c r="S1" s="227"/>
      <c r="T1" s="228"/>
      <c r="U1" s="162" t="s">
        <v>13</v>
      </c>
      <c r="V1" s="229" t="str">
        <f>J1</f>
        <v>DP932834</v>
      </c>
      <c r="W1" s="230"/>
    </row>
    <row r="2" spans="1:23" ht="18.95" customHeight="1" x14ac:dyDescent="0.8">
      <c r="A2" s="163" t="s">
        <v>26</v>
      </c>
      <c r="B2" s="266" t="s">
        <v>266</v>
      </c>
      <c r="C2" s="266"/>
      <c r="D2" s="266"/>
      <c r="E2" s="163" t="s">
        <v>151</v>
      </c>
      <c r="F2" s="267" t="s">
        <v>267</v>
      </c>
      <c r="G2" s="268"/>
      <c r="H2" s="269"/>
      <c r="I2" s="211" t="s">
        <v>244</v>
      </c>
      <c r="J2" s="212"/>
      <c r="K2" s="213"/>
      <c r="M2" s="163" t="s">
        <v>26</v>
      </c>
      <c r="N2" s="231" t="str">
        <f>B2</f>
        <v>30.01.2019</v>
      </c>
      <c r="O2" s="231"/>
      <c r="P2" s="231"/>
      <c r="Q2" s="163" t="s">
        <v>151</v>
      </c>
      <c r="R2" s="232" t="str">
        <f>F2</f>
        <v>ASAP</v>
      </c>
      <c r="S2" s="233"/>
      <c r="T2" s="234"/>
      <c r="U2" s="211"/>
      <c r="V2" s="212"/>
      <c r="W2" s="213"/>
    </row>
    <row r="3" spans="1:23" ht="18.95" customHeight="1" x14ac:dyDescent="0.6">
      <c r="A3" s="239" t="s">
        <v>10</v>
      </c>
      <c r="B3" s="241" t="s">
        <v>264</v>
      </c>
      <c r="C3" s="241"/>
      <c r="D3" s="241"/>
      <c r="E3" s="241"/>
      <c r="F3" s="241"/>
      <c r="G3" s="241"/>
      <c r="H3" s="241"/>
      <c r="I3" s="242"/>
      <c r="J3" s="242"/>
      <c r="K3" s="243"/>
      <c r="M3" s="239" t="s">
        <v>10</v>
      </c>
      <c r="N3" s="241" t="s">
        <v>249</v>
      </c>
      <c r="O3" s="241"/>
      <c r="P3" s="241"/>
      <c r="Q3" s="241"/>
      <c r="R3" s="241"/>
      <c r="S3" s="241"/>
      <c r="T3" s="241"/>
      <c r="U3" s="242"/>
      <c r="V3" s="242"/>
      <c r="W3" s="243"/>
    </row>
    <row r="4" spans="1:23" ht="18.95" customHeight="1" x14ac:dyDescent="0.6">
      <c r="A4" s="240"/>
      <c r="B4" s="244"/>
      <c r="C4" s="244"/>
      <c r="D4" s="244"/>
      <c r="E4" s="244"/>
      <c r="F4" s="244"/>
      <c r="G4" s="244"/>
      <c r="H4" s="244"/>
      <c r="I4" s="244"/>
      <c r="J4" s="244"/>
      <c r="K4" s="245"/>
      <c r="M4" s="240"/>
      <c r="N4" s="244"/>
      <c r="O4" s="244"/>
      <c r="P4" s="244"/>
      <c r="Q4" s="244"/>
      <c r="R4" s="244"/>
      <c r="S4" s="244"/>
      <c r="T4" s="244"/>
      <c r="U4" s="244"/>
      <c r="V4" s="244"/>
      <c r="W4" s="245"/>
    </row>
    <row r="5" spans="1:23" ht="12.75" customHeight="1" x14ac:dyDescent="0.6">
      <c r="A5" s="102"/>
      <c r="B5" s="101"/>
      <c r="C5" s="101"/>
      <c r="D5" s="101"/>
      <c r="E5" s="101"/>
      <c r="F5" s="101"/>
      <c r="G5" s="101"/>
      <c r="H5" s="101"/>
      <c r="I5" s="101"/>
      <c r="J5" s="101"/>
      <c r="K5" s="101"/>
      <c r="M5" s="118"/>
      <c r="N5" s="117"/>
      <c r="O5" s="117"/>
      <c r="P5" s="117"/>
      <c r="Q5" s="117"/>
      <c r="R5" s="117"/>
      <c r="S5" s="117"/>
      <c r="T5" s="117"/>
      <c r="U5" s="117"/>
      <c r="V5" s="117"/>
      <c r="W5" s="117"/>
    </row>
    <row r="6" spans="1:23" ht="18.95" customHeight="1" x14ac:dyDescent="0.8">
      <c r="A6" s="162" t="s">
        <v>182</v>
      </c>
      <c r="B6" s="305" t="s">
        <v>181</v>
      </c>
      <c r="C6" s="305"/>
      <c r="D6" s="306"/>
      <c r="E6" s="162" t="s">
        <v>28</v>
      </c>
      <c r="F6" s="303" t="s">
        <v>250</v>
      </c>
      <c r="G6" s="303"/>
      <c r="H6" s="304"/>
      <c r="I6" s="284" t="s">
        <v>184</v>
      </c>
      <c r="J6" s="293"/>
      <c r="K6" s="285"/>
      <c r="M6" s="162" t="s">
        <v>199</v>
      </c>
      <c r="N6" s="221" t="s">
        <v>79</v>
      </c>
      <c r="O6" s="221"/>
      <c r="P6" s="222"/>
      <c r="Q6" s="170" t="s">
        <v>108</v>
      </c>
      <c r="R6" s="133" t="s">
        <v>156</v>
      </c>
      <c r="S6" s="171" t="s">
        <v>209</v>
      </c>
      <c r="T6" s="133">
        <v>100</v>
      </c>
      <c r="U6" s="172" t="s">
        <v>201</v>
      </c>
      <c r="V6" s="147" t="s">
        <v>225</v>
      </c>
      <c r="W6" s="112"/>
    </row>
    <row r="7" spans="1:23" ht="18.95" customHeight="1" x14ac:dyDescent="0.8">
      <c r="A7" s="162" t="s">
        <v>27</v>
      </c>
      <c r="B7" s="116">
        <f>O8</f>
        <v>340</v>
      </c>
      <c r="C7" s="164" t="s">
        <v>152</v>
      </c>
      <c r="D7" s="215" t="s">
        <v>191</v>
      </c>
      <c r="E7" s="162" t="s">
        <v>153</v>
      </c>
      <c r="F7" s="94">
        <f>+S8</f>
        <v>50</v>
      </c>
      <c r="G7" s="164" t="s">
        <v>152</v>
      </c>
      <c r="H7" s="217" t="s">
        <v>256</v>
      </c>
      <c r="I7" s="294" t="s">
        <v>188</v>
      </c>
      <c r="J7" s="295"/>
      <c r="K7" s="296"/>
      <c r="M7" s="162" t="s">
        <v>80</v>
      </c>
      <c r="N7" s="209">
        <f>+Q7*T7</f>
        <v>16000</v>
      </c>
      <c r="O7" s="210"/>
      <c r="P7" s="169" t="s">
        <v>81</v>
      </c>
      <c r="Q7" s="221">
        <v>16</v>
      </c>
      <c r="R7" s="222"/>
      <c r="S7" s="162" t="s">
        <v>105</v>
      </c>
      <c r="T7" s="133">
        <v>1000</v>
      </c>
      <c r="U7" s="163" t="s">
        <v>84</v>
      </c>
      <c r="V7" s="148"/>
      <c r="W7" s="149"/>
    </row>
    <row r="8" spans="1:23" ht="18.95" customHeight="1" thickBot="1" x14ac:dyDescent="0.95">
      <c r="A8" s="163" t="s">
        <v>186</v>
      </c>
      <c r="B8" s="214" t="s">
        <v>157</v>
      </c>
      <c r="C8" s="214"/>
      <c r="D8" s="216"/>
      <c r="E8" s="91"/>
      <c r="F8" s="97"/>
      <c r="G8" s="91"/>
      <c r="H8" s="218"/>
      <c r="I8" s="297" t="s">
        <v>198</v>
      </c>
      <c r="J8" s="298"/>
      <c r="K8" s="299"/>
      <c r="M8" s="162" t="s">
        <v>82</v>
      </c>
      <c r="N8" s="92"/>
      <c r="O8" s="133">
        <v>340</v>
      </c>
      <c r="P8" s="126" t="s">
        <v>61</v>
      </c>
      <c r="Q8" s="133">
        <v>470</v>
      </c>
      <c r="R8" s="126" t="s">
        <v>61</v>
      </c>
      <c r="S8" s="133">
        <v>50</v>
      </c>
      <c r="T8" s="133" t="s">
        <v>62</v>
      </c>
      <c r="U8" s="248" t="s">
        <v>251</v>
      </c>
      <c r="V8" s="249"/>
      <c r="W8" s="250"/>
    </row>
    <row r="9" spans="1:23" ht="18.95" customHeight="1" thickBot="1" x14ac:dyDescent="0.95">
      <c r="A9" s="161" t="s">
        <v>23</v>
      </c>
      <c r="B9" s="254">
        <f>+(O8*Q8*S8/540000)*N7/1000*1.08</f>
        <v>255.68</v>
      </c>
      <c r="C9" s="255"/>
      <c r="D9" s="165" t="s">
        <v>24</v>
      </c>
      <c r="E9" s="288">
        <f>Q8*N7/1000*1.08</f>
        <v>8121.6</v>
      </c>
      <c r="F9" s="289"/>
      <c r="G9" s="162" t="s">
        <v>25</v>
      </c>
      <c r="H9" s="113">
        <v>8</v>
      </c>
      <c r="I9" s="300" t="s">
        <v>192</v>
      </c>
      <c r="J9" s="301"/>
      <c r="K9" s="302"/>
      <c r="M9" s="166" t="s">
        <v>83</v>
      </c>
      <c r="N9" s="246" t="str">
        <f>B8</f>
        <v>No</v>
      </c>
      <c r="O9" s="246"/>
      <c r="P9" s="247"/>
      <c r="Q9" s="91"/>
      <c r="R9" s="91"/>
      <c r="S9" s="91"/>
      <c r="T9" s="91"/>
      <c r="U9" s="248"/>
      <c r="V9" s="249"/>
      <c r="W9" s="250"/>
    </row>
    <row r="10" spans="1:23" ht="18.95" customHeight="1" x14ac:dyDescent="0.8">
      <c r="A10" s="166" t="s">
        <v>32</v>
      </c>
      <c r="B10" s="286">
        <f>+B9/H9</f>
        <v>31.96</v>
      </c>
      <c r="C10" s="287"/>
      <c r="D10" s="162" t="s">
        <v>33</v>
      </c>
      <c r="E10" s="290">
        <f>+E9/H9</f>
        <v>1015.2</v>
      </c>
      <c r="F10" s="291"/>
      <c r="G10" s="219"/>
      <c r="H10" s="220"/>
      <c r="I10" s="297" t="s">
        <v>157</v>
      </c>
      <c r="J10" s="298"/>
      <c r="K10" s="299"/>
      <c r="M10" s="162" t="s">
        <v>203</v>
      </c>
      <c r="N10" s="221" t="s">
        <v>205</v>
      </c>
      <c r="O10" s="221"/>
      <c r="P10" s="222"/>
      <c r="Q10" s="162" t="s">
        <v>210</v>
      </c>
      <c r="R10" s="221"/>
      <c r="S10" s="221"/>
      <c r="T10" s="221"/>
      <c r="U10" s="251"/>
      <c r="V10" s="252"/>
      <c r="W10" s="253"/>
    </row>
    <row r="11" spans="1:23" ht="12.75" customHeight="1" x14ac:dyDescent="0.75">
      <c r="A11" s="99"/>
      <c r="B11" s="99"/>
      <c r="C11" s="99"/>
      <c r="D11" s="99"/>
      <c r="E11" s="99"/>
      <c r="F11" s="99"/>
      <c r="G11" s="99"/>
      <c r="H11" s="99"/>
      <c r="I11" s="103"/>
      <c r="J11" s="103"/>
      <c r="K11" s="103"/>
      <c r="M11" s="89"/>
      <c r="N11" s="121"/>
      <c r="O11" s="91"/>
      <c r="P11" s="92"/>
      <c r="Q11" s="91"/>
      <c r="R11" s="91"/>
      <c r="S11" s="91"/>
      <c r="T11" s="91"/>
      <c r="U11" s="125"/>
      <c r="V11" s="127"/>
      <c r="W11" s="112"/>
    </row>
    <row r="12" spans="1:23" ht="18.95" customHeight="1" x14ac:dyDescent="0.8">
      <c r="A12" s="167" t="s">
        <v>20</v>
      </c>
      <c r="B12" s="130" t="s">
        <v>156</v>
      </c>
      <c r="C12" s="162" t="s">
        <v>21</v>
      </c>
      <c r="D12" s="261" t="s">
        <v>253</v>
      </c>
      <c r="E12" s="262"/>
      <c r="F12" s="162" t="s">
        <v>155</v>
      </c>
      <c r="G12" s="223" t="s">
        <v>159</v>
      </c>
      <c r="H12" s="224"/>
      <c r="I12" s="162"/>
      <c r="J12" s="89"/>
      <c r="K12" s="114"/>
      <c r="M12" s="162" t="s">
        <v>207</v>
      </c>
      <c r="N12" s="221" t="s">
        <v>91</v>
      </c>
      <c r="O12" s="221"/>
      <c r="P12" s="222"/>
      <c r="Q12" s="162" t="s">
        <v>221</v>
      </c>
      <c r="R12" s="221" t="s">
        <v>118</v>
      </c>
      <c r="S12" s="221"/>
      <c r="T12" s="222"/>
      <c r="U12" s="211" t="s">
        <v>245</v>
      </c>
      <c r="V12" s="212"/>
      <c r="W12" s="213"/>
    </row>
    <row r="13" spans="1:23" ht="18.95" customHeight="1" x14ac:dyDescent="0.75">
      <c r="A13" s="168" t="s">
        <v>154</v>
      </c>
      <c r="B13" s="263" t="s">
        <v>254</v>
      </c>
      <c r="C13" s="263"/>
      <c r="D13" s="263"/>
      <c r="E13" s="263"/>
      <c r="F13" s="263"/>
      <c r="G13" s="263"/>
      <c r="H13" s="263"/>
      <c r="I13" s="162"/>
      <c r="J13" s="131"/>
      <c r="K13" s="132"/>
      <c r="M13" s="181" t="s">
        <v>211</v>
      </c>
      <c r="N13" s="223" t="s">
        <v>255</v>
      </c>
      <c r="O13" s="223"/>
      <c r="P13" s="224"/>
      <c r="Q13" s="182" t="s">
        <v>224</v>
      </c>
      <c r="R13" s="225"/>
      <c r="S13" s="225"/>
      <c r="T13" s="226"/>
      <c r="U13" s="211" t="s">
        <v>246</v>
      </c>
      <c r="V13" s="212"/>
      <c r="W13" s="213"/>
    </row>
    <row r="14" spans="1:23" ht="12.75" customHeight="1" x14ac:dyDescent="0.8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M14" s="89"/>
      <c r="N14" s="209"/>
      <c r="O14" s="209"/>
      <c r="P14" s="210"/>
      <c r="Q14" s="95"/>
      <c r="R14" s="95"/>
      <c r="S14" s="95"/>
      <c r="T14" s="95"/>
      <c r="U14" s="95"/>
      <c r="V14" s="127"/>
      <c r="W14" s="112"/>
    </row>
    <row r="15" spans="1:23" ht="18.95" customHeight="1" x14ac:dyDescent="0.6">
      <c r="A15" s="235" t="s">
        <v>193</v>
      </c>
      <c r="B15" s="237"/>
      <c r="C15" s="237"/>
      <c r="D15" s="237"/>
      <c r="E15" s="237"/>
      <c r="F15" s="237"/>
      <c r="G15" s="237"/>
      <c r="H15" s="237"/>
      <c r="I15" s="237"/>
      <c r="J15" s="237"/>
      <c r="K15" s="236"/>
      <c r="M15" s="235" t="s">
        <v>212</v>
      </c>
      <c r="N15" s="236"/>
      <c r="O15" s="235" t="s">
        <v>218</v>
      </c>
      <c r="P15" s="237"/>
      <c r="Q15" s="175" t="s">
        <v>226</v>
      </c>
      <c r="R15" s="238"/>
      <c r="S15" s="238"/>
      <c r="T15" s="238"/>
      <c r="U15" s="211" t="s">
        <v>247</v>
      </c>
      <c r="V15" s="212"/>
      <c r="W15" s="213"/>
    </row>
    <row r="16" spans="1:23" ht="18.95" customHeight="1" x14ac:dyDescent="0.8">
      <c r="A16" s="257" t="s">
        <v>132</v>
      </c>
      <c r="B16" s="258"/>
      <c r="C16" s="195" t="s">
        <v>177</v>
      </c>
      <c r="D16" s="257" t="s">
        <v>178</v>
      </c>
      <c r="E16" s="258"/>
      <c r="F16" s="257" t="s">
        <v>179</v>
      </c>
      <c r="G16" s="258"/>
      <c r="H16" s="259" t="s">
        <v>145</v>
      </c>
      <c r="I16" s="260"/>
      <c r="J16" s="292">
        <v>45</v>
      </c>
      <c r="K16" s="224"/>
      <c r="M16" s="162" t="s">
        <v>214</v>
      </c>
      <c r="N16" s="134" t="s">
        <v>157</v>
      </c>
      <c r="O16" s="307" t="s">
        <v>157</v>
      </c>
      <c r="P16" s="261"/>
      <c r="Q16" s="308" t="s">
        <v>252</v>
      </c>
      <c r="R16" s="309"/>
      <c r="S16" s="309"/>
      <c r="T16" s="309"/>
      <c r="U16" s="309"/>
      <c r="V16" s="309"/>
      <c r="W16" s="310"/>
    </row>
    <row r="17" spans="1:25" ht="18.95" customHeight="1" x14ac:dyDescent="0.8">
      <c r="A17" s="256" t="s">
        <v>125</v>
      </c>
      <c r="B17" s="256"/>
      <c r="C17" s="183"/>
      <c r="D17" s="173" t="s">
        <v>147</v>
      </c>
      <c r="E17" s="185"/>
      <c r="F17" s="174" t="s">
        <v>125</v>
      </c>
      <c r="G17" s="188"/>
      <c r="H17" s="259" t="s">
        <v>146</v>
      </c>
      <c r="I17" s="260"/>
      <c r="J17" s="292"/>
      <c r="K17" s="224"/>
      <c r="M17" s="162" t="s">
        <v>213</v>
      </c>
      <c r="N17" s="134" t="s">
        <v>156</v>
      </c>
      <c r="O17" s="235" t="s">
        <v>219</v>
      </c>
      <c r="P17" s="237"/>
      <c r="Q17" s="311"/>
      <c r="R17" s="309"/>
      <c r="S17" s="309"/>
      <c r="T17" s="309"/>
      <c r="U17" s="309"/>
      <c r="V17" s="309"/>
      <c r="W17" s="310"/>
      <c r="Y17" t="s">
        <v>269</v>
      </c>
    </row>
    <row r="18" spans="1:25" ht="18.95" customHeight="1" x14ac:dyDescent="0.8">
      <c r="A18" s="256" t="s">
        <v>133</v>
      </c>
      <c r="B18" s="256"/>
      <c r="C18" s="183"/>
      <c r="D18" s="173" t="s">
        <v>148</v>
      </c>
      <c r="E18" s="185"/>
      <c r="F18" s="174" t="s">
        <v>134</v>
      </c>
      <c r="G18" s="188"/>
      <c r="H18" s="259" t="s">
        <v>195</v>
      </c>
      <c r="I18" s="260"/>
      <c r="J18" s="292"/>
      <c r="K18" s="224"/>
      <c r="M18" s="162" t="s">
        <v>215</v>
      </c>
      <c r="N18" s="134" t="s">
        <v>156</v>
      </c>
      <c r="O18" s="307" t="s">
        <v>157</v>
      </c>
      <c r="P18" s="261"/>
      <c r="Q18" s="312"/>
      <c r="R18" s="313"/>
      <c r="S18" s="313"/>
      <c r="T18" s="313"/>
      <c r="U18" s="313"/>
      <c r="V18" s="313"/>
      <c r="W18" s="314"/>
    </row>
    <row r="19" spans="1:25" ht="18.95" customHeight="1" x14ac:dyDescent="0.75">
      <c r="A19" s="256" t="s">
        <v>135</v>
      </c>
      <c r="B19" s="256"/>
      <c r="C19" s="183"/>
      <c r="D19" s="173" t="s">
        <v>136</v>
      </c>
      <c r="E19" s="185"/>
      <c r="F19" s="174" t="s">
        <v>137</v>
      </c>
      <c r="G19" s="188"/>
      <c r="H19" s="273"/>
      <c r="I19" s="274"/>
      <c r="J19" s="104"/>
      <c r="M19" s="123"/>
      <c r="N19" s="122"/>
      <c r="O19" s="122"/>
      <c r="P19" s="122"/>
      <c r="Q19" s="124"/>
      <c r="R19" s="124"/>
      <c r="S19" s="124"/>
      <c r="T19" s="95"/>
      <c r="U19" s="124"/>
      <c r="V19" s="95"/>
      <c r="W19" s="112"/>
    </row>
    <row r="20" spans="1:25" ht="18.95" customHeight="1" x14ac:dyDescent="0.85">
      <c r="A20" s="256" t="s">
        <v>138</v>
      </c>
      <c r="B20" s="256"/>
      <c r="C20" s="183"/>
      <c r="D20" s="173" t="s">
        <v>139</v>
      </c>
      <c r="E20" s="185"/>
      <c r="F20" s="174" t="s">
        <v>140</v>
      </c>
      <c r="G20" s="188"/>
      <c r="H20" s="273"/>
      <c r="I20" s="274"/>
      <c r="J20" s="104"/>
      <c r="M20" s="206" t="s">
        <v>57</v>
      </c>
      <c r="N20" s="207"/>
      <c r="O20" s="207"/>
      <c r="P20" s="207"/>
      <c r="Q20" s="207"/>
      <c r="R20" s="207"/>
      <c r="S20" s="207"/>
      <c r="T20" s="207"/>
      <c r="U20" s="207"/>
      <c r="V20" s="207"/>
      <c r="W20" s="208"/>
    </row>
    <row r="21" spans="1:25" ht="18.95" customHeight="1" x14ac:dyDescent="0.75">
      <c r="A21" s="256" t="s">
        <v>141</v>
      </c>
      <c r="B21" s="256"/>
      <c r="C21" s="183"/>
      <c r="D21" s="173" t="s">
        <v>142</v>
      </c>
      <c r="E21" s="185"/>
      <c r="F21" s="174" t="s">
        <v>143</v>
      </c>
      <c r="G21" s="188"/>
      <c r="H21" s="273"/>
      <c r="I21" s="274"/>
      <c r="J21" s="104"/>
      <c r="M21" s="90"/>
      <c r="N21" s="135"/>
      <c r="O21" s="165" t="s">
        <v>22</v>
      </c>
      <c r="P21" s="136"/>
      <c r="Q21" s="165" t="s">
        <v>58</v>
      </c>
      <c r="R21" s="136"/>
      <c r="S21" s="165" t="s">
        <v>59</v>
      </c>
      <c r="T21" s="315"/>
      <c r="U21" s="316"/>
      <c r="V21" s="95"/>
      <c r="W21" s="112"/>
    </row>
    <row r="22" spans="1:25" ht="18.95" customHeight="1" x14ac:dyDescent="0.75">
      <c r="A22" s="256" t="s">
        <v>144</v>
      </c>
      <c r="B22" s="256"/>
      <c r="C22" s="183"/>
      <c r="D22" s="173"/>
      <c r="E22" s="186"/>
      <c r="F22" s="174" t="s">
        <v>144</v>
      </c>
      <c r="G22" s="188"/>
      <c r="H22" s="277"/>
      <c r="I22" s="278"/>
      <c r="J22" s="104"/>
      <c r="M22" s="162" t="s">
        <v>60</v>
      </c>
      <c r="N22" s="92"/>
      <c r="O22" s="137"/>
      <c r="P22" s="164" t="s">
        <v>61</v>
      </c>
      <c r="Q22" s="137"/>
      <c r="R22" s="164" t="s">
        <v>61</v>
      </c>
      <c r="S22" s="137"/>
      <c r="T22" s="164" t="s">
        <v>62</v>
      </c>
      <c r="U22" s="120"/>
      <c r="V22" s="95"/>
      <c r="W22" s="112"/>
    </row>
    <row r="23" spans="1:25" ht="18.95" customHeight="1" x14ac:dyDescent="0.75">
      <c r="A23" s="256" t="s">
        <v>250</v>
      </c>
      <c r="B23" s="256"/>
      <c r="C23" s="184">
        <v>0.04</v>
      </c>
      <c r="D23" s="115"/>
      <c r="E23" s="187"/>
      <c r="F23" s="174" t="s">
        <v>250</v>
      </c>
      <c r="G23" s="189"/>
      <c r="H23" s="277"/>
      <c r="I23" s="278"/>
      <c r="J23" s="104"/>
      <c r="M23" s="162" t="s">
        <v>63</v>
      </c>
      <c r="N23" s="138"/>
      <c r="O23" s="164" t="s">
        <v>64</v>
      </c>
      <c r="P23" s="138"/>
      <c r="Q23" s="164" t="s">
        <v>65</v>
      </c>
      <c r="R23" s="138"/>
      <c r="S23" s="317"/>
      <c r="T23" s="317"/>
      <c r="U23" s="93"/>
      <c r="V23" s="95"/>
      <c r="W23" s="112"/>
    </row>
    <row r="24" spans="1:25" ht="18.75" customHeight="1" x14ac:dyDescent="0.75">
      <c r="A24" s="256"/>
      <c r="B24" s="256"/>
      <c r="C24" s="184"/>
      <c r="D24" s="115"/>
      <c r="E24" s="187"/>
      <c r="F24" s="174"/>
      <c r="G24" s="189"/>
      <c r="H24" s="275"/>
      <c r="I24" s="276"/>
      <c r="J24" s="104"/>
      <c r="M24" s="162" t="s">
        <v>68</v>
      </c>
      <c r="N24" s="137"/>
      <c r="O24" s="164" t="s">
        <v>69</v>
      </c>
      <c r="P24" s="137" t="s">
        <v>223</v>
      </c>
      <c r="Q24" s="92"/>
      <c r="R24" s="92"/>
      <c r="S24" s="92"/>
      <c r="T24" s="92"/>
      <c r="U24" s="129"/>
      <c r="V24" s="95"/>
      <c r="W24" s="112"/>
    </row>
    <row r="25" spans="1:25" ht="12.75" customHeight="1" x14ac:dyDescent="0.75">
      <c r="A25" s="106"/>
      <c r="B25" s="107"/>
      <c r="C25" s="108"/>
      <c r="D25" s="109"/>
      <c r="E25" s="110"/>
      <c r="F25" s="109"/>
      <c r="G25" s="111"/>
      <c r="H25" s="100"/>
      <c r="I25" s="100"/>
      <c r="J25" s="104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112"/>
    </row>
    <row r="26" spans="1:25" ht="18.95" customHeight="1" x14ac:dyDescent="0.85">
      <c r="A26" s="279" t="s">
        <v>194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1"/>
      <c r="M26" s="206" t="s">
        <v>202</v>
      </c>
      <c r="N26" s="207"/>
      <c r="O26" s="207"/>
      <c r="P26" s="207"/>
      <c r="Q26" s="207"/>
      <c r="R26" s="207"/>
      <c r="S26" s="207"/>
      <c r="T26" s="207"/>
      <c r="U26" s="207"/>
      <c r="V26" s="207"/>
      <c r="W26" s="208"/>
    </row>
    <row r="27" spans="1:25" ht="15" customHeight="1" x14ac:dyDescent="0.75">
      <c r="A27" s="119"/>
      <c r="B27" s="176" t="s">
        <v>240</v>
      </c>
      <c r="C27" s="176" t="s">
        <v>241</v>
      </c>
      <c r="D27" s="176" t="s">
        <v>242</v>
      </c>
      <c r="E27" s="176" t="s">
        <v>243</v>
      </c>
      <c r="F27" s="283" t="s">
        <v>234</v>
      </c>
      <c r="G27" s="283"/>
      <c r="H27" s="284" t="s">
        <v>237</v>
      </c>
      <c r="I27" s="285"/>
      <c r="J27" s="176" t="s">
        <v>238</v>
      </c>
      <c r="K27" s="176" t="s">
        <v>239</v>
      </c>
      <c r="M27" s="162" t="s">
        <v>70</v>
      </c>
      <c r="N27" s="160" t="s">
        <v>263</v>
      </c>
      <c r="O27" s="139"/>
      <c r="P27" s="164" t="s">
        <v>37</v>
      </c>
      <c r="Q27" s="139"/>
      <c r="R27" s="139"/>
      <c r="S27" s="164" t="s">
        <v>71</v>
      </c>
      <c r="T27" s="139"/>
      <c r="U27" s="150"/>
      <c r="V27" s="95"/>
      <c r="W27" s="112"/>
    </row>
    <row r="28" spans="1:25" ht="14.75" x14ac:dyDescent="0.75">
      <c r="A28" s="176" t="s">
        <v>235</v>
      </c>
      <c r="B28" s="158"/>
      <c r="C28" s="158"/>
      <c r="D28" s="158"/>
      <c r="E28" s="159"/>
      <c r="F28" s="158"/>
      <c r="G28" s="158"/>
      <c r="H28" s="158"/>
      <c r="I28" s="158"/>
      <c r="J28" s="158"/>
      <c r="K28" s="158"/>
      <c r="M28" s="162" t="s">
        <v>72</v>
      </c>
      <c r="N28" s="139"/>
      <c r="O28" s="139"/>
      <c r="P28" s="164" t="s">
        <v>73</v>
      </c>
      <c r="Q28" s="139"/>
      <c r="R28" s="139"/>
      <c r="S28" s="164" t="s">
        <v>74</v>
      </c>
      <c r="T28" s="139"/>
      <c r="U28" s="150"/>
      <c r="V28" s="95"/>
      <c r="W28" s="112"/>
    </row>
    <row r="29" spans="1:25" ht="14.75" x14ac:dyDescent="0.75">
      <c r="A29" s="176" t="s">
        <v>236</v>
      </c>
      <c r="B29" s="158"/>
      <c r="C29" s="158"/>
      <c r="D29" s="158"/>
      <c r="E29" s="159"/>
      <c r="F29" s="158"/>
      <c r="G29" s="158"/>
      <c r="H29" s="158"/>
      <c r="I29" s="158"/>
      <c r="J29" s="158"/>
      <c r="K29" s="158"/>
      <c r="M29" s="162" t="s">
        <v>75</v>
      </c>
      <c r="N29" s="139"/>
      <c r="O29" s="139"/>
      <c r="P29" s="164" t="s">
        <v>76</v>
      </c>
      <c r="Q29" s="139">
        <v>16</v>
      </c>
      <c r="R29" s="139"/>
      <c r="S29" s="164" t="s">
        <v>77</v>
      </c>
      <c r="T29" s="139">
        <v>12</v>
      </c>
      <c r="U29" s="150"/>
      <c r="V29" s="95"/>
      <c r="W29" s="112"/>
    </row>
    <row r="30" spans="1:25" ht="15" customHeight="1" x14ac:dyDescent="0.75">
      <c r="A30" s="196"/>
      <c r="B30" s="197"/>
      <c r="C30" s="197"/>
      <c r="D30" s="197"/>
      <c r="E30" s="198" t="s">
        <v>257</v>
      </c>
      <c r="F30" s="197"/>
      <c r="G30" s="199"/>
      <c r="H30" s="197"/>
      <c r="I30" s="197"/>
      <c r="J30" s="197"/>
      <c r="K30" s="197"/>
      <c r="M30" s="128"/>
      <c r="N30" s="128"/>
      <c r="O30" s="128"/>
      <c r="P30" s="128"/>
      <c r="Q30" s="128"/>
      <c r="R30" s="128"/>
      <c r="S30" s="128"/>
      <c r="T30" s="96"/>
      <c r="U30" s="96"/>
      <c r="V30" s="95"/>
      <c r="W30" s="112"/>
    </row>
    <row r="31" spans="1:25" ht="15" customHeight="1" x14ac:dyDescent="0.85">
      <c r="A31" s="177" t="s">
        <v>173</v>
      </c>
      <c r="B31" s="177"/>
      <c r="C31" s="177" t="s">
        <v>258</v>
      </c>
      <c r="D31" s="177"/>
      <c r="E31" s="177" t="s">
        <v>197</v>
      </c>
      <c r="F31" s="177"/>
      <c r="G31" s="177"/>
      <c r="H31" s="177" t="s">
        <v>259</v>
      </c>
      <c r="I31" s="177"/>
      <c r="J31" s="177"/>
      <c r="K31" s="177"/>
      <c r="M31" s="282" t="s">
        <v>220</v>
      </c>
      <c r="N31" s="282"/>
      <c r="O31" s="282"/>
      <c r="P31" s="282"/>
      <c r="Q31" s="282"/>
      <c r="R31" s="282"/>
      <c r="S31" s="282"/>
      <c r="T31" s="282"/>
      <c r="U31" s="282"/>
      <c r="V31" s="282"/>
      <c r="W31" s="282"/>
    </row>
    <row r="32" spans="1:25" ht="15" customHeight="1" x14ac:dyDescent="0.6">
      <c r="A32" s="177" t="s">
        <v>174</v>
      </c>
      <c r="B32" s="177"/>
      <c r="C32" s="177" t="s">
        <v>260</v>
      </c>
      <c r="D32" s="177"/>
      <c r="E32" s="177" t="s">
        <v>196</v>
      </c>
      <c r="F32" s="177"/>
      <c r="G32" s="177"/>
      <c r="H32" s="177"/>
      <c r="I32" s="177"/>
      <c r="J32" s="177"/>
      <c r="K32" s="177"/>
      <c r="M32" s="318"/>
      <c r="N32" s="319"/>
      <c r="O32" s="319"/>
      <c r="P32" s="319"/>
      <c r="Q32" s="319"/>
      <c r="R32" s="319"/>
      <c r="S32" s="319"/>
      <c r="T32" s="319"/>
      <c r="U32" s="319"/>
      <c r="V32" s="319"/>
      <c r="W32" s="320"/>
    </row>
    <row r="33" spans="1:23" x14ac:dyDescent="0.6">
      <c r="A33" s="177" t="s">
        <v>175</v>
      </c>
      <c r="B33" s="177"/>
      <c r="C33" s="177" t="s">
        <v>175</v>
      </c>
      <c r="D33" s="177"/>
      <c r="E33" s="177"/>
      <c r="F33" s="177"/>
      <c r="G33" s="177"/>
      <c r="H33" s="177"/>
      <c r="I33" s="177"/>
      <c r="J33" s="177"/>
      <c r="K33" s="177"/>
      <c r="M33" s="321"/>
      <c r="N33" s="322"/>
      <c r="O33" s="322"/>
      <c r="P33" s="322"/>
      <c r="Q33" s="322"/>
      <c r="R33" s="322"/>
      <c r="S33" s="322"/>
      <c r="T33" s="322"/>
      <c r="U33" s="322"/>
      <c r="V33" s="322"/>
      <c r="W33" s="323"/>
    </row>
    <row r="34" spans="1:23" x14ac:dyDescent="0.6">
      <c r="A34" s="177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M34" s="321"/>
      <c r="N34" s="322"/>
      <c r="O34" s="322"/>
      <c r="P34" s="322"/>
      <c r="Q34" s="322"/>
      <c r="R34" s="322"/>
      <c r="S34" s="322"/>
      <c r="T34" s="322"/>
      <c r="U34" s="322"/>
      <c r="V34" s="322"/>
      <c r="W34" s="323"/>
    </row>
    <row r="35" spans="1:23" ht="18.95" customHeight="1" x14ac:dyDescent="0.7">
      <c r="A35" s="200"/>
      <c r="B35" s="201"/>
      <c r="C35" s="202"/>
      <c r="D35" s="200"/>
      <c r="E35" s="201"/>
      <c r="F35" s="201"/>
      <c r="G35" s="200"/>
      <c r="H35" s="201"/>
      <c r="I35" s="201"/>
      <c r="J35" s="202"/>
      <c r="K35" s="202"/>
      <c r="M35" s="321"/>
      <c r="N35" s="322"/>
      <c r="O35" s="322"/>
      <c r="P35" s="322"/>
      <c r="Q35" s="322"/>
      <c r="R35" s="322"/>
      <c r="S35" s="322"/>
      <c r="T35" s="322"/>
      <c r="U35" s="322"/>
      <c r="V35" s="322"/>
      <c r="W35" s="323"/>
    </row>
    <row r="36" spans="1:23" ht="21" customHeight="1" x14ac:dyDescent="0.85">
      <c r="A36" s="206" t="s">
        <v>176</v>
      </c>
      <c r="B36" s="207"/>
      <c r="C36" s="207"/>
      <c r="D36" s="207"/>
      <c r="E36" s="207"/>
      <c r="F36" s="207"/>
      <c r="G36" s="207"/>
      <c r="H36" s="207"/>
      <c r="I36" s="207"/>
      <c r="J36" s="207"/>
      <c r="K36" s="208"/>
      <c r="M36" s="324"/>
      <c r="N36" s="325"/>
      <c r="O36" s="325"/>
      <c r="P36" s="325"/>
      <c r="Q36" s="325"/>
      <c r="R36" s="325"/>
      <c r="S36" s="325"/>
      <c r="T36" s="325"/>
      <c r="U36" s="325"/>
      <c r="V36" s="325"/>
      <c r="W36" s="326"/>
    </row>
    <row r="37" spans="1:23" ht="18.95" customHeight="1" x14ac:dyDescent="0.75">
      <c r="A37" s="178" t="s">
        <v>162</v>
      </c>
      <c r="B37" s="178" t="s">
        <v>163</v>
      </c>
      <c r="C37" s="178" t="s">
        <v>164</v>
      </c>
      <c r="D37" s="178" t="s">
        <v>165</v>
      </c>
      <c r="E37" s="178" t="s">
        <v>166</v>
      </c>
      <c r="F37" s="178" t="s">
        <v>167</v>
      </c>
      <c r="G37" s="178" t="s">
        <v>168</v>
      </c>
      <c r="H37" s="178" t="s">
        <v>169</v>
      </c>
      <c r="I37" s="178" t="s">
        <v>170</v>
      </c>
      <c r="J37" s="178" t="s">
        <v>171</v>
      </c>
      <c r="K37" s="179" t="s">
        <v>172</v>
      </c>
      <c r="M37" s="95"/>
      <c r="N37" s="96"/>
      <c r="O37" s="96"/>
      <c r="P37" s="95"/>
      <c r="Q37" s="96"/>
      <c r="R37" s="96"/>
      <c r="S37" s="95"/>
      <c r="T37" s="96"/>
      <c r="U37" s="96"/>
      <c r="V37" s="95"/>
      <c r="W37" s="112"/>
    </row>
    <row r="38" spans="1:23" ht="18.95" customHeight="1" x14ac:dyDescent="0.85">
      <c r="A38" s="142"/>
      <c r="B38" s="142"/>
      <c r="C38" s="143"/>
      <c r="D38" s="142"/>
      <c r="E38" s="142"/>
      <c r="F38" s="142"/>
      <c r="G38" s="142"/>
      <c r="H38" s="142"/>
      <c r="I38" s="142"/>
      <c r="J38" s="142"/>
      <c r="K38" s="142"/>
      <c r="M38" s="206" t="s">
        <v>52</v>
      </c>
      <c r="N38" s="207"/>
      <c r="O38" s="207"/>
      <c r="P38" s="207"/>
      <c r="Q38" s="207"/>
      <c r="R38" s="207"/>
      <c r="S38" s="207"/>
      <c r="T38" s="207"/>
      <c r="U38" s="207"/>
      <c r="V38" s="207"/>
      <c r="W38" s="208"/>
    </row>
    <row r="39" spans="1:23" ht="18.95" customHeight="1" x14ac:dyDescent="0.6">
      <c r="A39" s="142"/>
      <c r="B39" s="142"/>
      <c r="C39" s="143"/>
      <c r="D39" s="142"/>
      <c r="E39" s="142"/>
      <c r="F39" s="142"/>
      <c r="G39" s="142"/>
      <c r="H39" s="142"/>
      <c r="I39" s="142"/>
      <c r="J39" s="142"/>
      <c r="K39" s="142"/>
      <c r="M39" s="176" t="s">
        <v>5</v>
      </c>
      <c r="N39" s="176" t="s">
        <v>7</v>
      </c>
      <c r="O39" s="176" t="s">
        <v>46</v>
      </c>
      <c r="P39" s="176" t="s">
        <v>115</v>
      </c>
      <c r="Q39" s="176" t="s">
        <v>47</v>
      </c>
      <c r="R39" s="176" t="s">
        <v>48</v>
      </c>
      <c r="S39" s="176" t="s">
        <v>49</v>
      </c>
      <c r="T39" s="176" t="s">
        <v>50</v>
      </c>
      <c r="U39" s="176" t="s">
        <v>51</v>
      </c>
      <c r="V39" s="176" t="s">
        <v>104</v>
      </c>
      <c r="W39" s="176" t="s">
        <v>227</v>
      </c>
    </row>
    <row r="40" spans="1:23" ht="18.95" customHeight="1" x14ac:dyDescent="0.6">
      <c r="A40" s="142"/>
      <c r="B40" s="142"/>
      <c r="C40" s="143"/>
      <c r="D40" s="142"/>
      <c r="E40" s="142"/>
      <c r="F40" s="142"/>
      <c r="G40" s="142"/>
      <c r="H40" s="142"/>
      <c r="I40" s="142"/>
      <c r="J40" s="144"/>
      <c r="K40" s="142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</row>
    <row r="41" spans="1:23" ht="12.75" customHeight="1" x14ac:dyDescent="0.7">
      <c r="A41" s="142"/>
      <c r="B41" s="142"/>
      <c r="C41" s="143"/>
      <c r="D41" s="142"/>
      <c r="E41" s="142"/>
      <c r="F41" s="142"/>
      <c r="G41" s="142"/>
      <c r="H41" s="142"/>
      <c r="I41" s="142"/>
      <c r="J41" s="144"/>
      <c r="K41" s="142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1"/>
    </row>
    <row r="42" spans="1:23" ht="18.95" customHeight="1" x14ac:dyDescent="0.7">
      <c r="C42" s="98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1"/>
    </row>
    <row r="43" spans="1:23" ht="18.95" customHeight="1" x14ac:dyDescent="0.85">
      <c r="A43" s="282" t="s">
        <v>183</v>
      </c>
      <c r="B43" s="282"/>
      <c r="C43" s="282"/>
      <c r="D43" s="282"/>
      <c r="E43" s="282"/>
      <c r="F43" s="282"/>
      <c r="G43" s="282"/>
      <c r="H43" s="282"/>
      <c r="I43" s="282"/>
      <c r="J43" s="282"/>
      <c r="K43" s="282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1"/>
    </row>
    <row r="44" spans="1:23" ht="18.95" customHeight="1" x14ac:dyDescent="0.7">
      <c r="A44" s="272"/>
      <c r="B44" s="272"/>
      <c r="C44" s="272"/>
      <c r="D44" s="272"/>
      <c r="E44" s="272"/>
      <c r="F44" s="272"/>
      <c r="G44" s="272"/>
      <c r="H44" s="272"/>
      <c r="I44" s="272"/>
      <c r="J44" s="272"/>
      <c r="K44" s="272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1"/>
    </row>
    <row r="45" spans="1:23" ht="12.75" customHeight="1" x14ac:dyDescent="0.7">
      <c r="A45" s="272"/>
      <c r="B45" s="272"/>
      <c r="C45" s="272"/>
      <c r="D45" s="272"/>
      <c r="E45" s="272"/>
      <c r="F45" s="272"/>
      <c r="G45" s="272"/>
      <c r="H45" s="272"/>
      <c r="I45" s="272"/>
      <c r="J45" s="272"/>
      <c r="K45" s="272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1"/>
    </row>
    <row r="46" spans="1:23" ht="18.95" customHeight="1" x14ac:dyDescent="0.7">
      <c r="C46" s="98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1"/>
    </row>
    <row r="47" spans="1:23" ht="18.95" customHeight="1" x14ac:dyDescent="0.7">
      <c r="A47" s="163" t="s">
        <v>0</v>
      </c>
      <c r="B47" s="163" t="s">
        <v>1</v>
      </c>
      <c r="C47" s="163" t="s">
        <v>2</v>
      </c>
      <c r="D47" s="163" t="s">
        <v>3</v>
      </c>
      <c r="E47" s="163" t="s">
        <v>4</v>
      </c>
      <c r="F47" s="203" t="s">
        <v>261</v>
      </c>
      <c r="G47" s="203" t="s">
        <v>262</v>
      </c>
      <c r="H47" s="163" t="s">
        <v>6</v>
      </c>
      <c r="I47" s="163" t="s">
        <v>116</v>
      </c>
      <c r="J47" s="163" t="s">
        <v>5</v>
      </c>
      <c r="K47" s="176" t="s">
        <v>227</v>
      </c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1"/>
    </row>
    <row r="48" spans="1:23" ht="18.95" customHeight="1" x14ac:dyDescent="0.7">
      <c r="A48" s="180">
        <v>1</v>
      </c>
      <c r="B48" s="145"/>
      <c r="C48" s="140"/>
      <c r="D48" s="140"/>
      <c r="E48" s="140"/>
      <c r="F48" s="204"/>
      <c r="G48" s="204"/>
      <c r="H48" s="140"/>
      <c r="I48" s="140"/>
      <c r="J48" s="140"/>
      <c r="K48" s="146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1"/>
    </row>
    <row r="49" spans="1:23" ht="18.95" customHeight="1" x14ac:dyDescent="0.7">
      <c r="A49" s="180">
        <v>2</v>
      </c>
      <c r="B49" s="140"/>
      <c r="C49" s="140"/>
      <c r="D49" s="140"/>
      <c r="E49" s="140"/>
      <c r="F49" s="204"/>
      <c r="G49" s="204"/>
      <c r="H49" s="140"/>
      <c r="I49" s="140"/>
      <c r="J49" s="140"/>
      <c r="K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1"/>
    </row>
    <row r="50" spans="1:23" ht="18.95" customHeight="1" x14ac:dyDescent="0.7">
      <c r="A50" s="180">
        <v>3</v>
      </c>
      <c r="B50" s="140"/>
      <c r="C50" s="140"/>
      <c r="D50" s="140"/>
      <c r="E50" s="140"/>
      <c r="F50" s="204"/>
      <c r="G50" s="204"/>
      <c r="H50" s="140"/>
      <c r="I50" s="140"/>
      <c r="J50" s="140"/>
      <c r="K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1"/>
    </row>
    <row r="51" spans="1:23" ht="20.149999999999999" customHeight="1" x14ac:dyDescent="0.7">
      <c r="A51" s="180">
        <v>4</v>
      </c>
      <c r="B51" s="140"/>
      <c r="C51" s="140"/>
      <c r="D51" s="140"/>
      <c r="E51" s="140"/>
      <c r="F51" s="204"/>
      <c r="G51" s="204"/>
      <c r="H51" s="140"/>
      <c r="I51" s="140"/>
      <c r="J51" s="140"/>
      <c r="K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1"/>
    </row>
    <row r="52" spans="1:23" ht="20.149999999999999" customHeight="1" x14ac:dyDescent="0.7">
      <c r="A52" s="180">
        <v>5</v>
      </c>
      <c r="B52" s="140"/>
      <c r="C52" s="140"/>
      <c r="D52" s="140"/>
      <c r="E52" s="140"/>
      <c r="F52" s="205"/>
      <c r="G52" s="205"/>
      <c r="H52" s="140"/>
      <c r="I52" s="140"/>
      <c r="J52" s="140"/>
      <c r="K52" s="146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1"/>
    </row>
    <row r="53" spans="1:23" ht="20.149999999999999" customHeight="1" x14ac:dyDescent="0.6"/>
    <row r="54" spans="1:23" ht="20.149999999999999" customHeight="1" x14ac:dyDescent="0.6"/>
    <row r="59" spans="1:23" ht="13.5" x14ac:dyDescent="0.7"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12"/>
    </row>
    <row r="60" spans="1:23" ht="13.5" x14ac:dyDescent="0.7"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12"/>
    </row>
    <row r="61" spans="1:23" ht="13.5" x14ac:dyDescent="0.7"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12"/>
    </row>
    <row r="62" spans="1:23" ht="13.5" x14ac:dyDescent="0.7"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12"/>
    </row>
    <row r="63" spans="1:23" ht="13.5" x14ac:dyDescent="0.7"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12"/>
    </row>
    <row r="64" spans="1:23" ht="13.5" x14ac:dyDescent="0.7"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12"/>
    </row>
    <row r="65" spans="13:23" ht="13.5" x14ac:dyDescent="0.7"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12"/>
    </row>
    <row r="66" spans="13:23" ht="13.5" x14ac:dyDescent="0.7"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12"/>
    </row>
    <row r="67" spans="13:23" ht="13.5" x14ac:dyDescent="0.7"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12"/>
    </row>
    <row r="68" spans="13:23" ht="13.5" x14ac:dyDescent="0.7"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12"/>
    </row>
    <row r="69" spans="13:23" ht="13.5" x14ac:dyDescent="0.7"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12"/>
    </row>
    <row r="70" spans="13:23" ht="13.5" x14ac:dyDescent="0.7"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12"/>
    </row>
    <row r="71" spans="13:23" ht="13.5" x14ac:dyDescent="0.7"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12"/>
    </row>
    <row r="72" spans="13:23" ht="13.5" x14ac:dyDescent="0.7"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12"/>
    </row>
    <row r="73" spans="13:23" x14ac:dyDescent="0.6">
      <c r="M73" s="125"/>
      <c r="N73" s="125"/>
      <c r="O73" s="125"/>
      <c r="P73" s="125"/>
      <c r="Q73" s="125"/>
      <c r="R73" s="125"/>
      <c r="S73" s="125"/>
      <c r="T73" s="125"/>
      <c r="U73" s="125"/>
      <c r="V73" s="125"/>
    </row>
    <row r="74" spans="13:23" x14ac:dyDescent="0.6"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3:23" x14ac:dyDescent="0.6"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3:23" x14ac:dyDescent="0.6"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3:23" x14ac:dyDescent="0.6"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3:23" x14ac:dyDescent="0.6"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3:23" x14ac:dyDescent="0.6"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3:23" x14ac:dyDescent="0.6"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3:22" x14ac:dyDescent="0.6"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3:22" x14ac:dyDescent="0.6"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3:22" x14ac:dyDescent="0.6"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3:22" x14ac:dyDescent="0.6"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3:22" x14ac:dyDescent="0.6"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3:22" x14ac:dyDescent="0.6"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3:22" x14ac:dyDescent="0.6"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3:22" x14ac:dyDescent="0.6"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3:22" x14ac:dyDescent="0.6"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3:22" x14ac:dyDescent="0.6"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3:22" x14ac:dyDescent="0.6"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3:22" x14ac:dyDescent="0.6"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3:22" x14ac:dyDescent="0.6"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3:22" x14ac:dyDescent="0.6"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3:22" x14ac:dyDescent="0.6"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3:22" x14ac:dyDescent="0.6"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3:22" x14ac:dyDescent="0.6"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3:22" x14ac:dyDescent="0.6"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3:22" x14ac:dyDescent="0.6"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3:22" x14ac:dyDescent="0.6"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3:22" x14ac:dyDescent="0.6"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3:22" x14ac:dyDescent="0.6"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3:22" x14ac:dyDescent="0.6"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3:22" x14ac:dyDescent="0.6"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3:22" x14ac:dyDescent="0.6"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3:22" x14ac:dyDescent="0.6"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3:22" x14ac:dyDescent="0.6"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3:22" x14ac:dyDescent="0.6"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3:22" x14ac:dyDescent="0.6"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3:22" x14ac:dyDescent="0.6"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3:22" x14ac:dyDescent="0.6"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3:22" x14ac:dyDescent="0.6"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3:22" x14ac:dyDescent="0.6"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3:22" x14ac:dyDescent="0.6"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3:22" x14ac:dyDescent="0.6"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3:22" x14ac:dyDescent="0.6"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3:22" x14ac:dyDescent="0.6"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3:22" x14ac:dyDescent="0.6">
      <c r="M118" s="1"/>
      <c r="N118" s="1"/>
      <c r="O118" s="1"/>
      <c r="P118" s="1"/>
      <c r="Q118" s="1"/>
      <c r="R118" s="1"/>
      <c r="S118" s="1"/>
      <c r="T118" s="1"/>
      <c r="U118" s="1"/>
      <c r="V118" s="1"/>
    </row>
  </sheetData>
  <sheetProtection formatCells="0" formatColumns="0" formatRows="0" insertColumns="0" insertRows="0" insertHyperlinks="0" deleteColumns="0" deleteRows="0" sort="0" autoFilter="0" pivotTables="0"/>
  <dataConsolidate/>
  <mergeCells count="93">
    <mergeCell ref="M38:W38"/>
    <mergeCell ref="M26:W26"/>
    <mergeCell ref="M31:W31"/>
    <mergeCell ref="O18:P18"/>
    <mergeCell ref="Q16:W18"/>
    <mergeCell ref="T21:U21"/>
    <mergeCell ref="S23:T23"/>
    <mergeCell ref="M20:W20"/>
    <mergeCell ref="M32:W36"/>
    <mergeCell ref="O17:P17"/>
    <mergeCell ref="O16:P16"/>
    <mergeCell ref="A3:A4"/>
    <mergeCell ref="H22:I22"/>
    <mergeCell ref="B10:C10"/>
    <mergeCell ref="E9:F9"/>
    <mergeCell ref="E10:F10"/>
    <mergeCell ref="B3:K4"/>
    <mergeCell ref="J16:K16"/>
    <mergeCell ref="J17:K17"/>
    <mergeCell ref="I6:K6"/>
    <mergeCell ref="I7:K7"/>
    <mergeCell ref="I8:K8"/>
    <mergeCell ref="I9:K9"/>
    <mergeCell ref="I10:K10"/>
    <mergeCell ref="F6:H6"/>
    <mergeCell ref="B6:D6"/>
    <mergeCell ref="J18:K18"/>
    <mergeCell ref="A44:K45"/>
    <mergeCell ref="H19:I19"/>
    <mergeCell ref="H20:I20"/>
    <mergeCell ref="A24:B24"/>
    <mergeCell ref="A19:B19"/>
    <mergeCell ref="A20:B20"/>
    <mergeCell ref="A21:B21"/>
    <mergeCell ref="A22:B22"/>
    <mergeCell ref="H24:I24"/>
    <mergeCell ref="A23:B23"/>
    <mergeCell ref="H23:I23"/>
    <mergeCell ref="A26:K26"/>
    <mergeCell ref="A43:K43"/>
    <mergeCell ref="F27:G27"/>
    <mergeCell ref="H27:I27"/>
    <mergeCell ref="H21:I21"/>
    <mergeCell ref="B1:D1"/>
    <mergeCell ref="F1:H1"/>
    <mergeCell ref="B2:D2"/>
    <mergeCell ref="F2:H2"/>
    <mergeCell ref="J1:K1"/>
    <mergeCell ref="I2:K2"/>
    <mergeCell ref="B9:C9"/>
    <mergeCell ref="A15:K15"/>
    <mergeCell ref="A18:B18"/>
    <mergeCell ref="A16:B16"/>
    <mergeCell ref="D16:E16"/>
    <mergeCell ref="H16:I16"/>
    <mergeCell ref="H18:I18"/>
    <mergeCell ref="D12:E12"/>
    <mergeCell ref="G12:H12"/>
    <mergeCell ref="B13:H13"/>
    <mergeCell ref="H17:I17"/>
    <mergeCell ref="F16:G16"/>
    <mergeCell ref="A17:B17"/>
    <mergeCell ref="M15:N15"/>
    <mergeCell ref="O15:P15"/>
    <mergeCell ref="R15:T15"/>
    <mergeCell ref="M3:M4"/>
    <mergeCell ref="N3:W4"/>
    <mergeCell ref="N6:P6"/>
    <mergeCell ref="Q7:R7"/>
    <mergeCell ref="N9:P9"/>
    <mergeCell ref="U8:W10"/>
    <mergeCell ref="N1:P1"/>
    <mergeCell ref="R1:T1"/>
    <mergeCell ref="V1:W1"/>
    <mergeCell ref="N2:P2"/>
    <mergeCell ref="R2:T2"/>
    <mergeCell ref="U2:W2"/>
    <mergeCell ref="A36:K36"/>
    <mergeCell ref="N7:O7"/>
    <mergeCell ref="U12:W12"/>
    <mergeCell ref="U13:W13"/>
    <mergeCell ref="N14:P14"/>
    <mergeCell ref="B8:C8"/>
    <mergeCell ref="D7:D8"/>
    <mergeCell ref="H7:H8"/>
    <mergeCell ref="G10:H10"/>
    <mergeCell ref="N12:P12"/>
    <mergeCell ref="R12:T12"/>
    <mergeCell ref="N10:P10"/>
    <mergeCell ref="R10:T10"/>
    <mergeCell ref="N13:P13"/>
    <mergeCell ref="R13:T13"/>
    <mergeCell ref="U15:W15"/>
  </mergeCells>
  <phoneticPr fontId="0" type="noConversion"/>
  <conditionalFormatting sqref="I10:K10">
    <cfRule type="containsText" dxfId="13" priority="23" operator="containsText" text="Yes">
      <formula>NOT(ISERROR(SEARCH("Yes",I10)))</formula>
    </cfRule>
  </conditionalFormatting>
  <conditionalFormatting sqref="B12">
    <cfRule type="containsText" dxfId="12" priority="22" operator="containsText" text="Yes">
      <formula>NOT(ISERROR(SEARCH("Yes",B12)))</formula>
    </cfRule>
  </conditionalFormatting>
  <conditionalFormatting sqref="R12 I10 B12 G12 D12 I8 D7 H7:K7 B1:B3 F1:H2 J1 H9 O8 Q8 S8 R6 T6:T7 N10 N12 N16:N18 O16 O18 B8">
    <cfRule type="containsBlanks" dxfId="11" priority="19">
      <formula>LEN(TRIM(B1))=0</formula>
    </cfRule>
  </conditionalFormatting>
  <conditionalFormatting sqref="N3 N1 R1:R2 V1">
    <cfRule type="containsBlanks" dxfId="10" priority="18">
      <formula>LEN(TRIM(N1))=0</formula>
    </cfRule>
  </conditionalFormatting>
  <conditionalFormatting sqref="N6">
    <cfRule type="containsBlanks" dxfId="9" priority="17">
      <formula>LEN(TRIM(N6))=0</formula>
    </cfRule>
  </conditionalFormatting>
  <conditionalFormatting sqref="N7">
    <cfRule type="containsBlanks" dxfId="8" priority="16">
      <formula>LEN(TRIM(N7))=0</formula>
    </cfRule>
  </conditionalFormatting>
  <conditionalFormatting sqref="Q7">
    <cfRule type="containsBlanks" dxfId="7" priority="15">
      <formula>LEN(TRIM(Q7))=0</formula>
    </cfRule>
  </conditionalFormatting>
  <conditionalFormatting sqref="U8">
    <cfRule type="containsBlanks" dxfId="6" priority="13">
      <formula>LEN(TRIM(U8))=0</formula>
    </cfRule>
  </conditionalFormatting>
  <conditionalFormatting sqref="F6">
    <cfRule type="containsBlanks" dxfId="5" priority="6">
      <formula>LEN(TRIM(F6))=0</formula>
    </cfRule>
  </conditionalFormatting>
  <conditionalFormatting sqref="F6:H6">
    <cfRule type="containsText" dxfId="4" priority="1" operator="containsText" text="YELLOW">
      <formula>NOT(ISERROR(SEARCH("YELLOW",F6)))</formula>
    </cfRule>
    <cfRule type="containsText" dxfId="3" priority="2" operator="containsText" text="PURPLE">
      <formula>NOT(ISERROR(SEARCH("PURPLE",F6)))</formula>
    </cfRule>
    <cfRule type="containsText" dxfId="2" priority="3" operator="containsText" text="WHITE">
      <formula>NOT(ISERROR(SEARCH("WHITE",F6)))</formula>
    </cfRule>
    <cfRule type="containsText" dxfId="1" priority="4" operator="containsText" text="BLUE">
      <formula>NOT(ISERROR(SEARCH("BLUE",F6)))</formula>
    </cfRule>
    <cfRule type="containsText" dxfId="0" priority="5" operator="containsText" text="BLACK">
      <formula>NOT(ISERROR(SEARCH("BLACK",F6)))</formula>
    </cfRule>
  </conditionalFormatting>
  <dataValidations count="12">
    <dataValidation type="list" showInputMessage="1" showErrorMessage="1" sqref="B12" xr:uid="{00000000-0002-0000-0000-000000000000}">
      <formula1>YesNoBlank</formula1>
    </dataValidation>
    <dataValidation type="list" showInputMessage="1" showErrorMessage="1" sqref="G12 I11:J11" xr:uid="{00000000-0002-0000-0000-000001000000}">
      <formula1>Treatment</formula1>
    </dataValidation>
    <dataValidation type="list" allowBlank="1" showInputMessage="1" showErrorMessage="1" sqref="B6:D6" xr:uid="{00000000-0002-0000-0000-000002000000}">
      <formula1>PlasticType</formula1>
    </dataValidation>
    <dataValidation type="list" allowBlank="1" showInputMessage="1" showErrorMessage="1" sqref="I10:K10" xr:uid="{00000000-0002-0000-0000-000003000000}">
      <formula1>Print_Inline</formula1>
    </dataValidation>
    <dataValidation type="list" allowBlank="1" showInputMessage="1" showErrorMessage="1" promptTitle="Select Extrusion Type" sqref="I7:K7" xr:uid="{00000000-0002-0000-0000-000004000000}">
      <formula1>Extrusion_Type</formula1>
    </dataValidation>
    <dataValidation showInputMessage="1" showErrorMessage="1" sqref="K11" xr:uid="{00000000-0002-0000-0000-000005000000}"/>
    <dataValidation type="list" allowBlank="1" showInputMessage="1" showErrorMessage="1" sqref="N12:P12" xr:uid="{00000000-0002-0000-0000-000006000000}">
      <formula1>Lay_Flat</formula1>
    </dataValidation>
    <dataValidation type="list" allowBlank="1" showInputMessage="1" showErrorMessage="1" sqref="P24" xr:uid="{00000000-0002-0000-0000-000007000000}">
      <formula1>pallet_type</formula1>
    </dataValidation>
    <dataValidation type="list" allowBlank="1" showInputMessage="1" showErrorMessage="1" sqref="O18:P18 N17:N18 R6 N16:P16" xr:uid="{00000000-0002-0000-0000-000008000000}">
      <formula1>Yes</formula1>
    </dataValidation>
    <dataValidation type="list" allowBlank="1" showInputMessage="1" showErrorMessage="1" sqref="N10:P10" xr:uid="{00000000-0002-0000-0000-000009000000}">
      <formula1>Sleeves</formula1>
    </dataValidation>
    <dataValidation type="list" showInputMessage="1" sqref="R12:T12" xr:uid="{00000000-0002-0000-0000-00000A000000}">
      <formula1>Carton_size</formula1>
    </dataValidation>
    <dataValidation type="list" showInputMessage="1" sqref="B2:D2" xr:uid="{00000000-0002-0000-0000-00000B000000}">
      <formula1>Date</formula1>
    </dataValidation>
  </dataValidations>
  <printOptions horizontalCentered="1"/>
  <pageMargins left="0.19685039370078741" right="0.19685039370078741" top="0.43307086614173229" bottom="0.23622047244094491" header="0.23622047244094491" footer="0.15748031496062992"/>
  <pageSetup paperSize="9" scale="91" fitToWidth="0" orientation="portrait" r:id="rId1"/>
  <headerFooter scaleWithDoc="0" alignWithMargins="0">
    <oddHeader>&amp;L&amp;8Dolphin Plastics &amp; Packaging&amp;C&amp;"Arial,Bold"&amp;UProduction Sheet&amp;R&amp;8ABN 64 530 554 800</oddHeader>
  </headerFooter>
  <colBreaks count="1" manualBreakCount="1">
    <brk id="11" max="1048575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C000000}">
          <x14:formula1>
            <xm:f>'drop down list'!$I$2:$I$5</xm:f>
          </x14:formula1>
          <xm:sqref>I8:K8</xm:sqref>
        </x14:dataValidation>
        <x14:dataValidation type="list" allowBlank="1" showInputMessage="1" showErrorMessage="1" xr:uid="{00000000-0002-0000-0000-00000D000000}">
          <x14:formula1>
            <xm:f>'drop down list'!$M$2:$M$5</xm:f>
          </x14:formula1>
          <xm:sqref>N6:P6</xm:sqref>
        </x14:dataValidation>
        <x14:dataValidation type="list" allowBlank="1" showInputMessage="1" xr:uid="{00000000-0002-0000-0000-00000E000000}">
          <x14:formula1>
            <xm:f>'drop down list'!$A$3:$A$4</xm:f>
          </x14:formula1>
          <xm:sqref>B8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K220"/>
  <sheetViews>
    <sheetView workbookViewId="0">
      <selection activeCell="B25" sqref="B25"/>
    </sheetView>
  </sheetViews>
  <sheetFormatPr defaultRowHeight="13" x14ac:dyDescent="0.6"/>
  <cols>
    <col min="1" max="1" width="9.40625" customWidth="1"/>
    <col min="2" max="2" width="10.26953125" customWidth="1"/>
    <col min="3" max="10" width="9.40625" customWidth="1"/>
  </cols>
  <sheetData>
    <row r="1" spans="1:10" ht="17.45" customHeight="1" x14ac:dyDescent="0.65">
      <c r="A1" s="49" t="s">
        <v>114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7.45" customHeight="1" x14ac:dyDescent="0.7">
      <c r="A2" s="11" t="s">
        <v>29</v>
      </c>
      <c r="B2" s="8" t="s">
        <v>158</v>
      </c>
      <c r="C2" s="13"/>
      <c r="D2" s="14" t="s">
        <v>85</v>
      </c>
      <c r="E2" s="87"/>
      <c r="F2" s="13"/>
      <c r="G2" s="14" t="s">
        <v>86</v>
      </c>
      <c r="H2" s="21" t="s">
        <v>113</v>
      </c>
      <c r="I2" s="20"/>
      <c r="J2" s="17"/>
    </row>
    <row r="3" spans="1:10" ht="17.45" customHeight="1" x14ac:dyDescent="0.75">
      <c r="A3" s="11" t="s">
        <v>78</v>
      </c>
      <c r="B3" s="15"/>
      <c r="C3" s="14"/>
      <c r="D3" s="14" t="s">
        <v>79</v>
      </c>
      <c r="E3" s="15" t="s">
        <v>107</v>
      </c>
      <c r="F3" s="14"/>
      <c r="G3" s="14" t="s">
        <v>102</v>
      </c>
      <c r="H3" s="3" t="s">
        <v>9</v>
      </c>
      <c r="I3" s="16" t="s">
        <v>87</v>
      </c>
      <c r="J3" s="2" t="s">
        <v>61</v>
      </c>
    </row>
    <row r="4" spans="1:10" ht="17.45" customHeight="1" x14ac:dyDescent="0.75">
      <c r="A4" s="11" t="s">
        <v>80</v>
      </c>
      <c r="B4" s="328">
        <f>+E4*H4</f>
        <v>5000</v>
      </c>
      <c r="C4" s="329"/>
      <c r="D4" s="14" t="s">
        <v>81</v>
      </c>
      <c r="E4" s="5">
        <v>10</v>
      </c>
      <c r="F4" s="14"/>
      <c r="G4" s="14" t="s">
        <v>105</v>
      </c>
      <c r="H4" s="4">
        <v>500</v>
      </c>
      <c r="I4" s="16" t="s">
        <v>88</v>
      </c>
      <c r="J4" s="2"/>
    </row>
    <row r="5" spans="1:10" ht="17.45" customHeight="1" thickBot="1" x14ac:dyDescent="0.9">
      <c r="A5" s="11" t="s">
        <v>82</v>
      </c>
      <c r="B5" s="51"/>
      <c r="C5" s="52">
        <v>470</v>
      </c>
      <c r="D5" s="53" t="s">
        <v>61</v>
      </c>
      <c r="E5" s="9">
        <v>720</v>
      </c>
      <c r="F5" s="6" t="s">
        <v>61</v>
      </c>
      <c r="G5" s="9">
        <v>35</v>
      </c>
      <c r="H5" s="7" t="s">
        <v>62</v>
      </c>
      <c r="I5" s="16" t="s">
        <v>108</v>
      </c>
      <c r="J5" s="2"/>
    </row>
    <row r="6" spans="1:10" ht="17.45" customHeight="1" thickBot="1" x14ac:dyDescent="0.9">
      <c r="A6" s="11" t="s">
        <v>83</v>
      </c>
      <c r="B6" s="330" t="s">
        <v>187</v>
      </c>
      <c r="C6" s="331"/>
      <c r="D6" s="332"/>
      <c r="E6" s="14"/>
      <c r="F6" s="14"/>
      <c r="G6" s="14"/>
      <c r="H6" s="20"/>
      <c r="I6" s="16" t="s">
        <v>89</v>
      </c>
      <c r="J6" s="2"/>
    </row>
    <row r="7" spans="1:10" ht="17.45" customHeight="1" thickBot="1" x14ac:dyDescent="0.9">
      <c r="A7" s="11" t="s">
        <v>13</v>
      </c>
      <c r="B7" s="330" t="s">
        <v>149</v>
      </c>
      <c r="C7" s="332"/>
      <c r="D7" s="50"/>
      <c r="E7" s="14"/>
      <c r="F7" s="14"/>
      <c r="G7" s="14"/>
      <c r="H7" s="20"/>
      <c r="I7" s="18" t="s">
        <v>90</v>
      </c>
      <c r="J7" s="57"/>
    </row>
    <row r="8" spans="1:10" ht="17.45" customHeight="1" thickBot="1" x14ac:dyDescent="0.9">
      <c r="A8" s="11" t="s">
        <v>84</v>
      </c>
      <c r="B8" s="50"/>
      <c r="C8" s="32"/>
      <c r="D8" s="14"/>
      <c r="E8" s="14"/>
      <c r="F8" s="14"/>
      <c r="G8" s="14"/>
      <c r="H8" s="14"/>
      <c r="I8" s="84" t="s">
        <v>91</v>
      </c>
      <c r="J8" s="74" t="s">
        <v>107</v>
      </c>
    </row>
    <row r="9" spans="1:10" ht="17.45" customHeight="1" thickBot="1" x14ac:dyDescent="0.9">
      <c r="A9" s="11"/>
      <c r="B9" s="14" t="s">
        <v>61</v>
      </c>
      <c r="C9" s="14" t="s">
        <v>98</v>
      </c>
      <c r="D9" s="14"/>
      <c r="E9" s="14"/>
      <c r="F9" s="14" t="s">
        <v>61</v>
      </c>
      <c r="G9" s="14" t="s">
        <v>99</v>
      </c>
      <c r="H9" s="14"/>
      <c r="I9" s="84" t="s">
        <v>92</v>
      </c>
      <c r="J9" s="74">
        <v>50</v>
      </c>
    </row>
    <row r="10" spans="1:10" ht="17.45" customHeight="1" x14ac:dyDescent="0.75">
      <c r="A10" s="11"/>
      <c r="B10" s="14" t="s">
        <v>61</v>
      </c>
      <c r="C10" s="14" t="s">
        <v>98</v>
      </c>
      <c r="D10" s="14"/>
      <c r="E10" s="14"/>
      <c r="F10" s="14" t="s">
        <v>61</v>
      </c>
      <c r="G10" s="14" t="s">
        <v>99</v>
      </c>
      <c r="H10" s="20"/>
      <c r="I10" s="43" t="s">
        <v>93</v>
      </c>
      <c r="J10" s="83" t="s">
        <v>9</v>
      </c>
    </row>
    <row r="11" spans="1:10" ht="17.45" customHeight="1" x14ac:dyDescent="0.75">
      <c r="A11" s="11"/>
      <c r="B11" s="14" t="s">
        <v>61</v>
      </c>
      <c r="C11" s="14" t="s">
        <v>98</v>
      </c>
      <c r="D11" s="14"/>
      <c r="E11" s="14"/>
      <c r="F11" s="14" t="s">
        <v>61</v>
      </c>
      <c r="G11" s="14" t="s">
        <v>99</v>
      </c>
      <c r="H11" s="20"/>
      <c r="I11" s="16" t="s">
        <v>94</v>
      </c>
      <c r="J11" s="2"/>
    </row>
    <row r="12" spans="1:10" ht="17.45" customHeight="1" thickBot="1" x14ac:dyDescent="0.9">
      <c r="A12" s="11"/>
      <c r="B12" s="14"/>
      <c r="C12" s="14" t="s">
        <v>100</v>
      </c>
      <c r="D12" s="14"/>
      <c r="E12" s="14"/>
      <c r="F12" s="14"/>
      <c r="G12" s="14"/>
      <c r="H12" s="20"/>
      <c r="I12" s="18" t="s">
        <v>95</v>
      </c>
      <c r="J12" s="57"/>
    </row>
    <row r="13" spans="1:10" ht="17.45" customHeight="1" thickBot="1" x14ac:dyDescent="0.9">
      <c r="A13" s="11"/>
      <c r="B13" s="14"/>
      <c r="C13" s="14" t="s">
        <v>101</v>
      </c>
      <c r="D13" s="14"/>
      <c r="E13" s="52"/>
      <c r="F13" s="14"/>
      <c r="G13" s="14"/>
      <c r="H13" s="14"/>
      <c r="I13" s="84" t="s">
        <v>96</v>
      </c>
      <c r="J13" s="74" t="s">
        <v>107</v>
      </c>
    </row>
    <row r="14" spans="1:10" ht="17.45" customHeight="1" thickBot="1" x14ac:dyDescent="0.9">
      <c r="A14" s="11"/>
      <c r="B14" s="14"/>
      <c r="C14" s="14"/>
      <c r="D14" s="14"/>
      <c r="E14" s="61" t="s">
        <v>118</v>
      </c>
      <c r="F14" s="14"/>
      <c r="G14" s="14"/>
      <c r="H14" s="20"/>
      <c r="I14" s="43" t="s">
        <v>97</v>
      </c>
      <c r="J14" s="83"/>
    </row>
    <row r="15" spans="1:10" ht="17.45" customHeight="1" x14ac:dyDescent="0.6">
      <c r="A15" s="25" t="s">
        <v>10</v>
      </c>
      <c r="B15" s="26"/>
      <c r="J15" s="55"/>
    </row>
    <row r="16" spans="1:10" ht="17.45" customHeight="1" x14ac:dyDescent="0.6">
      <c r="A16" s="48"/>
      <c r="B16" s="26"/>
      <c r="C16" s="26"/>
      <c r="D16" s="26"/>
      <c r="E16" s="27"/>
      <c r="F16" s="27"/>
      <c r="G16" s="27"/>
      <c r="H16" s="28"/>
      <c r="I16" s="29"/>
      <c r="J16" s="30"/>
    </row>
    <row r="17" spans="1:11" ht="17.45" customHeight="1" x14ac:dyDescent="0.6">
      <c r="A17" s="31"/>
      <c r="B17" s="32"/>
      <c r="C17" s="32"/>
      <c r="D17" s="32"/>
      <c r="E17" s="32"/>
      <c r="F17" s="32"/>
      <c r="G17" s="32"/>
      <c r="H17" s="32"/>
      <c r="I17" s="32"/>
      <c r="J17" s="33"/>
    </row>
    <row r="18" spans="1:11" ht="17.45" customHeight="1" x14ac:dyDescent="0.6">
      <c r="A18" s="34" t="s">
        <v>57</v>
      </c>
      <c r="B18" s="32"/>
      <c r="C18" s="32"/>
      <c r="D18" s="32"/>
      <c r="E18" s="32"/>
      <c r="F18" s="32"/>
      <c r="G18" s="32"/>
      <c r="H18" s="32"/>
      <c r="I18" s="33"/>
      <c r="J18" s="17"/>
    </row>
    <row r="19" spans="1:11" ht="17.45" customHeight="1" x14ac:dyDescent="0.65">
      <c r="A19" s="11"/>
      <c r="B19" s="14"/>
      <c r="C19" s="14" t="s">
        <v>22</v>
      </c>
      <c r="D19" s="23"/>
      <c r="E19" s="14" t="s">
        <v>58</v>
      </c>
      <c r="F19" s="23"/>
      <c r="G19" s="14" t="s">
        <v>59</v>
      </c>
      <c r="H19" s="333"/>
      <c r="I19" s="334"/>
      <c r="J19" s="17"/>
    </row>
    <row r="20" spans="1:11" ht="17.45" customHeight="1" x14ac:dyDescent="0.6">
      <c r="A20" s="11" t="s">
        <v>60</v>
      </c>
      <c r="B20" s="14"/>
      <c r="C20" s="24"/>
      <c r="D20" s="14" t="s">
        <v>61</v>
      </c>
      <c r="E20" s="24"/>
      <c r="F20" s="14" t="s">
        <v>61</v>
      </c>
      <c r="G20" s="24"/>
      <c r="H20" s="14" t="s">
        <v>62</v>
      </c>
      <c r="I20" s="20"/>
      <c r="J20" s="17"/>
    </row>
    <row r="21" spans="1:11" ht="17.45" customHeight="1" x14ac:dyDescent="0.75">
      <c r="A21" s="11" t="s">
        <v>63</v>
      </c>
      <c r="B21" s="15"/>
      <c r="C21" s="14" t="s">
        <v>64</v>
      </c>
      <c r="D21" s="15"/>
      <c r="E21" s="14" t="s">
        <v>65</v>
      </c>
      <c r="F21" s="15"/>
      <c r="G21" s="327" t="s">
        <v>66</v>
      </c>
      <c r="H21" s="327"/>
      <c r="I21" s="22"/>
      <c r="J21" s="17"/>
    </row>
    <row r="22" spans="1:11" ht="17.45" customHeight="1" x14ac:dyDescent="0.75">
      <c r="A22" s="11" t="s">
        <v>68</v>
      </c>
      <c r="B22" s="24"/>
      <c r="C22" s="14" t="s">
        <v>69</v>
      </c>
      <c r="D22" s="24"/>
      <c r="E22" s="14"/>
      <c r="F22" s="14"/>
      <c r="G22" s="14" t="s">
        <v>67</v>
      </c>
      <c r="H22" s="14"/>
      <c r="I22" s="22"/>
      <c r="J22" s="17"/>
    </row>
    <row r="23" spans="1:11" ht="17.45" customHeight="1" x14ac:dyDescent="0.6">
      <c r="A23" s="17"/>
      <c r="B23" s="17"/>
      <c r="C23" s="17"/>
      <c r="D23" s="17"/>
      <c r="E23" s="17"/>
      <c r="F23" s="17"/>
      <c r="G23" s="17"/>
      <c r="H23" s="17"/>
      <c r="I23" s="17"/>
      <c r="J23" s="17"/>
    </row>
    <row r="24" spans="1:11" ht="17.45" customHeight="1" thickBot="1" x14ac:dyDescent="0.75">
      <c r="A24" s="85" t="s">
        <v>52</v>
      </c>
      <c r="B24" s="51"/>
      <c r="C24" s="14"/>
      <c r="D24" s="14"/>
      <c r="E24" s="14"/>
      <c r="F24" s="14"/>
      <c r="G24" s="14"/>
      <c r="H24" s="14"/>
      <c r="I24" s="20"/>
      <c r="J24" s="17"/>
    </row>
    <row r="25" spans="1:11" ht="17.45" customHeight="1" thickBot="1" x14ac:dyDescent="0.9">
      <c r="A25" s="84" t="s">
        <v>54</v>
      </c>
      <c r="B25" s="74" t="s">
        <v>107</v>
      </c>
      <c r="C25" s="20" t="s">
        <v>53</v>
      </c>
      <c r="D25" s="56"/>
      <c r="E25" s="16" t="s">
        <v>55</v>
      </c>
      <c r="F25" s="35"/>
      <c r="G25" s="14"/>
      <c r="H25" s="14"/>
      <c r="I25" s="20"/>
      <c r="J25" s="17"/>
    </row>
    <row r="26" spans="1:11" ht="17.45" customHeight="1" thickBot="1" x14ac:dyDescent="0.75">
      <c r="A26" s="40" t="s">
        <v>5</v>
      </c>
      <c r="B26" s="86" t="s">
        <v>7</v>
      </c>
      <c r="C26" s="14" t="s">
        <v>46</v>
      </c>
      <c r="D26" s="54" t="s">
        <v>115</v>
      </c>
      <c r="E26" s="20" t="s">
        <v>47</v>
      </c>
      <c r="F26" s="16" t="s">
        <v>48</v>
      </c>
      <c r="G26" s="16" t="s">
        <v>49</v>
      </c>
      <c r="H26" s="16" t="s">
        <v>50</v>
      </c>
      <c r="I26" s="16" t="s">
        <v>51</v>
      </c>
      <c r="J26" s="11" t="s">
        <v>104</v>
      </c>
      <c r="K26" s="62" t="s">
        <v>117</v>
      </c>
    </row>
    <row r="27" spans="1:11" ht="17.45" customHeight="1" x14ac:dyDescent="0.6">
      <c r="A27" s="16"/>
      <c r="B27" s="43"/>
      <c r="C27" s="16"/>
      <c r="D27" s="43"/>
      <c r="E27" s="16"/>
      <c r="F27" s="16"/>
      <c r="G27" s="16"/>
      <c r="H27" s="16"/>
      <c r="I27" s="16"/>
      <c r="J27" s="16"/>
      <c r="K27" s="43"/>
    </row>
    <row r="28" spans="1:11" ht="17.45" customHeight="1" x14ac:dyDescent="0.6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45"/>
    </row>
    <row r="29" spans="1:11" ht="17.45" customHeight="1" x14ac:dyDescent="0.6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46"/>
    </row>
    <row r="30" spans="1:11" ht="17.45" customHeight="1" x14ac:dyDescent="0.6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47"/>
    </row>
    <row r="31" spans="1:11" ht="17.45" customHeight="1" x14ac:dyDescent="0.6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46"/>
    </row>
    <row r="32" spans="1:11" ht="17.45" customHeight="1" x14ac:dyDescent="0.6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47"/>
    </row>
    <row r="33" spans="1:11" ht="17.45" customHeight="1" x14ac:dyDescent="0.6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46"/>
    </row>
    <row r="34" spans="1:11" ht="17.45" customHeight="1" x14ac:dyDescent="0.6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47"/>
    </row>
    <row r="35" spans="1:11" ht="17.45" customHeight="1" x14ac:dyDescent="0.6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46"/>
    </row>
    <row r="36" spans="1:11" ht="17.45" customHeight="1" x14ac:dyDescent="0.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46"/>
    </row>
    <row r="37" spans="1:11" ht="17.45" customHeight="1" x14ac:dyDescent="0.6">
      <c r="A37" s="36" t="s">
        <v>103</v>
      </c>
      <c r="B37" s="37"/>
      <c r="C37" s="37"/>
      <c r="D37" s="37"/>
      <c r="E37" s="37"/>
      <c r="F37" s="37" t="s">
        <v>56</v>
      </c>
      <c r="G37" s="37"/>
      <c r="H37" s="38"/>
      <c r="I37" s="16"/>
      <c r="J37" s="17"/>
    </row>
    <row r="38" spans="1:11" ht="17.45" customHeight="1" x14ac:dyDescent="0.6">
      <c r="A38" s="36" t="s">
        <v>106</v>
      </c>
      <c r="B38" s="37"/>
      <c r="C38" s="37"/>
      <c r="D38" s="37"/>
      <c r="E38" s="37"/>
      <c r="F38" s="37"/>
      <c r="G38" s="37"/>
      <c r="H38" s="37"/>
      <c r="I38" s="20"/>
      <c r="J38" s="17"/>
    </row>
    <row r="39" spans="1:11" ht="17.45" customHeight="1" x14ac:dyDescent="0.65">
      <c r="A39" s="11" t="s">
        <v>70</v>
      </c>
      <c r="B39" s="12" t="s">
        <v>121</v>
      </c>
      <c r="C39" s="12"/>
      <c r="D39" s="14" t="s">
        <v>37</v>
      </c>
      <c r="E39" s="12">
        <v>34</v>
      </c>
      <c r="F39" s="12"/>
      <c r="G39" s="14" t="s">
        <v>71</v>
      </c>
      <c r="H39" s="12">
        <v>4</v>
      </c>
      <c r="I39" s="19"/>
      <c r="J39" s="17"/>
    </row>
    <row r="40" spans="1:11" ht="17.45" customHeight="1" x14ac:dyDescent="0.65">
      <c r="A40" s="11" t="s">
        <v>72</v>
      </c>
      <c r="B40" s="12">
        <v>11</v>
      </c>
      <c r="C40" s="12"/>
      <c r="D40" s="14" t="s">
        <v>73</v>
      </c>
      <c r="E40" s="12">
        <v>4</v>
      </c>
      <c r="F40" s="12"/>
      <c r="G40" s="14" t="s">
        <v>74</v>
      </c>
      <c r="H40" s="12">
        <v>2</v>
      </c>
      <c r="I40" s="19"/>
      <c r="J40" s="17"/>
    </row>
    <row r="41" spans="1:11" ht="17.45" customHeight="1" thickBot="1" x14ac:dyDescent="0.8">
      <c r="A41" s="58" t="s">
        <v>75</v>
      </c>
      <c r="B41" s="59"/>
      <c r="C41" s="59"/>
      <c r="D41" s="51" t="s">
        <v>76</v>
      </c>
      <c r="E41" s="59">
        <v>66</v>
      </c>
      <c r="F41" s="59"/>
      <c r="G41" s="51" t="s">
        <v>77</v>
      </c>
      <c r="H41" s="59">
        <v>32</v>
      </c>
      <c r="I41" s="60"/>
      <c r="J41" s="17"/>
    </row>
    <row r="42" spans="1:11" ht="17.45" customHeight="1" thickBot="1" x14ac:dyDescent="0.85">
      <c r="A42" s="335" t="s">
        <v>150</v>
      </c>
      <c r="B42" s="336"/>
      <c r="C42" s="336"/>
      <c r="D42" s="336"/>
      <c r="E42" s="336"/>
      <c r="F42" s="336"/>
      <c r="G42" s="336"/>
      <c r="H42" s="336"/>
      <c r="I42" s="336"/>
      <c r="J42" s="337"/>
    </row>
    <row r="43" spans="1:11" ht="17.45" customHeight="1" x14ac:dyDescent="0.6">
      <c r="A43" s="39"/>
      <c r="B43" s="17"/>
      <c r="C43" s="17"/>
      <c r="D43" s="17"/>
      <c r="E43" s="17"/>
      <c r="F43" s="17"/>
      <c r="G43" s="17"/>
      <c r="H43" s="44"/>
      <c r="I43" s="17"/>
      <c r="J43" s="30"/>
    </row>
    <row r="44" spans="1:11" ht="17.45" customHeight="1" x14ac:dyDescent="0.6">
      <c r="A44" s="40"/>
      <c r="B44" s="32"/>
      <c r="C44" s="32"/>
      <c r="D44" s="32"/>
      <c r="E44" s="32"/>
      <c r="F44" s="32"/>
      <c r="G44" s="32"/>
      <c r="H44" s="32"/>
      <c r="I44" s="32"/>
      <c r="J44" s="33"/>
    </row>
    <row r="45" spans="1:11" ht="17.149999999999999" customHeight="1" x14ac:dyDescent="0.6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1" x14ac:dyDescent="0.6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1" x14ac:dyDescent="0.6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1" x14ac:dyDescent="0.6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6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6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6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6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6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6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6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6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6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6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6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6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6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6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6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6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6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6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6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6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6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6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6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6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6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6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6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6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6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6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6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6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6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6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6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6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6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6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6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6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6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6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6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6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6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6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6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6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6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6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6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6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6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6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6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6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6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6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6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6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6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6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6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6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6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6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6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6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6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6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6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6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6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6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6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6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6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6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6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6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6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6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6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6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6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6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6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6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6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6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6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6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6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6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6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6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6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6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6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6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6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6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6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6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6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6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6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6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6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6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6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6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6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6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6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6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6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6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6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6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6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6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6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6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6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6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6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6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6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6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6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6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6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6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6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6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6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6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6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6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6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6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6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6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6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6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6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6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6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6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6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6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6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6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6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6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6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6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6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6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6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6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6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6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6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6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6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6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6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6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6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6">
      <c r="A220" s="1"/>
      <c r="B220" s="1"/>
      <c r="C220" s="1"/>
      <c r="D220" s="1"/>
      <c r="E220" s="1"/>
      <c r="F220" s="1"/>
      <c r="G220" s="1"/>
      <c r="H220" s="1"/>
      <c r="I220" s="1"/>
      <c r="J220" s="1"/>
    </row>
  </sheetData>
  <mergeCells count="6">
    <mergeCell ref="G21:H21"/>
    <mergeCell ref="B4:C4"/>
    <mergeCell ref="B6:D6"/>
    <mergeCell ref="H19:I19"/>
    <mergeCell ref="A42:J42"/>
    <mergeCell ref="B7:C7"/>
  </mergeCells>
  <phoneticPr fontId="0" type="noConversion"/>
  <pageMargins left="0.39370078740157483" right="0.19685039370078741" top="0.39370078740157483" bottom="0.39370078740157483" header="0.51181102362204722" footer="0.51181102362204722"/>
  <pageSetup paperSize="9" scale="95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51"/>
  <sheetViews>
    <sheetView workbookViewId="0">
      <selection activeCell="G10" sqref="G10:H10"/>
    </sheetView>
  </sheetViews>
  <sheetFormatPr defaultColWidth="9.1328125" defaultRowHeight="14.75" x14ac:dyDescent="0.75"/>
  <cols>
    <col min="1" max="1" width="9.1328125" style="194"/>
    <col min="2" max="16384" width="9.1328125" style="151"/>
  </cols>
  <sheetData>
    <row r="1" spans="1:11" x14ac:dyDescent="0.75">
      <c r="A1" s="190" t="s">
        <v>0</v>
      </c>
      <c r="B1" s="190" t="s">
        <v>1</v>
      </c>
      <c r="C1" s="190" t="s">
        <v>2</v>
      </c>
      <c r="D1" s="190" t="s">
        <v>3</v>
      </c>
      <c r="E1" s="190" t="s">
        <v>4</v>
      </c>
      <c r="F1" s="190" t="s">
        <v>248</v>
      </c>
      <c r="G1" s="190" t="s">
        <v>8</v>
      </c>
      <c r="H1" s="190" t="s">
        <v>6</v>
      </c>
      <c r="I1" s="190" t="s">
        <v>116</v>
      </c>
      <c r="J1" s="190" t="s">
        <v>5</v>
      </c>
      <c r="K1" s="191" t="s">
        <v>227</v>
      </c>
    </row>
    <row r="2" spans="1:11" x14ac:dyDescent="0.75">
      <c r="A2" s="192">
        <v>6</v>
      </c>
      <c r="B2" s="157"/>
      <c r="C2" s="153"/>
      <c r="D2" s="153"/>
      <c r="E2" s="153"/>
      <c r="F2" s="153"/>
      <c r="G2" s="153"/>
      <c r="H2" s="153"/>
      <c r="I2" s="153"/>
      <c r="J2" s="153"/>
      <c r="K2" s="153"/>
    </row>
    <row r="3" spans="1:11" x14ac:dyDescent="0.75">
      <c r="A3" s="192">
        <v>7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</row>
    <row r="4" spans="1:11" x14ac:dyDescent="0.75">
      <c r="A4" s="192">
        <v>8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</row>
    <row r="5" spans="1:11" x14ac:dyDescent="0.75">
      <c r="A5" s="192">
        <v>9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</row>
    <row r="6" spans="1:11" x14ac:dyDescent="0.75">
      <c r="A6" s="193">
        <v>10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</row>
    <row r="7" spans="1:11" x14ac:dyDescent="0.75">
      <c r="A7" s="192">
        <v>11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</row>
    <row r="8" spans="1:11" x14ac:dyDescent="0.75">
      <c r="A8" s="192">
        <v>12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</row>
    <row r="9" spans="1:11" x14ac:dyDescent="0.75">
      <c r="A9" s="192">
        <v>13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</row>
    <row r="10" spans="1:11" x14ac:dyDescent="0.75">
      <c r="A10" s="192">
        <v>14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</row>
    <row r="11" spans="1:11" x14ac:dyDescent="0.75">
      <c r="A11" s="193">
        <v>15</v>
      </c>
      <c r="B11" s="154"/>
      <c r="C11" s="154"/>
      <c r="D11" s="154"/>
      <c r="E11" s="154"/>
      <c r="F11" s="154"/>
      <c r="G11" s="154"/>
      <c r="H11" s="154"/>
      <c r="I11" s="154"/>
      <c r="J11" s="154"/>
      <c r="K11" s="154"/>
    </row>
    <row r="12" spans="1:11" x14ac:dyDescent="0.75">
      <c r="A12" s="192">
        <v>16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</row>
    <row r="13" spans="1:11" x14ac:dyDescent="0.75">
      <c r="A13" s="192">
        <v>17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</row>
    <row r="14" spans="1:11" x14ac:dyDescent="0.75">
      <c r="A14" s="192">
        <v>18</v>
      </c>
      <c r="B14" s="153"/>
      <c r="C14" s="153"/>
      <c r="D14" s="153"/>
      <c r="E14" s="153"/>
      <c r="F14" s="153"/>
      <c r="G14" s="153"/>
      <c r="H14" s="153"/>
      <c r="I14" s="153"/>
      <c r="J14" s="153"/>
      <c r="K14" s="153"/>
    </row>
    <row r="15" spans="1:11" x14ac:dyDescent="0.75">
      <c r="A15" s="192">
        <v>19</v>
      </c>
      <c r="B15" s="153"/>
      <c r="C15" s="153"/>
      <c r="D15" s="153"/>
      <c r="E15" s="153"/>
      <c r="F15" s="153"/>
      <c r="G15" s="153"/>
      <c r="H15" s="153"/>
      <c r="I15" s="153"/>
      <c r="J15" s="153"/>
      <c r="K15" s="153"/>
    </row>
    <row r="16" spans="1:11" x14ac:dyDescent="0.75">
      <c r="A16" s="193">
        <v>20</v>
      </c>
      <c r="B16" s="154"/>
      <c r="C16" s="154"/>
      <c r="D16" s="154"/>
      <c r="E16" s="154"/>
      <c r="F16" s="154"/>
      <c r="G16" s="154"/>
      <c r="H16" s="154"/>
      <c r="I16" s="154"/>
      <c r="J16" s="154"/>
      <c r="K16" s="154"/>
    </row>
    <row r="17" spans="1:11" x14ac:dyDescent="0.75">
      <c r="A17" s="192">
        <v>21</v>
      </c>
      <c r="B17" s="153"/>
      <c r="C17" s="153"/>
      <c r="D17" s="153"/>
      <c r="E17" s="153"/>
      <c r="F17" s="153"/>
      <c r="G17" s="153"/>
      <c r="H17" s="153"/>
      <c r="I17" s="153"/>
      <c r="J17" s="153"/>
      <c r="K17" s="153"/>
    </row>
    <row r="18" spans="1:11" x14ac:dyDescent="0.75">
      <c r="A18" s="192">
        <v>22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</row>
    <row r="19" spans="1:11" x14ac:dyDescent="0.75">
      <c r="A19" s="192">
        <v>23</v>
      </c>
      <c r="B19" s="153"/>
      <c r="C19" s="153"/>
      <c r="D19" s="153"/>
      <c r="E19" s="153"/>
      <c r="F19" s="153"/>
      <c r="G19" s="153"/>
      <c r="H19" s="153"/>
      <c r="I19" s="153"/>
      <c r="J19" s="153"/>
      <c r="K19" s="153"/>
    </row>
    <row r="20" spans="1:11" x14ac:dyDescent="0.75">
      <c r="A20" s="192">
        <v>24</v>
      </c>
      <c r="B20" s="153"/>
      <c r="C20" s="153"/>
      <c r="D20" s="153"/>
      <c r="E20" s="153"/>
      <c r="F20" s="153"/>
      <c r="G20" s="153"/>
      <c r="H20" s="153"/>
      <c r="I20" s="153"/>
      <c r="J20" s="153"/>
      <c r="K20" s="153"/>
    </row>
    <row r="21" spans="1:11" x14ac:dyDescent="0.75">
      <c r="A21" s="193">
        <v>25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</row>
    <row r="22" spans="1:11" x14ac:dyDescent="0.75">
      <c r="A22" s="192">
        <v>26</v>
      </c>
      <c r="B22" s="153"/>
      <c r="C22" s="153"/>
      <c r="D22" s="153"/>
      <c r="E22" s="153"/>
      <c r="F22" s="153"/>
      <c r="G22" s="153"/>
      <c r="H22" s="153"/>
      <c r="I22" s="153"/>
      <c r="J22" s="153"/>
      <c r="K22" s="153"/>
    </row>
    <row r="23" spans="1:11" x14ac:dyDescent="0.75">
      <c r="A23" s="192">
        <v>27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</row>
    <row r="24" spans="1:11" x14ac:dyDescent="0.75">
      <c r="A24" s="192">
        <v>28</v>
      </c>
      <c r="B24" s="153"/>
      <c r="C24" s="153"/>
      <c r="D24" s="153"/>
      <c r="E24" s="153"/>
      <c r="F24" s="153"/>
      <c r="G24" s="153"/>
      <c r="H24" s="153"/>
      <c r="I24" s="153"/>
      <c r="J24" s="153"/>
      <c r="K24" s="153"/>
    </row>
    <row r="25" spans="1:11" x14ac:dyDescent="0.75">
      <c r="A25" s="192">
        <v>29</v>
      </c>
      <c r="B25" s="153"/>
      <c r="C25" s="153"/>
      <c r="D25" s="153"/>
      <c r="E25" s="153"/>
      <c r="F25" s="153"/>
      <c r="G25" s="153"/>
      <c r="H25" s="153"/>
      <c r="I25" s="153"/>
      <c r="J25" s="153"/>
      <c r="K25" s="153"/>
    </row>
    <row r="26" spans="1:11" x14ac:dyDescent="0.75">
      <c r="A26" s="193">
        <v>30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</row>
    <row r="27" spans="1:11" x14ac:dyDescent="0.75">
      <c r="A27" s="192">
        <v>31</v>
      </c>
      <c r="B27" s="153"/>
      <c r="C27" s="153"/>
      <c r="D27" s="153"/>
      <c r="E27" s="153"/>
      <c r="F27" s="153"/>
      <c r="G27" s="153"/>
      <c r="H27" s="153"/>
      <c r="I27" s="153"/>
      <c r="J27" s="153"/>
      <c r="K27" s="153"/>
    </row>
    <row r="28" spans="1:11" x14ac:dyDescent="0.75">
      <c r="A28" s="192">
        <v>32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</row>
    <row r="29" spans="1:11" x14ac:dyDescent="0.75">
      <c r="A29" s="192">
        <v>33</v>
      </c>
      <c r="B29" s="153"/>
      <c r="C29" s="153"/>
      <c r="D29" s="153"/>
      <c r="E29" s="153"/>
      <c r="F29" s="153"/>
      <c r="G29" s="153"/>
      <c r="H29" s="153"/>
      <c r="I29" s="153"/>
      <c r="J29" s="153"/>
      <c r="K29" s="153"/>
    </row>
    <row r="30" spans="1:11" x14ac:dyDescent="0.75">
      <c r="A30" s="192">
        <v>34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</row>
    <row r="31" spans="1:11" x14ac:dyDescent="0.75">
      <c r="A31" s="193">
        <v>35</v>
      </c>
      <c r="B31" s="154"/>
      <c r="C31" s="154"/>
      <c r="D31" s="154"/>
      <c r="E31" s="154"/>
      <c r="F31" s="154"/>
      <c r="G31" s="154"/>
      <c r="H31" s="154"/>
      <c r="I31" s="154"/>
      <c r="J31" s="154"/>
      <c r="K31" s="154"/>
    </row>
    <row r="32" spans="1:11" x14ac:dyDescent="0.75">
      <c r="A32" s="192">
        <v>36</v>
      </c>
      <c r="B32" s="153"/>
      <c r="C32" s="153"/>
      <c r="D32" s="153"/>
      <c r="E32" s="153"/>
      <c r="F32" s="153"/>
      <c r="G32" s="153"/>
      <c r="H32" s="153"/>
      <c r="I32" s="153"/>
      <c r="J32" s="153"/>
      <c r="K32" s="153"/>
    </row>
    <row r="33" spans="1:11" x14ac:dyDescent="0.75">
      <c r="A33" s="192">
        <v>37</v>
      </c>
      <c r="B33" s="153"/>
      <c r="C33" s="153"/>
      <c r="D33" s="153"/>
      <c r="E33" s="153"/>
      <c r="F33" s="153"/>
      <c r="G33" s="153"/>
      <c r="H33" s="153"/>
      <c r="I33" s="153"/>
      <c r="J33" s="153"/>
      <c r="K33" s="153"/>
    </row>
    <row r="34" spans="1:11" x14ac:dyDescent="0.75">
      <c r="A34" s="192">
        <v>38</v>
      </c>
      <c r="B34" s="153"/>
      <c r="C34" s="153"/>
      <c r="D34" s="153"/>
      <c r="E34" s="153"/>
      <c r="F34" s="153"/>
      <c r="G34" s="153"/>
      <c r="H34" s="153"/>
      <c r="I34" s="153"/>
      <c r="J34" s="153"/>
      <c r="K34" s="153"/>
    </row>
    <row r="35" spans="1:11" x14ac:dyDescent="0.75">
      <c r="A35" s="192">
        <v>39</v>
      </c>
      <c r="B35" s="153"/>
      <c r="C35" s="153"/>
      <c r="D35" s="153"/>
      <c r="E35" s="153"/>
      <c r="F35" s="153"/>
      <c r="G35" s="153"/>
      <c r="H35" s="153"/>
      <c r="I35" s="153"/>
      <c r="J35" s="153"/>
      <c r="K35" s="153"/>
    </row>
    <row r="36" spans="1:11" x14ac:dyDescent="0.75">
      <c r="A36" s="193">
        <v>40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</row>
    <row r="37" spans="1:11" x14ac:dyDescent="0.75">
      <c r="A37" s="192">
        <v>41</v>
      </c>
      <c r="B37" s="153"/>
      <c r="C37" s="153"/>
      <c r="D37" s="153"/>
      <c r="E37" s="153"/>
      <c r="F37" s="153"/>
      <c r="G37" s="153"/>
      <c r="H37" s="153"/>
      <c r="I37" s="153"/>
      <c r="J37" s="153"/>
      <c r="K37" s="153"/>
    </row>
    <row r="38" spans="1:11" x14ac:dyDescent="0.75">
      <c r="A38" s="192">
        <v>42</v>
      </c>
      <c r="B38" s="153"/>
      <c r="C38" s="153"/>
      <c r="D38" s="153"/>
      <c r="E38" s="153"/>
      <c r="F38" s="153"/>
      <c r="G38" s="153"/>
      <c r="H38" s="153"/>
      <c r="I38" s="153"/>
      <c r="J38" s="153"/>
      <c r="K38" s="153"/>
    </row>
    <row r="39" spans="1:11" x14ac:dyDescent="0.75">
      <c r="A39" s="192">
        <v>43</v>
      </c>
      <c r="B39" s="153"/>
      <c r="C39" s="153"/>
      <c r="D39" s="153"/>
      <c r="E39" s="153"/>
      <c r="F39" s="153"/>
      <c r="G39" s="153"/>
      <c r="H39" s="153"/>
      <c r="I39" s="153"/>
      <c r="J39" s="153"/>
      <c r="K39" s="153"/>
    </row>
    <row r="40" spans="1:11" x14ac:dyDescent="0.75">
      <c r="A40" s="192">
        <v>44</v>
      </c>
      <c r="B40" s="153"/>
      <c r="C40" s="153"/>
      <c r="D40" s="153"/>
      <c r="E40" s="153"/>
      <c r="F40" s="153"/>
      <c r="G40" s="153"/>
      <c r="H40" s="153"/>
      <c r="I40" s="153"/>
      <c r="J40" s="153"/>
      <c r="K40" s="153"/>
    </row>
    <row r="41" spans="1:11" x14ac:dyDescent="0.75">
      <c r="A41" s="193">
        <v>45</v>
      </c>
      <c r="B41" s="154"/>
      <c r="C41" s="154"/>
      <c r="D41" s="154"/>
      <c r="E41" s="154"/>
      <c r="F41" s="154"/>
      <c r="G41" s="154"/>
      <c r="H41" s="154"/>
      <c r="I41" s="154"/>
      <c r="J41" s="154"/>
      <c r="K41" s="154"/>
    </row>
    <row r="42" spans="1:11" x14ac:dyDescent="0.75">
      <c r="A42" s="192">
        <v>46</v>
      </c>
      <c r="B42" s="153"/>
      <c r="C42" s="153"/>
      <c r="D42" s="153"/>
      <c r="E42" s="153"/>
      <c r="F42" s="153"/>
      <c r="G42" s="153"/>
      <c r="H42" s="153"/>
      <c r="I42" s="153"/>
      <c r="J42" s="153"/>
      <c r="K42" s="153"/>
    </row>
    <row r="43" spans="1:11" x14ac:dyDescent="0.75">
      <c r="A43" s="192">
        <v>47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</row>
    <row r="44" spans="1:11" x14ac:dyDescent="0.75">
      <c r="A44" s="192">
        <v>48</v>
      </c>
      <c r="B44" s="153"/>
      <c r="C44" s="153"/>
      <c r="D44" s="153"/>
      <c r="E44" s="153"/>
      <c r="F44" s="153"/>
      <c r="G44" s="153"/>
      <c r="H44" s="153"/>
      <c r="I44" s="153"/>
      <c r="J44" s="153"/>
      <c r="K44" s="153"/>
    </row>
    <row r="45" spans="1:11" x14ac:dyDescent="0.75">
      <c r="A45" s="192">
        <v>49</v>
      </c>
      <c r="B45" s="153"/>
      <c r="C45" s="153"/>
      <c r="D45" s="153"/>
      <c r="E45" s="153"/>
      <c r="F45" s="153"/>
      <c r="G45" s="153"/>
      <c r="H45" s="153"/>
      <c r="I45" s="153"/>
      <c r="J45" s="153"/>
      <c r="K45" s="153"/>
    </row>
    <row r="46" spans="1:11" x14ac:dyDescent="0.75">
      <c r="A46" s="193">
        <v>50</v>
      </c>
      <c r="B46" s="154"/>
      <c r="C46" s="154"/>
      <c r="D46" s="154"/>
      <c r="E46" s="154"/>
      <c r="F46" s="154"/>
      <c r="G46" s="154"/>
      <c r="H46" s="154"/>
      <c r="I46" s="154"/>
      <c r="J46" s="154"/>
      <c r="K46" s="154"/>
    </row>
    <row r="47" spans="1:11" x14ac:dyDescent="0.75">
      <c r="A47" s="192">
        <v>51</v>
      </c>
      <c r="B47" s="153"/>
      <c r="C47" s="153"/>
      <c r="D47" s="153"/>
      <c r="E47" s="153"/>
      <c r="F47" s="153"/>
      <c r="G47" s="153"/>
      <c r="H47" s="153"/>
      <c r="I47" s="153"/>
      <c r="J47" s="153"/>
      <c r="K47" s="153"/>
    </row>
    <row r="48" spans="1:11" x14ac:dyDescent="0.75">
      <c r="A48" s="192">
        <v>52</v>
      </c>
      <c r="B48" s="153"/>
      <c r="C48" s="153"/>
      <c r="D48" s="153"/>
      <c r="E48" s="153"/>
      <c r="F48" s="153"/>
      <c r="G48" s="153"/>
      <c r="H48" s="153"/>
      <c r="I48" s="153"/>
      <c r="J48" s="153"/>
      <c r="K48" s="153"/>
    </row>
    <row r="49" spans="1:11" x14ac:dyDescent="0.75">
      <c r="A49" s="192">
        <v>53</v>
      </c>
      <c r="B49" s="153"/>
      <c r="C49" s="153"/>
      <c r="D49" s="153"/>
      <c r="E49" s="153"/>
      <c r="F49" s="153"/>
      <c r="G49" s="153"/>
      <c r="H49" s="153"/>
      <c r="I49" s="153"/>
      <c r="J49" s="153"/>
      <c r="K49" s="153"/>
    </row>
    <row r="50" spans="1:11" x14ac:dyDescent="0.75">
      <c r="A50" s="192">
        <v>54</v>
      </c>
      <c r="B50" s="153"/>
      <c r="C50" s="153"/>
      <c r="D50" s="153"/>
      <c r="E50" s="153"/>
      <c r="F50" s="153"/>
      <c r="G50" s="153"/>
      <c r="H50" s="153"/>
      <c r="I50" s="153"/>
      <c r="J50" s="153"/>
      <c r="K50" s="153"/>
    </row>
    <row r="51" spans="1:11" x14ac:dyDescent="0.75">
      <c r="A51" s="193">
        <v>55</v>
      </c>
      <c r="B51" s="154"/>
      <c r="C51" s="154"/>
      <c r="D51" s="154"/>
      <c r="E51" s="154"/>
      <c r="F51" s="154"/>
      <c r="G51" s="154"/>
      <c r="H51" s="154"/>
      <c r="I51" s="154"/>
      <c r="J51" s="154"/>
      <c r="K51" s="154"/>
    </row>
  </sheetData>
  <pageMargins left="0.25" right="0.25" top="0.75" bottom="0.75" header="0.3" footer="0.3"/>
  <pageSetup paperSize="9" scale="98" orientation="portrait" r:id="rId1"/>
  <headerFooter>
    <oddHeader>&amp;L&amp;8Dolphin Plastics
ABN 64 530 554 800&amp;C&amp;8Customer___________________________
Product Code________________________&amp;R&amp;8Date_______________Time___________
Operator___________________________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42"/>
  <sheetViews>
    <sheetView workbookViewId="0">
      <selection activeCell="B33" sqref="B33"/>
    </sheetView>
  </sheetViews>
  <sheetFormatPr defaultRowHeight="13" x14ac:dyDescent="0.6"/>
  <sheetData>
    <row r="1" spans="1:11" x14ac:dyDescent="0.6">
      <c r="A1" t="s">
        <v>109</v>
      </c>
    </row>
    <row r="2" spans="1:11" x14ac:dyDescent="0.6">
      <c r="A2" t="s">
        <v>110</v>
      </c>
    </row>
    <row r="4" spans="1:11" ht="14.25" x14ac:dyDescent="0.65">
      <c r="A4" s="11" t="s">
        <v>70</v>
      </c>
      <c r="B4" s="12" t="s">
        <v>111</v>
      </c>
      <c r="C4" s="12"/>
      <c r="D4" s="14" t="s">
        <v>37</v>
      </c>
      <c r="E4" s="12">
        <v>6.5</v>
      </c>
      <c r="F4" s="12"/>
      <c r="G4" s="14" t="s">
        <v>71</v>
      </c>
      <c r="H4" s="12">
        <v>6</v>
      </c>
      <c r="I4" s="19"/>
    </row>
    <row r="5" spans="1:11" ht="14.25" x14ac:dyDescent="0.65">
      <c r="A5" s="11" t="s">
        <v>72</v>
      </c>
      <c r="B5" s="12">
        <v>11</v>
      </c>
      <c r="C5" s="12"/>
      <c r="D5" s="14" t="s">
        <v>73</v>
      </c>
      <c r="E5" s="12">
        <v>4</v>
      </c>
      <c r="F5" s="12"/>
      <c r="G5" s="14" t="s">
        <v>74</v>
      </c>
      <c r="H5" s="12">
        <v>2</v>
      </c>
      <c r="I5" s="19"/>
    </row>
    <row r="6" spans="1:11" ht="14.25" x14ac:dyDescent="0.65">
      <c r="A6" s="11" t="s">
        <v>75</v>
      </c>
      <c r="B6" s="12"/>
      <c r="C6" s="12"/>
      <c r="D6" s="14" t="s">
        <v>76</v>
      </c>
      <c r="E6" s="12">
        <v>63</v>
      </c>
      <c r="F6" s="12"/>
      <c r="G6" s="14" t="s">
        <v>77</v>
      </c>
      <c r="H6" s="12">
        <v>230</v>
      </c>
      <c r="I6" s="19"/>
    </row>
    <row r="8" spans="1:11" ht="14.25" x14ac:dyDescent="0.65">
      <c r="A8" s="11" t="s">
        <v>38</v>
      </c>
      <c r="B8" s="41">
        <v>0.1</v>
      </c>
      <c r="C8" s="42"/>
      <c r="D8" s="12"/>
      <c r="E8" s="14" t="s">
        <v>39</v>
      </c>
      <c r="F8" s="12">
        <v>2.8</v>
      </c>
      <c r="G8" s="14" t="s">
        <v>42</v>
      </c>
      <c r="H8" s="12">
        <v>350</v>
      </c>
      <c r="I8" s="14" t="s">
        <v>44</v>
      </c>
      <c r="J8" s="12">
        <v>65</v>
      </c>
      <c r="K8" s="19"/>
    </row>
    <row r="9" spans="1:11" ht="14.25" x14ac:dyDescent="0.65">
      <c r="A9" s="11" t="s">
        <v>35</v>
      </c>
      <c r="B9" s="12">
        <v>2</v>
      </c>
      <c r="C9" s="14" t="s">
        <v>37</v>
      </c>
      <c r="D9" s="12">
        <v>50</v>
      </c>
      <c r="E9" s="14" t="s">
        <v>40</v>
      </c>
      <c r="F9" s="12">
        <v>4.3</v>
      </c>
      <c r="G9" s="14" t="s">
        <v>42</v>
      </c>
      <c r="H9" s="12">
        <v>400</v>
      </c>
      <c r="I9" s="14" t="s">
        <v>45</v>
      </c>
      <c r="J9" s="12"/>
      <c r="K9" s="19"/>
    </row>
    <row r="10" spans="1:11" ht="14.25" x14ac:dyDescent="0.65">
      <c r="A10" s="11" t="s">
        <v>36</v>
      </c>
      <c r="B10" s="12">
        <v>1.8</v>
      </c>
      <c r="C10" s="14"/>
      <c r="D10" s="12"/>
      <c r="E10" s="14" t="s">
        <v>41</v>
      </c>
      <c r="F10" s="14"/>
      <c r="G10" s="14" t="s">
        <v>43</v>
      </c>
      <c r="H10" s="12"/>
      <c r="I10" s="14"/>
      <c r="J10" s="12"/>
      <c r="K10" s="19"/>
    </row>
    <row r="12" spans="1:11" ht="14.25" x14ac:dyDescent="0.65">
      <c r="A12" s="11" t="s">
        <v>38</v>
      </c>
      <c r="B12" s="41">
        <v>0.252</v>
      </c>
      <c r="C12" s="42"/>
      <c r="D12" s="12"/>
      <c r="E12" s="14" t="s">
        <v>39</v>
      </c>
      <c r="F12" s="12">
        <v>3.1</v>
      </c>
      <c r="G12" s="14" t="s">
        <v>42</v>
      </c>
      <c r="H12" s="12">
        <v>26.6</v>
      </c>
      <c r="I12" s="14" t="s">
        <v>44</v>
      </c>
      <c r="J12" s="12">
        <v>45</v>
      </c>
      <c r="K12" s="19"/>
    </row>
    <row r="13" spans="1:11" ht="14.25" x14ac:dyDescent="0.65">
      <c r="A13" s="11" t="s">
        <v>35</v>
      </c>
      <c r="B13" s="12">
        <v>2</v>
      </c>
      <c r="C13" s="14" t="s">
        <v>37</v>
      </c>
      <c r="D13" s="12">
        <v>50</v>
      </c>
      <c r="E13" s="14" t="s">
        <v>40</v>
      </c>
      <c r="F13" s="12">
        <v>5.8</v>
      </c>
      <c r="G13" s="14" t="s">
        <v>42</v>
      </c>
      <c r="H13" s="12">
        <v>49.4</v>
      </c>
      <c r="I13" s="14" t="s">
        <v>45</v>
      </c>
      <c r="J13" s="12"/>
      <c r="K13" s="19"/>
    </row>
    <row r="14" spans="1:11" ht="14.25" x14ac:dyDescent="0.65">
      <c r="A14" s="11" t="s">
        <v>36</v>
      </c>
      <c r="B14" s="12">
        <v>1.8</v>
      </c>
      <c r="C14" s="14"/>
      <c r="D14" s="12"/>
      <c r="E14" s="14" t="s">
        <v>41</v>
      </c>
      <c r="F14" s="14"/>
      <c r="G14" s="14" t="s">
        <v>43</v>
      </c>
      <c r="H14" s="12"/>
      <c r="I14" s="14"/>
      <c r="J14" s="12"/>
      <c r="K14" s="19"/>
    </row>
    <row r="16" spans="1:11" ht="14.25" x14ac:dyDescent="0.65">
      <c r="A16" s="11" t="s">
        <v>38</v>
      </c>
      <c r="B16" s="41">
        <v>0.01</v>
      </c>
      <c r="C16" s="42"/>
      <c r="D16" s="12"/>
      <c r="E16" s="14" t="s">
        <v>39</v>
      </c>
      <c r="F16" s="12"/>
      <c r="G16" s="14" t="s">
        <v>42</v>
      </c>
      <c r="H16" s="12">
        <v>18.100000000000001</v>
      </c>
      <c r="I16" s="14" t="s">
        <v>44</v>
      </c>
      <c r="J16" s="12">
        <v>35</v>
      </c>
      <c r="K16" s="19"/>
    </row>
    <row r="17" spans="1:11" ht="14.25" x14ac:dyDescent="0.65">
      <c r="A17" s="11" t="s">
        <v>35</v>
      </c>
      <c r="B17" s="12"/>
      <c r="C17" s="14" t="s">
        <v>37</v>
      </c>
      <c r="D17" s="12"/>
      <c r="E17" s="14" t="s">
        <v>40</v>
      </c>
      <c r="F17" s="12"/>
      <c r="G17" s="14" t="s">
        <v>42</v>
      </c>
      <c r="H17" s="12">
        <v>1250</v>
      </c>
      <c r="I17" s="14" t="s">
        <v>45</v>
      </c>
      <c r="J17" s="12"/>
      <c r="K17" s="19"/>
    </row>
    <row r="18" spans="1:11" ht="14.25" x14ac:dyDescent="0.65">
      <c r="A18" s="11" t="s">
        <v>36</v>
      </c>
      <c r="B18" s="12"/>
      <c r="C18" s="14"/>
      <c r="D18" s="12"/>
      <c r="E18" s="14" t="s">
        <v>41</v>
      </c>
      <c r="F18" s="14"/>
      <c r="G18" s="14" t="s">
        <v>43</v>
      </c>
      <c r="H18" s="12"/>
      <c r="I18" s="14"/>
      <c r="J18" s="12"/>
      <c r="K18" s="19"/>
    </row>
    <row r="31" spans="1:11" ht="13.75" thickBot="1" x14ac:dyDescent="0.75"/>
    <row r="32" spans="1:11" ht="16" thickBot="1" x14ac:dyDescent="0.8">
      <c r="C32" s="65">
        <v>0.2</v>
      </c>
      <c r="D32" s="64" t="s">
        <v>112</v>
      </c>
      <c r="E32" s="66"/>
      <c r="F32" s="67">
        <v>601</v>
      </c>
      <c r="G32" s="63"/>
    </row>
    <row r="33" spans="2:12" ht="16" thickBot="1" x14ac:dyDescent="0.8">
      <c r="C33" s="68">
        <v>0.7</v>
      </c>
      <c r="D33" s="338" t="s">
        <v>119</v>
      </c>
      <c r="E33" s="339"/>
      <c r="F33" s="339"/>
      <c r="G33" s="340"/>
    </row>
    <row r="34" spans="2:12" ht="18.75" thickBot="1" x14ac:dyDescent="0.95">
      <c r="C34" s="341" t="s">
        <v>120</v>
      </c>
      <c r="D34" s="342"/>
      <c r="E34" s="342"/>
      <c r="F34" s="342"/>
      <c r="G34" s="343"/>
    </row>
    <row r="35" spans="2:12" ht="19.25" thickBot="1" x14ac:dyDescent="1.05">
      <c r="B35" s="344" t="s">
        <v>122</v>
      </c>
      <c r="C35" s="345"/>
      <c r="D35" s="345"/>
      <c r="E35" s="345"/>
      <c r="F35" s="345"/>
      <c r="G35" s="345"/>
      <c r="H35" s="345"/>
      <c r="I35" s="345"/>
      <c r="J35" s="346"/>
      <c r="K35" s="346"/>
      <c r="L35" s="347"/>
    </row>
    <row r="36" spans="2:12" ht="15.5" thickBot="1" x14ac:dyDescent="0.9">
      <c r="B36" s="69" t="s">
        <v>34</v>
      </c>
      <c r="C36" s="17"/>
      <c r="D36" s="17"/>
      <c r="E36" s="348" t="s">
        <v>123</v>
      </c>
      <c r="F36" s="349"/>
      <c r="G36" s="349"/>
      <c r="H36" s="349"/>
      <c r="I36" s="349"/>
      <c r="J36" s="350" t="s">
        <v>14</v>
      </c>
      <c r="K36" s="351"/>
      <c r="L36" s="70" t="s">
        <v>107</v>
      </c>
    </row>
    <row r="37" spans="2:12" ht="15.5" thickBot="1" x14ac:dyDescent="0.9">
      <c r="B37" s="71" t="s">
        <v>11</v>
      </c>
      <c r="C37" s="72"/>
      <c r="D37" s="18" t="s">
        <v>31</v>
      </c>
      <c r="E37" s="39" t="s">
        <v>12</v>
      </c>
      <c r="F37" s="73" t="s">
        <v>124</v>
      </c>
      <c r="G37" s="30"/>
      <c r="H37" s="352" t="s">
        <v>13</v>
      </c>
      <c r="I37" s="353"/>
      <c r="J37" s="354" t="s">
        <v>15</v>
      </c>
      <c r="K37" s="355"/>
      <c r="L37" s="74"/>
    </row>
    <row r="38" spans="2:12" ht="15.5" thickBot="1" x14ac:dyDescent="0.9">
      <c r="B38" s="359" t="s">
        <v>125</v>
      </c>
      <c r="C38" s="360"/>
      <c r="D38" s="361" t="s">
        <v>126</v>
      </c>
      <c r="E38" s="362"/>
      <c r="F38" s="75"/>
      <c r="G38" s="76"/>
      <c r="H38" s="356">
        <v>20</v>
      </c>
      <c r="I38" s="357"/>
      <c r="J38" s="363" t="s">
        <v>16</v>
      </c>
      <c r="K38" s="364"/>
      <c r="L38" s="77"/>
    </row>
    <row r="39" spans="2:12" ht="15.5" thickBot="1" x14ac:dyDescent="0.9">
      <c r="B39" s="359" t="s">
        <v>127</v>
      </c>
      <c r="C39" s="360"/>
      <c r="D39" s="365" t="s">
        <v>128</v>
      </c>
      <c r="E39" s="366"/>
      <c r="F39" s="75"/>
      <c r="G39" s="76"/>
      <c r="H39" s="356">
        <v>10</v>
      </c>
      <c r="I39" s="357"/>
      <c r="J39" s="367" t="s">
        <v>17</v>
      </c>
      <c r="K39" s="355"/>
      <c r="L39" s="74"/>
    </row>
    <row r="40" spans="2:12" ht="18.75" thickBot="1" x14ac:dyDescent="0.95">
      <c r="B40" s="373" t="s">
        <v>129</v>
      </c>
      <c r="C40" s="374"/>
      <c r="D40" s="375" t="s">
        <v>130</v>
      </c>
      <c r="E40" s="376"/>
      <c r="F40" s="75"/>
      <c r="G40" s="78"/>
      <c r="H40" s="356">
        <v>70</v>
      </c>
      <c r="I40" s="357"/>
      <c r="J40" s="367" t="s">
        <v>18</v>
      </c>
      <c r="K40" s="355"/>
      <c r="L40" s="79"/>
    </row>
    <row r="41" spans="2:12" ht="18.75" thickBot="1" x14ac:dyDescent="0.95">
      <c r="B41" s="373"/>
      <c r="C41" s="374"/>
      <c r="D41" s="375"/>
      <c r="E41" s="376"/>
      <c r="F41" s="75"/>
      <c r="G41" s="80"/>
      <c r="H41" s="356"/>
      <c r="I41" s="357"/>
      <c r="J41" s="358" t="s">
        <v>19</v>
      </c>
      <c r="K41" s="351"/>
      <c r="L41" s="81"/>
    </row>
    <row r="42" spans="2:12" ht="15.25" thickBot="1" x14ac:dyDescent="0.85">
      <c r="B42" s="368"/>
      <c r="C42" s="369"/>
      <c r="D42" s="368"/>
      <c r="E42" s="369"/>
      <c r="F42" s="75"/>
      <c r="G42" s="76"/>
      <c r="H42" s="370"/>
      <c r="I42" s="278"/>
      <c r="J42" s="371" t="s">
        <v>131</v>
      </c>
      <c r="K42" s="372"/>
      <c r="L42" s="82"/>
    </row>
  </sheetData>
  <mergeCells count="27">
    <mergeCell ref="B42:C42"/>
    <mergeCell ref="D42:E42"/>
    <mergeCell ref="H42:I42"/>
    <mergeCell ref="J42:K42"/>
    <mergeCell ref="B40:C40"/>
    <mergeCell ref="D40:E40"/>
    <mergeCell ref="H40:I40"/>
    <mergeCell ref="J40:K40"/>
    <mergeCell ref="B41:C41"/>
    <mergeCell ref="D41:E41"/>
    <mergeCell ref="H37:I37"/>
    <mergeCell ref="J37:K37"/>
    <mergeCell ref="H41:I41"/>
    <mergeCell ref="J41:K41"/>
    <mergeCell ref="B38:C38"/>
    <mergeCell ref="D38:E38"/>
    <mergeCell ref="H38:I38"/>
    <mergeCell ref="J38:K38"/>
    <mergeCell ref="B39:C39"/>
    <mergeCell ref="D39:E39"/>
    <mergeCell ref="H39:I39"/>
    <mergeCell ref="J39:K39"/>
    <mergeCell ref="D33:G33"/>
    <mergeCell ref="C34:G34"/>
    <mergeCell ref="B35:L35"/>
    <mergeCell ref="E36:I36"/>
    <mergeCell ref="J36:K36"/>
  </mergeCells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K51"/>
  <sheetViews>
    <sheetView workbookViewId="0">
      <selection activeCell="E17" sqref="E17"/>
    </sheetView>
  </sheetViews>
  <sheetFormatPr defaultColWidth="9.1328125" defaultRowHeight="14.75" x14ac:dyDescent="0.75"/>
  <cols>
    <col min="1" max="16384" width="9.1328125" style="151"/>
  </cols>
  <sheetData>
    <row r="1" spans="1:11" ht="17.25" x14ac:dyDescent="0.85">
      <c r="A1" s="377" t="s">
        <v>52</v>
      </c>
      <c r="B1" s="378"/>
      <c r="C1" s="378"/>
      <c r="D1" s="378"/>
      <c r="E1" s="378"/>
      <c r="F1" s="378"/>
      <c r="G1" s="378"/>
      <c r="H1" s="378"/>
      <c r="I1" s="378"/>
      <c r="J1" s="378"/>
      <c r="K1" s="379"/>
    </row>
    <row r="2" spans="1:11" x14ac:dyDescent="0.75">
      <c r="A2" s="152" t="s">
        <v>5</v>
      </c>
      <c r="B2" s="152" t="s">
        <v>7</v>
      </c>
      <c r="C2" s="152" t="s">
        <v>46</v>
      </c>
      <c r="D2" s="152" t="s">
        <v>115</v>
      </c>
      <c r="E2" s="152" t="s">
        <v>47</v>
      </c>
      <c r="F2" s="152" t="s">
        <v>48</v>
      </c>
      <c r="G2" s="152" t="s">
        <v>49</v>
      </c>
      <c r="H2" s="152" t="s">
        <v>50</v>
      </c>
      <c r="I2" s="152" t="s">
        <v>51</v>
      </c>
      <c r="J2" s="152" t="s">
        <v>104</v>
      </c>
      <c r="K2" s="152" t="s">
        <v>227</v>
      </c>
    </row>
    <row r="3" spans="1:11" x14ac:dyDescent="0.75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4"/>
    </row>
    <row r="4" spans="1:11" x14ac:dyDescent="0.75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5"/>
    </row>
    <row r="5" spans="1:11" x14ac:dyDescent="0.75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5"/>
    </row>
    <row r="6" spans="1:11" x14ac:dyDescent="0.75">
      <c r="A6" s="153"/>
      <c r="B6" s="153"/>
      <c r="C6" s="153"/>
      <c r="D6" s="153"/>
      <c r="E6" s="153"/>
      <c r="F6" s="153"/>
      <c r="G6" s="153"/>
      <c r="H6" s="153"/>
      <c r="I6" s="153"/>
      <c r="J6" s="153"/>
      <c r="K6" s="155"/>
    </row>
    <row r="7" spans="1:11" x14ac:dyDescent="0.75">
      <c r="A7" s="153"/>
      <c r="B7" s="153"/>
      <c r="C7" s="153"/>
      <c r="D7" s="153"/>
      <c r="E7" s="153"/>
      <c r="F7" s="153"/>
      <c r="G7" s="153"/>
      <c r="H7" s="153"/>
      <c r="I7" s="153"/>
      <c r="J7" s="153"/>
      <c r="K7" s="156"/>
    </row>
    <row r="8" spans="1:11" x14ac:dyDescent="0.75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5"/>
    </row>
    <row r="9" spans="1:11" x14ac:dyDescent="0.75">
      <c r="A9" s="153"/>
      <c r="B9" s="153"/>
      <c r="C9" s="153"/>
      <c r="D9" s="153"/>
      <c r="E9" s="153"/>
      <c r="F9" s="153"/>
      <c r="G9" s="153"/>
      <c r="H9" s="153"/>
      <c r="I9" s="153"/>
      <c r="J9" s="153"/>
      <c r="K9" s="155"/>
    </row>
    <row r="10" spans="1:11" x14ac:dyDescent="0.75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5"/>
    </row>
    <row r="11" spans="1:11" x14ac:dyDescent="0.75">
      <c r="A11" s="153"/>
      <c r="B11" s="153"/>
      <c r="C11" s="153"/>
      <c r="D11" s="153"/>
      <c r="E11" s="153"/>
      <c r="F11" s="153"/>
      <c r="G11" s="153"/>
      <c r="H11" s="153"/>
      <c r="I11" s="153"/>
      <c r="J11" s="153"/>
      <c r="K11" s="155"/>
    </row>
    <row r="12" spans="1:11" x14ac:dyDescent="0.75">
      <c r="A12" s="153"/>
      <c r="B12" s="153"/>
      <c r="C12" s="153"/>
      <c r="D12" s="153"/>
      <c r="E12" s="153"/>
      <c r="F12" s="153"/>
      <c r="G12" s="153"/>
      <c r="H12" s="153"/>
      <c r="I12" s="153"/>
      <c r="J12" s="153"/>
      <c r="K12" s="156"/>
    </row>
    <row r="13" spans="1:11" x14ac:dyDescent="0.75">
      <c r="A13" s="153"/>
      <c r="B13" s="153"/>
      <c r="C13" s="153"/>
      <c r="D13" s="153"/>
      <c r="E13" s="153"/>
      <c r="F13" s="153"/>
      <c r="G13" s="153"/>
      <c r="H13" s="153"/>
      <c r="I13" s="153"/>
      <c r="J13" s="153"/>
      <c r="K13" s="155"/>
    </row>
    <row r="14" spans="1:11" x14ac:dyDescent="0.75">
      <c r="A14" s="153"/>
      <c r="B14" s="153"/>
      <c r="C14" s="153"/>
      <c r="D14" s="153"/>
      <c r="E14" s="153"/>
      <c r="F14" s="153"/>
      <c r="G14" s="153"/>
      <c r="H14" s="153"/>
      <c r="I14" s="153"/>
      <c r="J14" s="153"/>
      <c r="K14" s="153"/>
    </row>
    <row r="15" spans="1:11" x14ac:dyDescent="0.75">
      <c r="A15" s="153"/>
      <c r="B15" s="153"/>
      <c r="C15" s="153"/>
      <c r="D15" s="153"/>
      <c r="E15" s="153"/>
      <c r="F15" s="153"/>
      <c r="G15" s="153"/>
      <c r="H15" s="153"/>
      <c r="I15" s="153"/>
      <c r="J15" s="153"/>
      <c r="K15" s="153"/>
    </row>
    <row r="16" spans="1:11" x14ac:dyDescent="0.75">
      <c r="A16" s="153"/>
      <c r="B16" s="153"/>
      <c r="C16" s="153"/>
      <c r="D16" s="153"/>
      <c r="E16" s="153"/>
      <c r="F16" s="153"/>
      <c r="G16" s="153"/>
      <c r="H16" s="153"/>
      <c r="I16" s="153"/>
      <c r="J16" s="153"/>
      <c r="K16" s="153"/>
    </row>
    <row r="17" spans="1:11" x14ac:dyDescent="0.75">
      <c r="A17" s="153"/>
      <c r="B17" s="153"/>
      <c r="C17" s="153"/>
      <c r="D17" s="153"/>
      <c r="E17" s="153"/>
      <c r="F17" s="153"/>
      <c r="G17" s="153"/>
      <c r="H17" s="153"/>
      <c r="I17" s="153"/>
      <c r="J17" s="153"/>
      <c r="K17" s="154"/>
    </row>
    <row r="18" spans="1:11" x14ac:dyDescent="0.75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</row>
    <row r="19" spans="1:11" x14ac:dyDescent="0.75">
      <c r="A19" s="153"/>
      <c r="B19" s="153"/>
      <c r="C19" s="153"/>
      <c r="D19" s="153"/>
      <c r="E19" s="153"/>
      <c r="F19" s="153"/>
      <c r="G19" s="153"/>
      <c r="H19" s="153"/>
      <c r="I19" s="153"/>
      <c r="J19" s="153"/>
      <c r="K19" s="153"/>
    </row>
    <row r="20" spans="1:11" x14ac:dyDescent="0.75">
      <c r="A20" s="153"/>
      <c r="B20" s="153"/>
      <c r="C20" s="153"/>
      <c r="D20" s="153"/>
      <c r="E20" s="153"/>
      <c r="F20" s="153"/>
      <c r="G20" s="153"/>
      <c r="H20" s="153"/>
      <c r="I20" s="153"/>
      <c r="J20" s="153"/>
      <c r="K20" s="153"/>
    </row>
    <row r="21" spans="1:11" x14ac:dyDescent="0.75">
      <c r="A21" s="153"/>
      <c r="B21" s="153"/>
      <c r="C21" s="153"/>
      <c r="D21" s="153"/>
      <c r="E21" s="153"/>
      <c r="F21" s="153"/>
      <c r="G21" s="153"/>
      <c r="H21" s="153"/>
      <c r="I21" s="153"/>
      <c r="J21" s="153"/>
      <c r="K21" s="153"/>
    </row>
    <row r="22" spans="1:11" x14ac:dyDescent="0.75">
      <c r="A22" s="153"/>
      <c r="B22" s="153"/>
      <c r="C22" s="153"/>
      <c r="D22" s="153"/>
      <c r="E22" s="153"/>
      <c r="F22" s="153"/>
      <c r="G22" s="153"/>
      <c r="H22" s="153"/>
      <c r="I22" s="153"/>
      <c r="J22" s="153"/>
      <c r="K22" s="154"/>
    </row>
    <row r="23" spans="1:11" x14ac:dyDescent="0.75">
      <c r="A23" s="153"/>
      <c r="B23" s="153"/>
      <c r="C23" s="153"/>
      <c r="D23" s="153"/>
      <c r="E23" s="153"/>
      <c r="F23" s="153"/>
      <c r="G23" s="153"/>
      <c r="H23" s="153"/>
      <c r="I23" s="153"/>
      <c r="J23" s="153"/>
      <c r="K23" s="153"/>
    </row>
    <row r="24" spans="1:11" x14ac:dyDescent="0.75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</row>
    <row r="25" spans="1:11" x14ac:dyDescent="0.75">
      <c r="A25" s="153"/>
      <c r="B25" s="153"/>
      <c r="C25" s="153"/>
      <c r="D25" s="153"/>
      <c r="E25" s="153"/>
      <c r="F25" s="153"/>
      <c r="G25" s="153"/>
      <c r="H25" s="153"/>
      <c r="I25" s="153"/>
      <c r="J25" s="153"/>
      <c r="K25" s="153"/>
    </row>
    <row r="26" spans="1:11" x14ac:dyDescent="0.75">
      <c r="A26" s="153"/>
      <c r="B26" s="153"/>
      <c r="C26" s="153"/>
      <c r="D26" s="153"/>
      <c r="E26" s="153"/>
      <c r="F26" s="153"/>
      <c r="G26" s="153"/>
      <c r="H26" s="153"/>
      <c r="I26" s="153"/>
      <c r="J26" s="153"/>
      <c r="K26" s="153"/>
    </row>
    <row r="27" spans="1:11" x14ac:dyDescent="0.75">
      <c r="A27" s="153"/>
      <c r="B27" s="153"/>
      <c r="C27" s="153"/>
      <c r="D27" s="153"/>
      <c r="E27" s="153"/>
      <c r="F27" s="153"/>
      <c r="G27" s="153"/>
      <c r="H27" s="153"/>
      <c r="I27" s="153"/>
      <c r="J27" s="153"/>
      <c r="K27" s="154"/>
    </row>
    <row r="28" spans="1:11" x14ac:dyDescent="0.75">
      <c r="A28" s="153"/>
      <c r="B28" s="153"/>
      <c r="C28" s="153"/>
      <c r="D28" s="153"/>
      <c r="E28" s="153"/>
      <c r="F28" s="153"/>
      <c r="G28" s="153"/>
      <c r="H28" s="153"/>
      <c r="I28" s="153"/>
      <c r="J28" s="153"/>
      <c r="K28" s="153"/>
    </row>
    <row r="29" spans="1:11" x14ac:dyDescent="0.75">
      <c r="A29" s="153"/>
      <c r="B29" s="153"/>
      <c r="C29" s="153"/>
      <c r="D29" s="153"/>
      <c r="E29" s="153"/>
      <c r="F29" s="153"/>
      <c r="G29" s="153"/>
      <c r="H29" s="153"/>
      <c r="I29" s="153"/>
      <c r="J29" s="153"/>
      <c r="K29" s="153"/>
    </row>
    <row r="30" spans="1:11" x14ac:dyDescent="0.75">
      <c r="A30" s="153"/>
      <c r="B30" s="153"/>
      <c r="C30" s="153"/>
      <c r="D30" s="153"/>
      <c r="E30" s="153"/>
      <c r="F30" s="153"/>
      <c r="G30" s="153"/>
      <c r="H30" s="153"/>
      <c r="I30" s="153"/>
      <c r="J30" s="153"/>
      <c r="K30" s="153"/>
    </row>
    <row r="31" spans="1:11" x14ac:dyDescent="0.75">
      <c r="A31" s="153"/>
      <c r="B31" s="153"/>
      <c r="C31" s="153"/>
      <c r="D31" s="153"/>
      <c r="E31" s="153"/>
      <c r="F31" s="153"/>
      <c r="G31" s="153"/>
      <c r="H31" s="153"/>
      <c r="I31" s="153"/>
      <c r="J31" s="153"/>
      <c r="K31" s="153"/>
    </row>
    <row r="32" spans="1:11" x14ac:dyDescent="0.75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4"/>
    </row>
    <row r="33" spans="1:11" x14ac:dyDescent="0.75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</row>
    <row r="34" spans="1:11" x14ac:dyDescent="0.75">
      <c r="A34" s="153"/>
      <c r="B34" s="153"/>
      <c r="C34" s="153"/>
      <c r="D34" s="153"/>
      <c r="E34" s="153"/>
      <c r="F34" s="153"/>
      <c r="G34" s="153"/>
      <c r="H34" s="153"/>
      <c r="I34" s="153"/>
      <c r="J34" s="153"/>
      <c r="K34" s="153"/>
    </row>
    <row r="35" spans="1:11" x14ac:dyDescent="0.75">
      <c r="A35" s="153"/>
      <c r="B35" s="153"/>
      <c r="C35" s="153"/>
      <c r="D35" s="153"/>
      <c r="E35" s="153"/>
      <c r="F35" s="153"/>
      <c r="G35" s="153"/>
      <c r="H35" s="153"/>
      <c r="I35" s="153"/>
      <c r="J35" s="153"/>
      <c r="K35" s="153"/>
    </row>
    <row r="36" spans="1:11" x14ac:dyDescent="0.75">
      <c r="A36" s="153"/>
      <c r="B36" s="153"/>
      <c r="C36" s="153"/>
      <c r="D36" s="153"/>
      <c r="E36" s="153"/>
      <c r="F36" s="153"/>
      <c r="G36" s="153"/>
      <c r="H36" s="153"/>
      <c r="I36" s="153"/>
      <c r="J36" s="153"/>
      <c r="K36" s="153"/>
    </row>
    <row r="37" spans="1:11" x14ac:dyDescent="0.75">
      <c r="A37" s="153"/>
      <c r="B37" s="153"/>
      <c r="C37" s="153"/>
      <c r="D37" s="153"/>
      <c r="E37" s="153"/>
      <c r="F37" s="153"/>
      <c r="G37" s="153"/>
      <c r="H37" s="153"/>
      <c r="I37" s="153"/>
      <c r="J37" s="153"/>
      <c r="K37" s="154"/>
    </row>
    <row r="38" spans="1:11" x14ac:dyDescent="0.75">
      <c r="A38" s="153"/>
      <c r="B38" s="153"/>
      <c r="C38" s="153"/>
      <c r="D38" s="153"/>
      <c r="E38" s="153"/>
      <c r="F38" s="153"/>
      <c r="G38" s="153"/>
      <c r="H38" s="153"/>
      <c r="I38" s="153"/>
      <c r="J38" s="153"/>
      <c r="K38" s="153"/>
    </row>
    <row r="39" spans="1:11" x14ac:dyDescent="0.75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</row>
    <row r="40" spans="1:11" x14ac:dyDescent="0.75">
      <c r="A40" s="153"/>
      <c r="B40" s="153"/>
      <c r="C40" s="153"/>
      <c r="D40" s="153"/>
      <c r="E40" s="153"/>
      <c r="F40" s="153"/>
      <c r="G40" s="153"/>
      <c r="H40" s="153"/>
      <c r="I40" s="153"/>
      <c r="J40" s="153"/>
      <c r="K40" s="153"/>
    </row>
    <row r="41" spans="1:11" x14ac:dyDescent="0.75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</row>
    <row r="42" spans="1:11" x14ac:dyDescent="0.75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4"/>
    </row>
    <row r="43" spans="1:11" x14ac:dyDescent="0.75">
      <c r="A43" s="153"/>
      <c r="B43" s="153"/>
      <c r="C43" s="153"/>
      <c r="D43" s="153"/>
      <c r="E43" s="153"/>
      <c r="F43" s="153"/>
      <c r="G43" s="153"/>
      <c r="H43" s="153"/>
      <c r="I43" s="153"/>
      <c r="J43" s="153"/>
      <c r="K43" s="153"/>
    </row>
    <row r="44" spans="1:11" x14ac:dyDescent="0.75">
      <c r="A44" s="153"/>
      <c r="B44" s="153"/>
      <c r="C44" s="153"/>
      <c r="D44" s="153"/>
      <c r="E44" s="153"/>
      <c r="F44" s="153"/>
      <c r="G44" s="153"/>
      <c r="H44" s="153"/>
      <c r="I44" s="153"/>
      <c r="J44" s="153"/>
      <c r="K44" s="153"/>
    </row>
    <row r="45" spans="1:11" x14ac:dyDescent="0.75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</row>
    <row r="46" spans="1:11" x14ac:dyDescent="0.75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</row>
    <row r="47" spans="1:11" x14ac:dyDescent="0.75">
      <c r="A47" s="153"/>
      <c r="B47" s="153"/>
      <c r="C47" s="153"/>
      <c r="D47" s="153"/>
      <c r="E47" s="153"/>
      <c r="F47" s="153"/>
      <c r="G47" s="153"/>
      <c r="H47" s="153"/>
      <c r="I47" s="153"/>
      <c r="J47" s="153"/>
      <c r="K47" s="154"/>
    </row>
    <row r="48" spans="1:11" x14ac:dyDescent="0.75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</row>
    <row r="49" spans="1:11" x14ac:dyDescent="0.75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</row>
    <row r="50" spans="1:11" x14ac:dyDescent="0.75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</row>
    <row r="51" spans="1:11" x14ac:dyDescent="0.75">
      <c r="A51" s="153"/>
      <c r="B51" s="153"/>
      <c r="C51" s="153"/>
      <c r="D51" s="153"/>
      <c r="E51" s="153"/>
      <c r="F51" s="153"/>
      <c r="G51" s="153"/>
      <c r="H51" s="153"/>
      <c r="I51" s="153"/>
      <c r="J51" s="153"/>
      <c r="K51" s="154"/>
    </row>
  </sheetData>
  <mergeCells count="1">
    <mergeCell ref="A1:K1"/>
  </mergeCells>
  <pageMargins left="0.25" right="0.25" top="0.75" bottom="0.75" header="0.3" footer="0.3"/>
  <pageSetup paperSize="9" scale="98" fitToHeight="0" orientation="portrait" r:id="rId1"/>
  <headerFooter>
    <oddHeader>&amp;L&amp;8Dolphin Plastics
ABN 64 530 554 800&amp;C&amp;8Customer___________________________
Product Code________________________&amp;R&amp;8Date_______________Time___________
Operator___________________________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Y9"/>
  <sheetViews>
    <sheetView topLeftCell="F1" zoomScaleNormal="100" workbookViewId="0">
      <selection activeCell="W1" sqref="W1:Y9"/>
    </sheetView>
  </sheetViews>
  <sheetFormatPr defaultRowHeight="13" x14ac:dyDescent="0.6"/>
  <cols>
    <col min="1" max="1" width="7.54296875" bestFit="1" customWidth="1"/>
    <col min="3" max="3" width="15.7265625" bestFit="1" customWidth="1"/>
    <col min="5" max="5" width="12" bestFit="1" customWidth="1"/>
  </cols>
  <sheetData>
    <row r="1" spans="1:25" x14ac:dyDescent="0.6">
      <c r="A1" s="105" t="s">
        <v>20</v>
      </c>
      <c r="C1" s="105" t="s">
        <v>155</v>
      </c>
      <c r="E1" s="105" t="s">
        <v>182</v>
      </c>
      <c r="G1" s="105" t="s">
        <v>184</v>
      </c>
      <c r="I1" s="105" t="s">
        <v>185</v>
      </c>
      <c r="K1" s="105" t="s">
        <v>192</v>
      </c>
      <c r="M1" s="105" t="s">
        <v>199</v>
      </c>
      <c r="O1" s="105" t="s">
        <v>203</v>
      </c>
      <c r="Q1" s="105" t="s">
        <v>207</v>
      </c>
      <c r="S1" s="105" t="s">
        <v>216</v>
      </c>
      <c r="U1" s="105" t="s">
        <v>69</v>
      </c>
      <c r="W1" s="105" t="s">
        <v>221</v>
      </c>
      <c r="Y1" s="105" t="s">
        <v>26</v>
      </c>
    </row>
    <row r="2" spans="1:25" x14ac:dyDescent="0.6">
      <c r="A2" s="88" t="s">
        <v>156</v>
      </c>
      <c r="C2" s="88" t="s">
        <v>159</v>
      </c>
      <c r="E2" s="88" t="s">
        <v>180</v>
      </c>
      <c r="G2" s="88" t="s">
        <v>188</v>
      </c>
      <c r="I2" s="88" t="s">
        <v>198</v>
      </c>
      <c r="K2" s="88" t="s">
        <v>156</v>
      </c>
      <c r="M2" s="88" t="s">
        <v>78</v>
      </c>
      <c r="O2" s="88" t="s">
        <v>204</v>
      </c>
      <c r="Q2" s="88" t="s">
        <v>206</v>
      </c>
      <c r="S2" t="s">
        <v>217</v>
      </c>
      <c r="U2" t="s">
        <v>222</v>
      </c>
      <c r="W2" s="88" t="s">
        <v>228</v>
      </c>
      <c r="Y2" s="98">
        <f ca="1">TODAY()</f>
        <v>44931</v>
      </c>
    </row>
    <row r="3" spans="1:25" x14ac:dyDescent="0.6">
      <c r="A3" s="88" t="s">
        <v>157</v>
      </c>
      <c r="C3" s="88" t="s">
        <v>160</v>
      </c>
      <c r="E3" s="88" t="s">
        <v>181</v>
      </c>
      <c r="G3" s="88" t="s">
        <v>189</v>
      </c>
      <c r="I3" s="88" t="s">
        <v>190</v>
      </c>
      <c r="K3" s="88" t="s">
        <v>157</v>
      </c>
      <c r="M3" s="88" t="s">
        <v>79</v>
      </c>
      <c r="O3" s="88" t="s">
        <v>205</v>
      </c>
      <c r="Q3" s="88" t="s">
        <v>91</v>
      </c>
      <c r="U3" t="s">
        <v>223</v>
      </c>
      <c r="W3" s="88" t="s">
        <v>229</v>
      </c>
    </row>
    <row r="4" spans="1:25" x14ac:dyDescent="0.6">
      <c r="A4" s="88"/>
      <c r="C4" s="88" t="s">
        <v>161</v>
      </c>
      <c r="G4" s="88"/>
      <c r="I4" s="88"/>
      <c r="K4" s="88"/>
      <c r="M4" s="88" t="s">
        <v>200</v>
      </c>
      <c r="O4" s="88" t="s">
        <v>89</v>
      </c>
      <c r="Q4" s="88" t="s">
        <v>208</v>
      </c>
      <c r="W4" s="88" t="s">
        <v>118</v>
      </c>
    </row>
    <row r="5" spans="1:25" x14ac:dyDescent="0.6">
      <c r="G5" s="88"/>
      <c r="I5" s="88"/>
      <c r="O5" s="88" t="s">
        <v>97</v>
      </c>
      <c r="Q5" s="88" t="s">
        <v>94</v>
      </c>
      <c r="W5" s="88" t="s">
        <v>230</v>
      </c>
    </row>
    <row r="6" spans="1:25" x14ac:dyDescent="0.6">
      <c r="G6" s="88"/>
      <c r="W6" s="88" t="s">
        <v>231</v>
      </c>
    </row>
    <row r="7" spans="1:25" x14ac:dyDescent="0.6">
      <c r="G7" s="88"/>
      <c r="W7" s="88" t="s">
        <v>232</v>
      </c>
    </row>
    <row r="8" spans="1:25" x14ac:dyDescent="0.6">
      <c r="W8" s="88"/>
    </row>
    <row r="9" spans="1:25" x14ac:dyDescent="0.6">
      <c r="W9" s="88" t="s">
        <v>233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57084E9-6987-4ED8-8299-C7DE3F6F6D9B}"/>
</file>

<file path=customXml/itemProps2.xml><?xml version="1.0" encoding="utf-8"?>
<ds:datastoreItem xmlns:ds="http://schemas.openxmlformats.org/officeDocument/2006/customXml" ds:itemID="{378F2A88-AA3C-4F77-84A8-C757CE625BF0}"/>
</file>

<file path=customXml/itemProps3.xml><?xml version="1.0" encoding="utf-8"?>
<ds:datastoreItem xmlns:ds="http://schemas.openxmlformats.org/officeDocument/2006/customXml" ds:itemID="{0CF64E91-7045-4BAE-80EC-7805B93E2E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14</vt:i4>
      </vt:variant>
    </vt:vector>
  </HeadingPairs>
  <TitlesOfParts>
    <vt:vector size="20" baseType="lpstr">
      <vt:lpstr>Extrude</vt:lpstr>
      <vt:lpstr>Convert</vt:lpstr>
      <vt:lpstr>extra extrusion sheets</vt:lpstr>
      <vt:lpstr>Machine Settings</vt:lpstr>
      <vt:lpstr>Extra Conversion sheets</vt:lpstr>
      <vt:lpstr>drop down list</vt:lpstr>
      <vt:lpstr>Bag_Type</vt:lpstr>
      <vt:lpstr>Carton_size</vt:lpstr>
      <vt:lpstr>Date</vt:lpstr>
      <vt:lpstr>Extrusion_Type</vt:lpstr>
      <vt:lpstr>Lay_Flat</vt:lpstr>
      <vt:lpstr>Pack_Types</vt:lpstr>
      <vt:lpstr>pallet_type</vt:lpstr>
      <vt:lpstr>PlasticType</vt:lpstr>
      <vt:lpstr>Print_Inline</vt:lpstr>
      <vt:lpstr>Sleeves</vt:lpstr>
      <vt:lpstr>Tick_box</vt:lpstr>
      <vt:lpstr>Treatment</vt:lpstr>
      <vt:lpstr>Yes</vt:lpstr>
      <vt:lpstr>YesNoBlank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Waskow</dc:creator>
  <cp:lastModifiedBy>Emma</cp:lastModifiedBy>
  <cp:lastPrinted>2019-02-05T01:36:59Z</cp:lastPrinted>
  <dcterms:created xsi:type="dcterms:W3CDTF">2003-10-20T07:46:48Z</dcterms:created>
  <dcterms:modified xsi:type="dcterms:W3CDTF">2023-01-04T23:41:01Z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