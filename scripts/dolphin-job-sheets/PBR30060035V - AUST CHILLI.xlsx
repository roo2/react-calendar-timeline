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D7A0812-3637-4E77-AF5A-46B17E73D2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<sst xmlns="http://schemas.openxmlformats.org/spreadsheetml/2006/main" count="302" uniqueCount="202">
  <si>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</si>
  <si>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</si>
  <si>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</si>
  <si>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</si>
  <si>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</si>
  <si>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</si>
  <si>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</si>
  <si>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</si>
  <si>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</si>
  <si>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</si>
  <si>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</si>
  <si>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</si>
  <si>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</si>
  <si>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</si>
  <si>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</si>
  <si>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</si>
  <si>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</si>
  <si>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</si>
  <si>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</si>
  <si>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</si>
  <si>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</si>
  <si>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</si>
  <si>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</si>
  <si>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</si>
  <si>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</si>
  <si>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</si>
  <si>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</si>
  <si>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</si>
  <si>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</si>
  <si>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</si>
  <si>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</si>
  <si>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</si>
  <si>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</si>
  <si>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</si>
  <si>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</si>
  <si>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</si>
  <si>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</si>
  <si>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</si>
  <si>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</si>
  <si>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</si>
  <si>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</si>
  <si>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</si>
  <si>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</si>
  <si>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</si>
  <si>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</si>
  <si>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</si>
  <si>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</si>
  <si>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</si>
  <si>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</si>
  <si>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</si>
  <si>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</si>
  <si>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</si>
  <si>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</si>
  <si>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</si>
  <si>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</si>
  <si>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</si>
  <si>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</si>
  <si>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</si>
  <si>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</si>
  <si>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</si>
  <si>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</si>
  <si>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</si>
  <si>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</si>
  <si>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</si>
  <si>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</si>
  <si>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</si>
  <si>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</si>
  <si>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</si>
  <si>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</si>
  <si>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</si>
  <si>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</si>
  <si>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</si>
  <si>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</si>
  <si>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</si>
  <si>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</si>
  <si>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</si>
  <si>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</si>
  <si>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</si>
  <si>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</si>
  <si>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</si>
  <si>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</si>
  <si>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</si>
  <si>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</si>
  <si>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</si>
  <si>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</si>
  <si>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</si>
  <si>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</si>
  <si>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</si>
  <si>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</si>
  <si>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</si>
  <si>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</si>
  <si>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</si>
  <si>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</si>
  <si>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</si>
  <si>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</si>
  <si>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</si>
  <si>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</si>
  <si>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</si>
  <si>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</si>
  <si>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</si>
  <si>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</si>
  <si>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</si>
  <si>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</si>
  <si>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</si>
  <si>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</si>
  <si>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</si>
  <si>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</si>
  <si>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</si>
  <si>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</si>
  <si>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</si>
  <si>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</si>
  <si>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</si>
  <si>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</si>
  <si>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</si>
  <si>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</si>
  <si>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</si>
  <si>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</si>
  <si>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</si>
  <si>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</si>
  <si>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</si>
  <si>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</si>
  <si>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</si>
  <si>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</si>
  <si>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</si>
  <si>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</si>
  <si>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</si>
  <si>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</si>
  <si>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</si>
  <si>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</si>
  <si>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</si>
  <si>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</si>
  <si>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</si>
  <si>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</si>
  <si>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</si>
  <si>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</si>
  <si>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</si>
  <si>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</si>
  <si>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</si>
  <si>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</si>
  <si>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</si>
  <si>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</si>
  <si>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</si>
  <si>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</si>
  <si>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</si>
  <si>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</si>
  <si>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</si>
  <si>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</si>
  <si>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</si>
  <si>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</si>
  <si>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</si>
  <si>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</si>
  <si>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</si>
  <si>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</si>
  <si>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</si>
  <si>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</si>
  <si>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</si>
  <si>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</si>
  <si>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</si>
  <si>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</si>
  <si>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</si>
  <si>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</si>
  <si>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</si>
  <si>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</si>
  <si>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</si>
  <si>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</si>
  <si>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</si>
  <si>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</si>
  <si>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</si>
  <si>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</si>
  <si>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</si>
  <si>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</si>
  <si>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</si>
  <si>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</si>
  <si>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</si>
  <si>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</si>
  <si>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</si>
  <si>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</si>
  <si>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</si>
  <si>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</si>
  <si>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</si>
  <si>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</si>
  <si>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</si>
  <si>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</si>
  <si>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</si>
  <si>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</si>
  <si>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</si>
  <si>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</si>
  <si>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</si>
  <si>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</si>
  <si>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</si>
  <si>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</si>
  <si>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</si>
  <si>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</si>
  <si>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</si>
  <si>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</si>
  <si>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 xml:space="preserve"> +/- 5mm</t>
  </si>
  <si>
    <t>AUST CHILLI</t>
  </si>
  <si>
    <r>
      <t xml:space="preserve">Notes  </t>
    </r>
    <r>
      <rPr>
        <b/>
        <sz val="23"/>
        <color rgb="FFFF0000"/>
        <rFont val="Calibri"/>
        <family val="2"/>
        <scheme val="minor"/>
      </rPr>
      <t>MUST HAVE GOOD PERFORATIONS - TEST REGUARLY</t>
    </r>
  </si>
  <si>
    <t>RUN @ 35-38um</t>
  </si>
  <si>
    <t xml:space="preserve">PERF </t>
  </si>
  <si>
    <t>04.11.2021</t>
  </si>
  <si>
    <r>
      <t>MICROVENTED - NOT UNDER GUAGE - MUST BE 35-38UM -</t>
    </r>
    <r>
      <rPr>
        <b/>
        <sz val="18"/>
        <color rgb="FFFF0000"/>
        <rFont val="Calibri"/>
        <family val="2"/>
        <scheme val="minor"/>
      </rPr>
      <t xml:space="preserve"> CUSTOMER REQUIRES FIRST WEEK OF NOVEMBER - SOONER IF POSSIBLE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</si>
</sst>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3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6" fillId="8" borderId="7" xfId="0" applyFont="1" applyFill="1" applyBorder="1" applyAlignment="1" applyProtection="1">
      <alignment horizontal="center" vertical="center" wrapText="1"/>
      <protection locked="0"/>
    </xf>
    <xf numFmtId="0" fontId="16" fillId="8" borderId="3" xfId="0" applyFont="1" applyFill="1" applyBorder="1" applyAlignment="1" applyProtection="1">
      <alignment horizontal="center" vertical="center" wrapText="1"/>
      <protection locked="0"/>
    </xf>
    <xf numFmtId="0" fontId="16" fillId="8" borderId="8" xfId="0" applyFont="1" applyFill="1" applyBorder="1" applyAlignment="1" applyProtection="1">
      <alignment horizontal="center" vertical="center" wrapText="1"/>
      <protection locked="0"/>
    </xf>
    <xf numFmtId="0" fontId="16" fillId="8" borderId="9" xfId="0" applyFont="1" applyFill="1" applyBorder="1" applyAlignment="1" applyProtection="1">
      <alignment horizontal="center" vertical="center" wrapText="1"/>
      <protection locked="0"/>
    </xf>
    <xf numFmtId="0" fontId="16" fillId="8" borderId="0" xfId="0" applyFont="1" applyFill="1" applyBorder="1" applyAlignment="1" applyProtection="1">
      <alignment horizontal="center" vertical="center" wrapText="1"/>
      <protection locked="0"/>
    </xf>
    <xf numFmtId="0" fontId="16" fillId="8" borderId="10" xfId="0" applyFont="1" applyFill="1" applyBorder="1" applyAlignment="1" applyProtection="1">
      <alignment horizontal="center" vertical="center" wrapText="1"/>
      <protection locked="0"/>
    </xf>
    <xf numFmtId="0" fontId="16" fillId="8" borderId="11" xfId="0" applyFont="1" applyFill="1" applyBorder="1" applyAlignment="1" applyProtection="1">
      <alignment horizontal="center" vertical="center" wrapText="1"/>
      <protection locked="0"/>
    </xf>
    <xf numFmtId="0" fontId="16" fillId="8" borderId="1" xfId="0" applyFont="1" applyFill="1" applyBorder="1" applyAlignment="1" applyProtection="1">
      <alignment horizontal="center" vertical="center" wrapText="1"/>
      <protection locked="0"/>
    </xf>
    <xf numFmtId="0" fontId="16" fillId="8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8" fillId="5" borderId="2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Alignment="1" applyProtection="1">
      <alignment horizontal="center"/>
      <protection locked="0"/>
    </xf>
    <xf numFmtId="0" fontId="18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6" sqref="AD16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PBR30060035V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44460</v>
      </c>
      <c r="K1" s="119"/>
      <c r="L1" s="120"/>
      <c r="M1" s="35"/>
      <c r="N1" s="18" t="s">
        <v>55</v>
      </c>
      <c r="O1" s="108" t="str">
        <f>B1</f>
        <v>PBR30060035V</v>
      </c>
      <c r="P1" s="108"/>
      <c r="Q1" s="109"/>
      <c r="R1" s="18" t="s">
        <v>56</v>
      </c>
      <c r="S1" s="108" t="str">
        <f>F1</f>
        <v>AUST CHILLI</v>
      </c>
      <c r="T1" s="108"/>
      <c r="U1" s="109"/>
      <c r="V1" s="18" t="s">
        <v>180</v>
      </c>
      <c r="W1" s="119">
        <f ca="1">J1</f>
        <v>44460</v>
      </c>
      <c r="X1" s="119"/>
      <c r="Y1" s="120"/>
    </row>
    <row r="2" spans="1:25" ht="20.100000000000001" customHeight="1" x14ac:dyDescent="0.3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941438</v>
      </c>
      <c r="G2" s="71"/>
      <c r="H2" s="72"/>
      <c r="I2" s="18" t="s">
        <v>58</v>
      </c>
      <c r="J2" s="165" t="s">
        <v>200</v>
      </c>
      <c r="K2" s="166"/>
      <c r="L2" s="167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941438</v>
      </c>
      <c r="T2" s="108"/>
      <c r="U2" s="109"/>
      <c r="V2" s="18" t="s">
        <v>58</v>
      </c>
      <c r="W2" s="121" t="str">
        <f>J2</f>
        <v>04.11.2021</v>
      </c>
      <c r="X2" s="108"/>
      <c r="Y2" s="109"/>
    </row>
    <row r="3" spans="1:25" ht="20.100000000000001" customHeight="1" x14ac:dyDescent="0.25">
      <c r="A3" s="110" t="s">
        <v>201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MICROVENTED - NOT UNDER GUAGE - MUST BE 35-38UM - CUSTOMER REQUIRES FIRST WEEK OF NOVEMBER - SOONER IF POSSIBLE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1" t="s">
        <v>1</v>
      </c>
      <c r="B6" s="142"/>
      <c r="C6" s="142"/>
      <c r="D6" s="142"/>
      <c r="E6" s="142"/>
      <c r="F6" s="142"/>
      <c r="G6" s="142"/>
      <c r="H6" s="142"/>
      <c r="I6" s="142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IF(ISNUMBER(SEARCH("Tube",O8,1)),"No. Rolls",IF(ISNUMBER(SEARCH("roll",O8,1)),"No. Rolls","No. Cartons"))</f>
        <v>No. Rolls</v>
      </c>
      <c r="O7" s="71">
        <v>200</v>
      </c>
      <c r="P7" s="72"/>
      <c r="Q7" s="18" t="str">
        <f>IF(ISNUMBER(SEARCH("Tube",O8,1)),"Per Roll",IF(ISNUMBER(SEARCH("roll",O8,1)),"Per Roll","Per Carton"))</f>
        <v>Per Roll</v>
      </c>
      <c r="R7" s="71">
        <v>1000</v>
      </c>
      <c r="S7" s="72"/>
      <c r="T7" s="18" t="str">
        <f>IF(ISNUMBER(SEARCH("Tube",O8,1)),"Total Tube",IF(ISNUMBER(SEARCH("bag",O8,1)),"Total Bags","Total Sheets"))</f>
        <v>Total Bags</v>
      </c>
      <c r="U7" s="108">
        <f>R7*O7</f>
        <v>200000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300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35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7" t="s">
        <v>164</v>
      </c>
      <c r="P8" s="138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3" t="s">
        <v>195</v>
      </c>
      <c r="C9" s="144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3" t="s">
        <v>198</v>
      </c>
      <c r="I9" s="144"/>
      <c r="J9" s="18" t="s">
        <v>54</v>
      </c>
      <c r="K9" s="71" t="s">
        <v>33</v>
      </c>
      <c r="L9" s="72"/>
      <c r="M9" s="35"/>
      <c r="N9" s="24"/>
      <c r="O9" s="151" t="str">
        <f>IF(O8="Poly Bag","PB",IF(O8="Poly Bag Roll","PBR",IF(O8="Centrefold Roll","CFR",IF(O8="Sheet","S",IF(O8="Sheet Roll","SR",IF(O8="TUBE","T",))))))</f>
        <v>PBR</v>
      </c>
      <c r="P9" s="152"/>
      <c r="Q9" s="24"/>
      <c r="R9" s="36">
        <v>300</v>
      </c>
      <c r="S9" s="25"/>
      <c r="T9" s="36">
        <v>600</v>
      </c>
      <c r="U9" s="25" t="s">
        <v>77</v>
      </c>
      <c r="V9" s="36">
        <v>35</v>
      </c>
      <c r="W9" s="24"/>
      <c r="X9" s="135"/>
      <c r="Y9" s="136"/>
    </row>
    <row r="10" spans="1:25" ht="20.100000000000001" customHeight="1" x14ac:dyDescent="0.25">
      <c r="A10" s="18" t="s">
        <v>50</v>
      </c>
      <c r="B10" s="71">
        <v>65</v>
      </c>
      <c r="C10" s="72"/>
      <c r="D10" s="56" t="s">
        <v>133</v>
      </c>
      <c r="E10" s="145">
        <f>IF(ISNUMBER(SEARCH("sheet",O8,1)),((R9*T9*H8/540000)*U7/2000*1.3),((R9*T9*H8/540000)*U7/1000*1.08))</f>
        <v>2520</v>
      </c>
      <c r="F10" s="146"/>
      <c r="G10" s="18" t="s">
        <v>52</v>
      </c>
      <c r="H10" s="149">
        <f>IF(ISNUMBER(SEARCH("sheet",O8,1)),(U7*T9/2000*1.08),(U7*T9/1000*1.08))</f>
        <v>129600.00000000001</v>
      </c>
      <c r="I10" s="150"/>
      <c r="J10" s="18" t="s">
        <v>40</v>
      </c>
      <c r="K10" s="71" t="s">
        <v>43</v>
      </c>
      <c r="L10" s="72"/>
      <c r="M10" s="35"/>
      <c r="N10" s="26" t="s">
        <v>140</v>
      </c>
      <c r="O10" s="137" t="s">
        <v>187</v>
      </c>
      <c r="P10" s="138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1"/>
      <c r="V10" s="131"/>
      <c r="W10" s="131"/>
      <c r="X10" s="131"/>
      <c r="Y10" s="132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7">
        <f>E10/B10</f>
        <v>38.769230769230766</v>
      </c>
      <c r="F11" s="148"/>
      <c r="G11" s="18" t="s">
        <v>14</v>
      </c>
      <c r="H11" s="147">
        <f>H10/B10</f>
        <v>1993.846153846154</v>
      </c>
      <c r="I11" s="148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>V</v>
      </c>
      <c r="P11" s="130"/>
      <c r="Q11" s="19"/>
      <c r="R11" s="129" t="str">
        <f>IF(R10="None","","P")</f>
        <v/>
      </c>
      <c r="S11" s="129"/>
      <c r="T11" s="19"/>
      <c r="U11" s="133"/>
      <c r="V11" s="133"/>
      <c r="W11" s="133"/>
      <c r="X11" s="133"/>
      <c r="Y11" s="134"/>
    </row>
    <row r="12" spans="1:25" ht="20.100000000000001" customHeight="1" x14ac:dyDescent="0.25">
      <c r="A12" s="139" t="s">
        <v>12</v>
      </c>
      <c r="B12" s="140"/>
      <c r="C12" s="140"/>
      <c r="D12" s="140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200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22</v>
      </c>
      <c r="V16" s="72"/>
      <c r="W16" s="18" t="str">
        <f>IF(ISNUMBER(SEARCH("Tube",O8,1)),"Total Tube",IF(ISNUMBER(SEARCH("bag",O8,1)),"Total Bags","Total Sheets"))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3"/>
      <c r="J17" s="164"/>
      <c r="K17" s="163"/>
      <c r="L17" s="164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IF(ISNUMBER(SEARCH("Tube",O8,1)),"Part Rolls",IF(ISNUMBER(SEARCH("roll",O8,1)),"Part Rolls","Part Ctns"))</f>
        <v>Part Rolls</v>
      </c>
      <c r="U17" s="71" t="s">
        <v>22</v>
      </c>
      <c r="V17" s="72"/>
      <c r="W17" s="18" t="str">
        <f>IF(ISNUMBER(SEARCH("Tube",O8,1)),"No. Rolls",IF(ISNUMBER(SEARCH("roll",O8,1)),"Total Rolls","Total Ctns"))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3"/>
      <c r="J18" s="164"/>
      <c r="K18" s="163"/>
      <c r="L18" s="164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3"/>
      <c r="J19" s="164"/>
      <c r="K19" s="163"/>
      <c r="L19" s="164"/>
      <c r="M19" s="35"/>
      <c r="N19" s="80" t="s">
        <v>197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3"/>
      <c r="J20" s="164"/>
      <c r="K20" s="163"/>
      <c r="L20" s="164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3"/>
      <c r="J21" s="164"/>
      <c r="K21" s="163"/>
      <c r="L21" s="164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3"/>
      <c r="J22" s="164"/>
      <c r="K22" s="163"/>
      <c r="L22" s="164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6"/>
      <c r="B23" s="156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3"/>
      <c r="J23" s="164"/>
      <c r="K23" s="163"/>
      <c r="L23" s="164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7"/>
      <c r="B24" s="158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3"/>
      <c r="J24" s="164"/>
      <c r="K24" s="163"/>
      <c r="L24" s="164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 t="s">
        <v>199</v>
      </c>
      <c r="P25" s="41"/>
      <c r="Q25" s="10">
        <v>38</v>
      </c>
      <c r="R25" s="10">
        <v>8</v>
      </c>
      <c r="S25" s="10">
        <v>1</v>
      </c>
      <c r="T25" s="10">
        <v>9</v>
      </c>
      <c r="U25" s="10">
        <v>1</v>
      </c>
      <c r="V25" s="10">
        <v>3</v>
      </c>
      <c r="W25" s="10">
        <v>145</v>
      </c>
      <c r="X25" s="10">
        <v>145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2"/>
      <c r="H27" s="162"/>
      <c r="I27" s="162"/>
      <c r="J27" s="162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2"/>
      <c r="H28" s="162"/>
      <c r="I28" s="162"/>
      <c r="J28" s="162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59" t="s">
        <v>98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1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44490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44481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3" t="s">
        <v>194</v>
      </c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8"/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4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188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">
        <v>139</v>
      </c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5" t="s">
        <v>37</v>
      </c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</row>
    <row r="59" spans="1:20" x14ac:dyDescent="0.25">
      <c r="A59" s="67" t="s">
        <v>147</v>
      </c>
      <c r="N59" s="63" t="s">
        <v>32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E71F2D5-2BEE-47A3-A364-DC1A13F051A6}"/>
</file>

<file path=customXml/itemProps2.xml><?xml version="1.0" encoding="utf-8"?>
<ds:datastoreItem xmlns:ds="http://schemas.openxmlformats.org/officeDocument/2006/customXml" ds:itemID="{53402738-BEAB-4A45-868D-7A6B7C72DCED}"/>
</file>

<file path=customXml/itemProps3.xml><?xml version="1.0" encoding="utf-8"?>
<ds:datastoreItem xmlns:ds="http://schemas.openxmlformats.org/officeDocument/2006/customXml" ds:itemID="{AF92256F-3ACA-45CE-84F5-40C500F09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2021-09-21T00:20:59Z</cp:lastPrinted>
  <dcterms:created xsi:type="dcterms:W3CDTF">2019-11-27T23:28:06Z</dcterms:created>
  <dcterms:modified xsi:type="dcterms:W3CDTF">2021-09-21T00:22:19Z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