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B7E339A-1040-4999-93AA-508BB77F9D5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<sst xmlns="http://schemas.openxmlformats.org/spreadsheetml/2006/main" count="302" uniqueCount="200">
  <si>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</si>
  <si>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</si>
  <si>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</si>
  <si>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</si>
  <si>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</si>
  <si>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</si>
  <si>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</si>
  <si>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</si>
  <si>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</si>
  <si>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</si>
  <si>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</si>
  <si>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</si>
  <si>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</si>
  <si>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</si>
  <si>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</si>
  <si>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</si>
  <si>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</si>
  <si>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</si>
  <si>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</si>
  <si>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</si>
  <si>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</si>
  <si>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</si>
  <si>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</si>
  <si>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</si>
  <si>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</si>
  <si>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</si>
  <si>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</si>
  <si>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</si>
  <si>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</si>
  <si>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</si>
  <si>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</si>
  <si>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</si>
  <si>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</si>
  <si>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</si>
  <si>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</si>
  <si>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</si>
  <si>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</si>
  <si>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</si>
  <si>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</si>
  <si>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</si>
  <si>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</si>
  <si>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</si>
  <si>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</si>
  <si>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</si>
  <si>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</si>
  <si>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</si>
  <si>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</si>
  <si>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</si>
  <si>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</si>
  <si>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</si>
  <si>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</si>
  <si>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</si>
  <si>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</si>
  <si>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</si>
  <si>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</si>
  <si>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</si>
  <si>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</si>
  <si>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</si>
  <si>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</si>
  <si>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</si>
  <si>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</si>
  <si>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</si>
  <si>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</si>
  <si>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</si>
  <si>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</si>
  <si>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</si>
  <si>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</si>
  <si>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</si>
  <si>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</si>
  <si>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</si>
  <si>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</si>
  <si>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</si>
  <si>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</si>
  <si>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</si>
  <si>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</si>
  <si>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</si>
  <si>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</si>
  <si>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</si>
  <si>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</si>
  <si>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</si>
  <si>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</si>
  <si>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</si>
  <si>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</si>
  <si>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</si>
  <si>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</si>
  <si>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</si>
  <si>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</si>
  <si>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</si>
  <si>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</si>
  <si>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</si>
  <si>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</si>
  <si>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</si>
  <si>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</si>
  <si>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</si>
  <si>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</si>
  <si>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</si>
  <si>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</si>
  <si>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</si>
  <si>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</si>
  <si>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</si>
  <si>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</si>
  <si>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</si>
  <si>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</si>
  <si>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</si>
  <si>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</si>
  <si>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</si>
  <si>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</si>
  <si>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</si>
  <si>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</si>
  <si>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</si>
  <si>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</si>
  <si>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</si>
  <si>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</si>
  <si>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</si>
  <si>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</si>
  <si>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</si>
  <si>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</si>
  <si>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</si>
  <si>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</si>
  <si>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</si>
  <si>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</si>
  <si>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</si>
  <si>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</si>
  <si>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</si>
  <si>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</si>
  <si>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</si>
  <si>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</si>
  <si>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</si>
  <si>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</si>
  <si>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</si>
  <si>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</si>
  <si>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</si>
  <si>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</si>
  <si>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</si>
  <si>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</si>
  <si>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</si>
  <si>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</si>
  <si>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</si>
  <si>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</si>
  <si>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</si>
  <si>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</si>
  <si>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</si>
  <si>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</si>
  <si>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</si>
  <si>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</si>
  <si>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</si>
  <si>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</si>
  <si>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</si>
  <si>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</si>
  <si>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</si>
  <si>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</si>
  <si>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</si>
  <si>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</si>
  <si>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</si>
  <si>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</si>
  <si>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</si>
  <si>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</si>
  <si>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</si>
  <si>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</si>
  <si>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</si>
  <si>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</si>
  <si>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</si>
  <si>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</si>
  <si>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</si>
  <si>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</si>
  <si>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</si>
  <si>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</si>
  <si>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</si>
  <si>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</si>
  <si>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</si>
  <si>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</si>
  <si>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</si>
  <si>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</si>
  <si>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</si>
  <si>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</si>
  <si>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</si>
  <si>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</si>
  <si>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</si>
  <si>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</si>
  <si>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</si>
  <si>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</si>
  <si>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</si>
  <si>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</si>
  <si>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</si>
  <si>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</si>
  <si>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</si>
  <si>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</si>
  <si>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</si>
  <si>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</si>
  <si>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</si>
  <si>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</si>
  <si>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</si>
  <si>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</si>
  <si>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</si>
  <si>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</si>
  <si>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CEAS CRAB &amp; SEAFOOD</t>
  </si>
  <si>
    <t>(630+390)</t>
  </si>
  <si>
    <t>NOT OVER</t>
  </si>
  <si>
    <t xml:space="preserve"> MUST HAVE GOOD SEALS AND PERFORATION - PLEASE CHECK FREQUENTLY 
RUN INLINE     **** MUST NOT LEAK ***</t>
  </si>
  <si>
    <t>22.05.2022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</si>
</sst>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2" sqref="N12:Y12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PBR1020G66075BT</v>
      </c>
      <c r="C1" s="95"/>
      <c r="D1" s="96"/>
      <c r="E1" s="16" t="s">
        <v>56</v>
      </c>
      <c r="F1" s="109" t="s">
        <v>195</v>
      </c>
      <c r="G1" s="109"/>
      <c r="H1" s="110"/>
      <c r="I1" s="16" t="s">
        <v>180</v>
      </c>
      <c r="J1" s="106">
        <f ca="1">TODAY()</f>
        <v>45055</v>
      </c>
      <c r="K1" s="106"/>
      <c r="L1" s="107"/>
      <c r="M1" s="30"/>
      <c r="N1" s="16" t="s">
        <v>55</v>
      </c>
      <c r="O1" s="95" t="str">
        <f>B1</f>
        <v>PBR1020G66075BT</v>
      </c>
      <c r="P1" s="95"/>
      <c r="Q1" s="96"/>
      <c r="R1" s="16" t="s">
        <v>56</v>
      </c>
      <c r="S1" s="95" t="str">
        <f>F1</f>
        <v>CEAS CRAB &amp; SEAFOOD</v>
      </c>
      <c r="T1" s="95"/>
      <c r="U1" s="96"/>
      <c r="V1" s="16" t="s">
        <v>180</v>
      </c>
      <c r="W1" s="106">
        <f ca="1">J1</f>
        <v>45055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943101</v>
      </c>
      <c r="G2" s="61"/>
      <c r="H2" s="62"/>
      <c r="I2" s="16" t="s">
        <v>58</v>
      </c>
      <c r="J2" s="118" t="s">
        <v>199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943101</v>
      </c>
      <c r="T2" s="95"/>
      <c r="U2" s="96"/>
      <c r="V2" s="16" t="s">
        <v>58</v>
      </c>
      <c r="W2" s="108" t="str">
        <f>J2</f>
        <v>22.05.2022</v>
      </c>
      <c r="X2" s="95"/>
      <c r="Y2" s="96"/>
    </row>
    <row r="3" spans="1:25" ht="20.149999999999999" customHeight="1" x14ac:dyDescent="0.75">
      <c r="A3" s="97" t="s">
        <v>198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 xml:space="preserve"> MUST HAVE GOOD SEALS AND PERFORATION - PLEASE CHECK FREQUENTLY 
RUN INLINE     **** MUST NOT LEAK ***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9" t="s">
        <v>1</v>
      </c>
      <c r="B6" s="130"/>
      <c r="C6" s="130"/>
      <c r="D6" s="130"/>
      <c r="E6" s="130"/>
      <c r="F6" s="130"/>
      <c r="G6" s="130"/>
      <c r="H6" s="130"/>
      <c r="I6" s="130"/>
      <c r="J6" s="80"/>
      <c r="K6" s="80"/>
      <c r="L6" s="81"/>
      <c r="M6" s="30"/>
      <c r="N6" s="113" t="s">
        <v>1</v>
      </c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5"/>
    </row>
    <row r="7" spans="1:25" ht="20.149999999999999" customHeight="1" x14ac:dyDescent="0.9">
      <c r="A7" s="16" t="s">
        <v>48</v>
      </c>
      <c r="B7" s="68" t="s">
        <v>158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10</v>
      </c>
      <c r="P7" s="62"/>
      <c r="Q7" s="16" t="str">
        <f>IF(ISNUMBER(SEARCH("roll",O8,1)),"Per Roll","Per Carton")</f>
        <v>Per Roll</v>
      </c>
      <c r="R7" s="61">
        <v>125</v>
      </c>
      <c r="S7" s="62"/>
      <c r="T7" s="16" t="str">
        <f>IF(ISNUMBER(SEARCH("bag",O8,1)),"Total Bags","Total Sheets")</f>
        <v>Total Bags</v>
      </c>
      <c r="U7" s="95">
        <f>R7*O7</f>
        <v>1250</v>
      </c>
      <c r="V7" s="96"/>
      <c r="W7" s="16" t="s">
        <v>101</v>
      </c>
      <c r="X7" s="61" t="s">
        <v>30</v>
      </c>
      <c r="Y7" s="62"/>
    </row>
    <row r="8" spans="1:25" ht="20.149999999999999" customHeight="1" x14ac:dyDescent="0.8">
      <c r="A8" s="17" t="s">
        <v>15</v>
      </c>
      <c r="B8" s="116">
        <f>R9</f>
        <v>1020</v>
      </c>
      <c r="C8" s="117"/>
      <c r="D8" s="20" t="str">
        <f>IF(ISNUMBER(SEARCH("bag",#REF!,1)),"Gusset","Centrefold")</f>
        <v>Centrefold</v>
      </c>
      <c r="E8" s="116" t="str">
        <f>IF(O8="Centrefold Roll",B8*2,IF(X9="","None",X9))</f>
        <v>(630+390)</v>
      </c>
      <c r="F8" s="117"/>
      <c r="G8" s="17" t="s">
        <v>51</v>
      </c>
      <c r="H8" s="116">
        <f>(IF(V9&lt;30,"30",V9))</f>
        <v>75</v>
      </c>
      <c r="I8" s="117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25" t="s">
        <v>164</v>
      </c>
      <c r="P8" s="126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G</v>
      </c>
      <c r="Y8" s="112"/>
    </row>
    <row r="9" spans="1:25" ht="20.149999999999999" customHeight="1" x14ac:dyDescent="0.9">
      <c r="A9" s="21" t="s">
        <v>47</v>
      </c>
      <c r="B9" s="131" t="s">
        <v>194</v>
      </c>
      <c r="C9" s="132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31" t="s">
        <v>197</v>
      </c>
      <c r="I9" s="132"/>
      <c r="J9" s="16" t="s">
        <v>54</v>
      </c>
      <c r="K9" s="61" t="s">
        <v>33</v>
      </c>
      <c r="L9" s="62"/>
      <c r="M9" s="30"/>
      <c r="N9" s="22"/>
      <c r="O9" s="139" t="str">
        <f>IF(O8="Poly Bag","PB",IF(O8="Poly Bag Roll","PBR",IF(O8="Centrefold Roll","CFR",IF(O8="Sheet","S",IF(O8="Sheet Roll","SR")))))</f>
        <v>PBR</v>
      </c>
      <c r="P9" s="140"/>
      <c r="Q9" s="22"/>
      <c r="R9" s="31">
        <v>1020</v>
      </c>
      <c r="S9" s="23" t="s">
        <v>77</v>
      </c>
      <c r="T9" s="31">
        <v>660</v>
      </c>
      <c r="U9" s="23" t="s">
        <v>77</v>
      </c>
      <c r="V9" s="31">
        <v>75</v>
      </c>
      <c r="W9" s="22"/>
      <c r="X9" s="123" t="s">
        <v>196</v>
      </c>
      <c r="Y9" s="124"/>
    </row>
    <row r="10" spans="1:25" ht="20.149999999999999" customHeight="1" x14ac:dyDescent="0.8">
      <c r="A10" s="16" t="s">
        <v>50</v>
      </c>
      <c r="B10" s="61">
        <v>5</v>
      </c>
      <c r="C10" s="62"/>
      <c r="D10" s="49" t="s">
        <v>133</v>
      </c>
      <c r="E10" s="133">
        <f>IF(ISNUMBER(SEARCH("sheet",O8,1)),((R9*T9*H8/540000)*U7/2000*1.3),((R9*T9*H8/540000)*U7/1000*1.08))</f>
        <v>126.22500000000001</v>
      </c>
      <c r="F10" s="134"/>
      <c r="G10" s="16" t="s">
        <v>52</v>
      </c>
      <c r="H10" s="137">
        <f>IF(ISNUMBER(SEARCH("sheet",O8,1)),(U7*T9/2000*1.08),(U7*T9/1000*1.08))</f>
        <v>891.00000000000011</v>
      </c>
      <c r="I10" s="138"/>
      <c r="J10" s="16" t="s">
        <v>40</v>
      </c>
      <c r="K10" s="61" t="s">
        <v>43</v>
      </c>
      <c r="L10" s="62"/>
      <c r="M10" s="30"/>
      <c r="N10" s="18" t="s">
        <v>140</v>
      </c>
      <c r="O10" s="125" t="s">
        <v>43</v>
      </c>
      <c r="P10" s="126"/>
      <c r="Q10" s="18" t="s">
        <v>49</v>
      </c>
      <c r="R10" s="111" t="str">
        <f>IF(K11="NONE","None",IF(K11="INLINE","Yes",IF(K11="OUT OF LINE","Yes")))</f>
        <v>None</v>
      </c>
      <c r="S10" s="111"/>
      <c r="T10" s="18" t="s">
        <v>99</v>
      </c>
      <c r="U10" s="119"/>
      <c r="V10" s="119"/>
      <c r="W10" s="119"/>
      <c r="X10" s="119"/>
      <c r="Y10" s="120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35">
        <f>E10/B10</f>
        <v>25.245000000000001</v>
      </c>
      <c r="F11" s="136"/>
      <c r="G11" s="16" t="s">
        <v>14</v>
      </c>
      <c r="H11" s="135">
        <f>H10/B10</f>
        <v>178.20000000000002</v>
      </c>
      <c r="I11" s="136"/>
      <c r="J11" s="16" t="s">
        <v>49</v>
      </c>
      <c r="K11" s="61" t="s">
        <v>43</v>
      </c>
      <c r="L11" s="62"/>
      <c r="M11" s="30"/>
      <c r="N11" s="17"/>
      <c r="O11" s="116" t="str">
        <f>IF(O10="NONE","","V")</f>
        <v/>
      </c>
      <c r="P11" s="117"/>
      <c r="Q11" s="17"/>
      <c r="R11" s="116" t="str">
        <f>IF(R10="None","","P")</f>
        <v/>
      </c>
      <c r="S11" s="116"/>
      <c r="T11" s="17"/>
      <c r="U11" s="121"/>
      <c r="V11" s="121"/>
      <c r="W11" s="121"/>
      <c r="X11" s="121"/>
      <c r="Y11" s="122"/>
    </row>
    <row r="12" spans="1:25" ht="20.149999999999999" customHeight="1" x14ac:dyDescent="0.75">
      <c r="A12" s="127" t="s">
        <v>12</v>
      </c>
      <c r="B12" s="128"/>
      <c r="C12" s="128"/>
      <c r="D12" s="128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6"/>
      <c r="J17" s="147"/>
      <c r="K17" s="146"/>
      <c r="L17" s="147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6"/>
      <c r="J18" s="147"/>
      <c r="K18" s="146"/>
      <c r="L18" s="147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6"/>
      <c r="J19" s="147"/>
      <c r="K19" s="146"/>
      <c r="L19" s="147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6"/>
      <c r="J20" s="147"/>
      <c r="K20" s="146"/>
      <c r="L20" s="147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6"/>
      <c r="J21" s="147"/>
      <c r="K21" s="146"/>
      <c r="L21" s="147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>BLUE TINT</v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7"/>
      <c r="E22" s="83">
        <v>0.01</v>
      </c>
      <c r="F22" s="84"/>
      <c r="G22" s="34" t="s">
        <v>85</v>
      </c>
      <c r="H22" s="35"/>
      <c r="I22" s="146"/>
      <c r="J22" s="147"/>
      <c r="K22" s="146"/>
      <c r="L22" s="147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1"/>
      <c r="B23" s="141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6"/>
      <c r="J23" s="147"/>
      <c r="K23" s="146"/>
      <c r="L23" s="147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2"/>
      <c r="B24" s="143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6"/>
      <c r="J24" s="147"/>
      <c r="K24" s="146"/>
      <c r="L24" s="147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5"/>
      <c r="H27" s="145"/>
      <c r="I27" s="145"/>
      <c r="J27" s="145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5"/>
      <c r="H28" s="145"/>
      <c r="I28" s="145"/>
      <c r="J28" s="145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7" t="s">
        <v>98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44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3" t="s">
        <v>135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45086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45076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E09037D-0331-42FB-9331-1069EC7EC6A5}"/>
</file>

<file path=customXml/itemProps2.xml><?xml version="1.0" encoding="utf-8"?>
<ds:datastoreItem xmlns:ds="http://schemas.openxmlformats.org/officeDocument/2006/customXml" ds:itemID="{26CFF510-30D9-4724-82A0-8A4F738A5CC4}"/>
</file>

<file path=customXml/itemProps3.xml><?xml version="1.0" encoding="utf-8"?>
<ds:datastoreItem xmlns:ds="http://schemas.openxmlformats.org/officeDocument/2006/customXml" ds:itemID="{DA75F783-3EDB-4CC0-9823-8FCDD900E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2022-04-11T03:48:32Z</cp:lastPrinted>
  <dcterms:created xsi:type="dcterms:W3CDTF">2019-11-27T23:28:06Z</dcterms:created>
  <dcterms:modified xsi:type="dcterms:W3CDTF">2023-05-09T22:54:47Z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