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D80376A9-7526-43E3-8471-3DD3DBCFDF4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E8" i="1" l="1"/>
  <c r="D8" i="1" l="1"/>
  <c r="B2" i="1" l="1"/>
  <c r="E10" i="1" l="1"/>
  <c r="D9" i="1" l="1"/>
  <c r="B11" i="1" s="1"/>
  <c r="H11" i="1" l="1"/>
  <c r="A11" i="1" l="1"/>
  <c r="H10" i="1" l="1"/>
  <c r="K8" i="1" l="1"/>
  <c r="C24" i="1" l="1"/>
  <c r="B1" i="1" s="1"/>
  <c r="F16" i="1" l="1"/>
  <c r="A4" i="2" l="1"/>
  <c r="A5" i="2"/>
</calcChain>
</file>

<file path=xl/sharedStrings.xml><?xml version="1.0" encoding="utf-8"?>
<sst xmlns="http://schemas.openxmlformats.org/spreadsheetml/2006/main" count="230" uniqueCount="171">
  <si>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</si>
  <si>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</si>
  <si>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</si>
  <si>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</si>
  <si>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</si>
  <si>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</si>
  <si>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</si>
  <si>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</si>
  <si>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</si>
  <si>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</si>
  <si>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</si>
  <si>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</si>
  <si>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</si>
  <si>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</si>
  <si>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</si>
  <si>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</si>
  <si>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</si>
  <si>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</si>
  <si>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</si>
  <si>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</si>
  <si>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</si>
  <si>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</si>
  <si>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</si>
  <si>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</si>
  <si>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</si>
  <si>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</si>
  <si>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</si>
  <si>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</si>
  <si>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</si>
  <si>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</si>
  <si>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</si>
  <si>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</si>
  <si>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</si>
  <si>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</si>
  <si>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</si>
  <si>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</si>
  <si>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</si>
  <si>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</si>
  <si>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</si>
  <si>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</si>
  <si>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</si>
  <si>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</si>
  <si>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</si>
  <si>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</si>
  <si>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</si>
  <si>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</si>
  <si>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</si>
  <si>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</si>
  <si>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</si>
  <si>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</si>
  <si>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</si>
  <si>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</si>
  <si>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</si>
  <si>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</si>
  <si>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</si>
  <si>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</si>
  <si>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</si>
  <si>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</si>
  <si>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</si>
  <si>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</si>
  <si>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</si>
  <si>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</si>
  <si>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</si>
  <si>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</si>
  <si>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</si>
  <si>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</si>
  <si>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</si>
  <si>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</si>
  <si>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</si>
  <si>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</si>
  <si>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</si>
  <si>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</si>
  <si>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</si>
  <si>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</si>
  <si>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</si>
  <si>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</si>
  <si>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</si>
  <si>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</si>
  <si>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</si>
  <si>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</si>
  <si>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</si>
  <si>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</si>
  <si>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</si>
  <si>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</si>
  <si>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</si>
  <si>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</si>
  <si>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</si>
  <si>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</si>
  <si>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</si>
  <si>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</si>
  <si>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</si>
  <si>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</si>
  <si>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</si>
  <si>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</si>
  <si>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</si>
  <si>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</si>
  <si>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</si>
  <si>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</si>
  <si>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</si>
  <si>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</si>
  <si>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</si>
  <si>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</si>
  <si>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</si>
  <si>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</si>
  <si>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</si>
  <si>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</si>
  <si>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</si>
  <si>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</si>
  <si>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</si>
  <si>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</si>
  <si>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</si>
  <si>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</si>
  <si>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</si>
  <si>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</si>
  <si>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</si>
  <si>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</si>
  <si>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</si>
  <si>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</si>
  <si>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</si>
  <si>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</si>
  <si>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</si>
  <si>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</si>
  <si>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</si>
  <si>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</si>
  <si>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</si>
  <si>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</si>
  <si>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</si>
  <si>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</si>
  <si>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</si>
  <si>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</si>
  <si>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</si>
  <si>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</si>
  <si>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</si>
  <si>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</si>
  <si>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</si>
  <si>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</si>
  <si>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</si>
  <si>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</si>
  <si>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</si>
  <si>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</si>
  <si>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</si>
  <si>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</si>
  <si>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</si>
  <si>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</si>
  <si>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</si>
  <si>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</si>
  <si>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</si>
  <si>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</si>
  <si>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</si>
  <si>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</si>
  <si>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</si>
  <si>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</si>
  <si>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</si>
  <si>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</si>
  <si>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</si>
  <si>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</si>
  <si>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</si>
  <si>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</si>
  <si>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</si>
  <si>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</si>
  <si>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</si>
  <si>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</si>
  <si>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</si>
  <si>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CORROSION INHIBITOR</t>
  </si>
  <si>
    <t xml:space="preserve"> +/- 5mm</t>
  </si>
  <si>
    <t>RUN AT 190um</t>
  </si>
  <si>
    <t>DAYWALK</t>
  </si>
  <si>
    <t>MUST HAVE CORROSION INHIBITOR/ UV AND PRINTED</t>
  </si>
  <si>
    <t>05.01.2021</t>
  </si>
  <si>
    <t>01.02.2021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</si>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</sst>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S14" sqref="S14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T750200UVCI</v>
      </c>
      <c r="C1" s="112"/>
      <c r="D1" s="113"/>
      <c r="E1" s="12" t="s">
        <v>55</v>
      </c>
      <c r="F1" s="123" t="s">
        <v>166</v>
      </c>
      <c r="G1" s="123"/>
      <c r="H1" s="124"/>
      <c r="I1" s="12" t="s">
        <v>147</v>
      </c>
      <c r="J1" s="125" t="s">
        <v>168</v>
      </c>
      <c r="K1" s="125"/>
      <c r="L1" s="126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10KG</v>
      </c>
      <c r="C2" s="103"/>
      <c r="D2" s="104"/>
      <c r="E2" s="12" t="s">
        <v>56</v>
      </c>
      <c r="F2" s="55">
        <v>939287</v>
      </c>
      <c r="G2" s="55"/>
      <c r="H2" s="56"/>
      <c r="I2" s="12" t="s">
        <v>57</v>
      </c>
      <c r="J2" s="127" t="s">
        <v>169</v>
      </c>
      <c r="K2" s="55"/>
      <c r="L2" s="56"/>
    </row>
    <row r="3" spans="1:14" ht="20.100000000000001" customHeight="1" x14ac:dyDescent="0.25">
      <c r="A3" s="114" t="s">
        <v>167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157</v>
      </c>
      <c r="B7" s="55" t="s">
        <v>158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77">
        <v>750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200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">
      <c r="A9" s="14" t="s">
        <v>46</v>
      </c>
      <c r="B9" s="95" t="s">
        <v>164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165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12</v>
      </c>
      <c r="C10" s="56"/>
      <c r="D10" s="42" t="s">
        <v>104</v>
      </c>
      <c r="E10" s="99">
        <f>E11*B10</f>
        <v>120</v>
      </c>
      <c r="F10" s="100"/>
      <c r="G10" s="12" t="s">
        <v>51</v>
      </c>
      <c r="H10" s="103">
        <f>H11*B10</f>
        <v>432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10</v>
      </c>
      <c r="F11" s="102"/>
      <c r="G11" s="51" t="s">
        <v>13</v>
      </c>
      <c r="H11" s="105">
        <f>E11*540000/B8/H8</f>
        <v>36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68</v>
      </c>
      <c r="C13" s="55"/>
      <c r="D13" s="56"/>
      <c r="E13" s="16" t="s">
        <v>60</v>
      </c>
      <c r="F13" s="55" t="s">
        <v>65</v>
      </c>
      <c r="G13" s="55"/>
      <c r="H13" s="56"/>
      <c r="I13" s="17" t="s">
        <v>61</v>
      </c>
      <c r="J13" s="55" t="s">
        <v>144</v>
      </c>
      <c r="K13" s="55"/>
      <c r="L13" s="56"/>
    </row>
    <row r="14" spans="1:14" ht="20.100000000000001" customHeight="1" x14ac:dyDescent="0.3">
      <c r="A14" s="13" t="s">
        <v>58</v>
      </c>
      <c r="B14" s="54" t="s">
        <v>166</v>
      </c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7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12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25">
      <c r="A17" s="134" t="s">
        <v>148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6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149</v>
      </c>
      <c r="B23" s="89"/>
      <c r="C23" s="66" t="s">
        <v>150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">
        <v>170</v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UV</v>
      </c>
      <c r="D24" s="74"/>
      <c r="E24" s="68">
        <v>0.02</v>
      </c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132" t="s">
        <v>163</v>
      </c>
      <c r="B25" s="132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RETARDANT","FL",IF(A25="CORROSION INHIBITOR","CI"))))))))))))))))))))))))</f>
        <v>CI</v>
      </c>
      <c r="D25" s="67"/>
      <c r="E25" s="68">
        <v>0.02</v>
      </c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3" t="s">
        <v>103</v>
      </c>
      <c r="H27" s="133"/>
      <c r="I27" s="133" t="s">
        <v>102</v>
      </c>
      <c r="J27" s="133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2">
    <dataValidation type="whole" operator="greaterThan" allowBlank="1" showInputMessage="1" showErrorMessage="1" sqref="H8:I8" xr:uid="{00000000-0002-0000-0000-000000000000}">
      <formula1>30</formula1>
    </dataValidation>
    <dataValidation allowBlank="1" showInputMessage="1" sqref="Q9" xr:uid="{772B4860-4681-459C-A6D5-37FD40E1C90C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 t="e">
        <f>DATE(YEAR(Sheet1!J1),MONTH(Sheet1!J1)+1,DAY(Sheet1!J1))</f>
        <v>#VALUE!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 t="e">
        <f>DATE(YEAR(Sheet1!J1),MONTH(Sheet1!J1),DAY(Sheet1!J1)+21)</f>
        <v>#VALUE!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691669B-324D-4698-849E-B7C9B6B2E85A}"/>
</file>

<file path=customXml/itemProps2.xml><?xml version="1.0" encoding="utf-8"?>
<ds:datastoreItem xmlns:ds="http://schemas.openxmlformats.org/officeDocument/2006/customXml" ds:itemID="{DE853767-2769-4F21-837A-626D4ACD6225}"/>
</file>

<file path=customXml/itemProps3.xml><?xml version="1.0" encoding="utf-8"?>
<ds:datastoreItem xmlns:ds="http://schemas.openxmlformats.org/officeDocument/2006/customXml" ds:itemID="{10C8C78E-1DA4-4AAE-A432-EE3AA28CD8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2021-01-12T00:45:05Z</cp:lastPrinted>
  <dcterms:created xsi:type="dcterms:W3CDTF">2019-11-27T23:28:06Z</dcterms:created>
  <dcterms:modified xsi:type="dcterms:W3CDTF">2021-01-12T00:45:22Z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