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12B2D10-3CA7-428E-BEC8-DAFC28646A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<sst xmlns="http://schemas.openxmlformats.org/spreadsheetml/2006/main" count="302" uniqueCount="198">
  <si>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</si>
  <si>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</si>
  <si>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</si>
  <si>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</si>
  <si>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</si>
  <si>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</si>
  <si>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</si>
  <si>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</si>
  <si>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</si>
  <si>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</si>
  <si>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</si>
  <si>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</si>
  <si>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</si>
  <si>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</si>
  <si>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</si>
  <si>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</si>
  <si>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</si>
  <si>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</si>
  <si>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</si>
  <si>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</si>
  <si>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</si>
  <si>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</si>
  <si>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</si>
  <si>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</si>
  <si>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</si>
  <si>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</si>
  <si>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</si>
  <si>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</si>
  <si>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</si>
  <si>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</si>
  <si>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</si>
  <si>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</si>
  <si>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</si>
  <si>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</si>
  <si>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</si>
  <si>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</si>
  <si>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</si>
  <si>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</si>
  <si>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</si>
  <si>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</si>
  <si>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</si>
  <si>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</si>
  <si>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</si>
  <si>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</si>
  <si>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</si>
  <si>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</si>
  <si>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</si>
  <si>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</si>
  <si>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</si>
  <si>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</si>
  <si>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</si>
  <si>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</si>
  <si>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</si>
  <si>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</si>
  <si>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</si>
  <si>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</si>
  <si>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</si>
  <si>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</si>
  <si>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</si>
  <si>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</si>
  <si>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</si>
  <si>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</si>
  <si>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</si>
  <si>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</si>
  <si>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</si>
  <si>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</si>
  <si>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</si>
  <si>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</si>
  <si>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</si>
  <si>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</si>
  <si>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</si>
  <si>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</si>
  <si>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</si>
  <si>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</si>
  <si>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</si>
  <si>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</si>
  <si>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</si>
  <si>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</si>
  <si>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</si>
  <si>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</si>
  <si>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</si>
  <si>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</si>
  <si>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</si>
  <si>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</si>
  <si>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</si>
  <si>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</si>
  <si>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</si>
  <si>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</si>
  <si>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</si>
  <si>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</si>
  <si>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</si>
  <si>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</si>
  <si>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</si>
  <si>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</si>
  <si>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</si>
  <si>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</si>
  <si>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</si>
  <si>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</si>
  <si>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</si>
  <si>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</si>
  <si>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</si>
  <si>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</si>
  <si>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</si>
  <si>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</si>
  <si>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</si>
  <si>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</si>
  <si>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</si>
  <si>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</si>
  <si>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</si>
  <si>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</si>
  <si>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</si>
  <si>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</si>
  <si>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</si>
  <si>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</si>
  <si>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</si>
  <si>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</si>
  <si>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</si>
  <si>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</si>
  <si>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</si>
  <si>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</si>
  <si>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</si>
  <si>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</si>
  <si>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</si>
  <si>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</si>
  <si>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</si>
  <si>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</si>
  <si>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</si>
  <si>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</si>
  <si>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</si>
  <si>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</si>
  <si>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</si>
  <si>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</si>
  <si>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</si>
  <si>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</si>
  <si>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</si>
  <si>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</si>
  <si>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</si>
  <si>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</si>
  <si>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</si>
  <si>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</si>
  <si>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</si>
  <si>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</si>
  <si>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</si>
  <si>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</si>
  <si>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</si>
  <si>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</si>
  <si>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</si>
  <si>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</si>
  <si>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</si>
  <si>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</si>
  <si>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</si>
  <si>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</si>
  <si>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</si>
  <si>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</si>
  <si>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</si>
  <si>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</si>
  <si>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</si>
  <si>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</si>
  <si>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</si>
  <si>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</si>
  <si>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</si>
  <si>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</si>
  <si>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</si>
  <si>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</si>
  <si>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</si>
  <si>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</si>
  <si>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</si>
  <si>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</si>
  <si>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</si>
  <si>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</si>
  <si>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</si>
  <si>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</si>
  <si>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</si>
  <si>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</si>
  <si>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</si>
  <si>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</si>
  <si>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</si>
  <si>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</si>
  <si>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</si>
  <si>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</si>
  <si>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</si>
  <si>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</si>
  <si>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</si>
  <si>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</si>
  <si>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</si>
  <si>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</si>
  <si>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</si>
  <si>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</si>
  <si>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</si>
  <si>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</si>
  <si>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</si>
  <si>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</si>
  <si>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</si>
  <si>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</si>
  <si>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</si>
  <si>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NOT UNDER</t>
  </si>
  <si>
    <t>LIMAX</t>
  </si>
  <si>
    <t>MILES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</si>
</sst>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D6" sqref="AD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PB20031050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44650</v>
      </c>
      <c r="K1" s="95"/>
      <c r="L1" s="96"/>
      <c r="M1" s="34"/>
      <c r="N1" s="12" t="s">
        <v>56</v>
      </c>
      <c r="O1" s="122" t="str">
        <f>B1</f>
        <v>PB20031050</v>
      </c>
      <c r="P1" s="122"/>
      <c r="Q1" s="123"/>
      <c r="R1" s="12" t="s">
        <v>57</v>
      </c>
      <c r="S1" s="122" t="str">
        <f>F1</f>
        <v>MILES PLASTICS</v>
      </c>
      <c r="T1" s="122"/>
      <c r="U1" s="123"/>
      <c r="V1" s="12" t="s">
        <v>181</v>
      </c>
      <c r="W1" s="95">
        <f ca="1">J1</f>
        <v>44650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942935</v>
      </c>
      <c r="G2" s="98"/>
      <c r="H2" s="99"/>
      <c r="I2" s="12" t="s">
        <v>59</v>
      </c>
      <c r="J2" s="97">
        <v>44681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942935</v>
      </c>
      <c r="T2" s="122"/>
      <c r="U2" s="123"/>
      <c r="V2" s="12" t="s">
        <v>59</v>
      </c>
      <c r="W2" s="135">
        <f>J2</f>
        <v>44681</v>
      </c>
      <c r="X2" s="122"/>
      <c r="Y2" s="123"/>
    </row>
    <row r="3" spans="1:28" ht="20.100000000000001" customHeight="1" x14ac:dyDescent="0.25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31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200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8" t="s">
        <v>48</v>
      </c>
      <c r="B9" s="110" t="s">
        <v>194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200</v>
      </c>
      <c r="S9" s="20" t="s">
        <v>78</v>
      </c>
      <c r="T9" s="35">
        <v>310</v>
      </c>
      <c r="U9" s="20" t="s">
        <v>78</v>
      </c>
      <c r="V9" s="35">
        <v>50</v>
      </c>
      <c r="W9" s="19"/>
      <c r="X9" s="151"/>
      <c r="Y9" s="152"/>
    </row>
    <row r="10" spans="1:28" ht="20.100000000000001" customHeight="1" x14ac:dyDescent="0.25">
      <c r="A10" s="12" t="s">
        <v>51</v>
      </c>
      <c r="B10" s="98">
        <v>2</v>
      </c>
      <c r="C10" s="99"/>
      <c r="D10" s="54" t="s">
        <v>134</v>
      </c>
      <c r="E10" s="112">
        <f>IF(ISNUMBER(SEARCH("sheet",O8,1)),((R9*T9*H8/540000)*U7/2000*1.3),((R9*T9*H8/540000)*U7/1000*1.08))</f>
        <v>31</v>
      </c>
      <c r="F10" s="113"/>
      <c r="G10" s="12" t="s">
        <v>53</v>
      </c>
      <c r="H10" s="116">
        <f>IF(ISNUMBER(SEARCH("sheet",O8,1)),(U7*T9/2000*1.08),(U7*T9/1000*1.08))</f>
        <v>1674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15.5</v>
      </c>
      <c r="F11" s="115"/>
      <c r="G11" s="12" t="s">
        <v>15</v>
      </c>
      <c r="H11" s="114">
        <f>H10/B10</f>
        <v>837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110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 t="s">
        <v>196</v>
      </c>
      <c r="P25" s="39"/>
      <c r="Q25" s="10">
        <v>26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44681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9386588-08F5-43FB-BEF2-0FCD107409D6}"/>
</file>

<file path=customXml/itemProps2.xml><?xml version="1.0" encoding="utf-8"?>
<ds:datastoreItem xmlns:ds="http://schemas.openxmlformats.org/officeDocument/2006/customXml" ds:itemID="{33076A92-8A9E-4620-AF9F-2C02E82DD564}"/>
</file>

<file path=customXml/itemProps3.xml><?xml version="1.0" encoding="utf-8"?>
<ds:datastoreItem xmlns:ds="http://schemas.openxmlformats.org/officeDocument/2006/customXml" ds:itemID="{0F24C3B9-A2AA-4215-9645-3BCCABED4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2022-03-30T00:26:19Z</cp:lastPrinted>
  <dcterms:created xsi:type="dcterms:W3CDTF">2019-11-27T23:28:06Z</dcterms:created>
  <dcterms:modified xsi:type="dcterms:W3CDTF">2022-03-30T02:06:57Z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