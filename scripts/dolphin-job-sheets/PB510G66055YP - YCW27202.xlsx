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0CB11B6-71B0-4CB0-8FAC-594AC243915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U7" i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H10" i="1" l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<sst xmlns="http://schemas.openxmlformats.org/spreadsheetml/2006/main" count="305" uniqueCount="201">
  <si>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</si>
  <si>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</si>
  <si>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</si>
  <si>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</si>
  <si>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</si>
  <si>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</si>
  <si>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</si>
  <si>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</si>
  <si>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</si>
  <si>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</si>
  <si>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</si>
  <si>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</si>
  <si>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</si>
  <si>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</si>
  <si>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</si>
  <si>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</si>
  <si>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</si>
  <si>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</si>
  <si>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</si>
  <si>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</si>
  <si>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</si>
  <si>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</si>
  <si>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</si>
  <si>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</si>
  <si>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</si>
  <si>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</si>
  <si>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</si>
  <si>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</si>
  <si>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</si>
  <si>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</si>
  <si>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</si>
  <si>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</si>
  <si>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</si>
  <si>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</si>
  <si>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</si>
  <si>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</si>
  <si>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</si>
  <si>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</si>
  <si>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</si>
  <si>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</si>
  <si>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</si>
  <si>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</si>
  <si>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</si>
  <si>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</si>
  <si>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</si>
  <si>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</si>
  <si>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</si>
  <si>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</si>
  <si>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</si>
  <si>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</si>
  <si>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</si>
  <si>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</si>
  <si>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</si>
  <si>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</si>
  <si>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</si>
  <si>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</si>
  <si>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</si>
  <si>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</si>
  <si>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</si>
  <si>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</si>
  <si>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</si>
  <si>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</si>
  <si>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</si>
  <si>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</si>
  <si>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</si>
  <si>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</si>
  <si>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</si>
  <si>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</si>
  <si>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</si>
  <si>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</si>
  <si>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</si>
  <si>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</si>
  <si>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</si>
  <si>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</si>
  <si>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</si>
  <si>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</si>
  <si>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</si>
  <si>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</si>
  <si>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</si>
  <si>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</si>
  <si>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</si>
  <si>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</si>
  <si>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</si>
  <si>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</si>
  <si>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</si>
  <si>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</si>
  <si>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</si>
  <si>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</si>
  <si>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</si>
  <si>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</si>
  <si>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</si>
  <si>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</si>
  <si>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</si>
  <si>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</si>
  <si>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</si>
  <si>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</si>
  <si>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</si>
  <si>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</si>
  <si>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</si>
  <si>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</si>
  <si>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</si>
  <si>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</si>
  <si>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</si>
  <si>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</si>
  <si>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</si>
  <si>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</si>
  <si>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</si>
  <si>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</si>
  <si>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</si>
  <si>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</si>
  <si>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</si>
  <si>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</si>
  <si>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</si>
  <si>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</si>
  <si>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</si>
  <si>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</si>
  <si>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</si>
  <si>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</si>
  <si>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</si>
  <si>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</si>
  <si>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</si>
  <si>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</si>
  <si>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</si>
  <si>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</si>
  <si>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</si>
  <si>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</si>
  <si>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</si>
  <si>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</si>
  <si>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</si>
  <si>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</si>
  <si>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</si>
  <si>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</si>
  <si>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</si>
  <si>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</si>
  <si>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</si>
  <si>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</si>
  <si>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</si>
  <si>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</si>
  <si>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</si>
  <si>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</si>
  <si>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</si>
  <si>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</si>
  <si>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</si>
  <si>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</si>
  <si>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</si>
  <si>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</si>
  <si>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</si>
  <si>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</si>
  <si>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</si>
  <si>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</si>
  <si>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</si>
  <si>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</si>
  <si>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</si>
  <si>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</si>
  <si>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</si>
  <si>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</si>
  <si>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</si>
  <si>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</si>
  <si>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</si>
  <si>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</si>
  <si>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</si>
  <si>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</si>
  <si>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</si>
  <si>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</si>
  <si>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</si>
  <si>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</si>
  <si>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</si>
  <si>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</si>
  <si>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</si>
  <si>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</si>
  <si>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</si>
  <si>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</si>
  <si>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</si>
  <si>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</si>
  <si>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</si>
  <si>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</si>
  <si>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</si>
  <si>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</si>
  <si>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</si>
  <si>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</si>
  <si>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</si>
  <si>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</si>
  <si>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</si>
  <si>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</si>
  <si>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</si>
  <si>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</si>
  <si>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</si>
  <si>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</si>
  <si>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</si>
  <si>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</si>
  <si>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</si>
  <si>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</si>
  <si>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</si>
  <si>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</si>
  <si>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YCW27202</t>
  </si>
  <si>
    <t>(300+210)</t>
  </si>
  <si>
    <t>"CLINICAL WASTE"</t>
  </si>
  <si>
    <t>RUN AT 50UM</t>
  </si>
  <si>
    <t xml:space="preserve"> +/- 10mm</t>
  </si>
  <si>
    <t>limax</t>
  </si>
  <si>
    <t xml:space="preserve">RAMSAY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</si>
</sst>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PB510G66055YP</v>
      </c>
      <c r="C1" s="111"/>
      <c r="D1" s="112"/>
      <c r="E1" s="11" t="s">
        <v>57</v>
      </c>
      <c r="F1" s="87" t="s">
        <v>200</v>
      </c>
      <c r="G1" s="87"/>
      <c r="H1" s="88"/>
      <c r="I1" s="12" t="s">
        <v>181</v>
      </c>
      <c r="J1" s="84">
        <f ca="1">TODAY()</f>
        <v>46085</v>
      </c>
      <c r="K1" s="84"/>
      <c r="L1" s="85"/>
      <c r="M1" s="29"/>
      <c r="N1" s="11" t="s">
        <v>56</v>
      </c>
      <c r="O1" s="111" t="str">
        <f>B1</f>
        <v>PB510G66055YP</v>
      </c>
      <c r="P1" s="111"/>
      <c r="Q1" s="112"/>
      <c r="R1" s="11" t="s">
        <v>57</v>
      </c>
      <c r="S1" s="111" t="str">
        <f>F1</f>
        <v xml:space="preserve">RAMSAY </v>
      </c>
      <c r="T1" s="111"/>
      <c r="U1" s="112"/>
      <c r="V1" s="11" t="s">
        <v>181</v>
      </c>
      <c r="W1" s="84">
        <f ca="1">J1</f>
        <v>46085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>YCW27202</v>
      </c>
      <c r="C2" s="111"/>
      <c r="D2" s="112"/>
      <c r="E2" s="11" t="s">
        <v>58</v>
      </c>
      <c r="F2" s="87">
        <v>942880</v>
      </c>
      <c r="G2" s="87"/>
      <c r="H2" s="88"/>
      <c r="I2" s="11" t="s">
        <v>59</v>
      </c>
      <c r="J2" s="86">
        <v>44657</v>
      </c>
      <c r="K2" s="87"/>
      <c r="L2" s="88"/>
      <c r="M2" s="29"/>
      <c r="N2" s="11" t="s">
        <v>100</v>
      </c>
      <c r="O2" s="111" t="str">
        <f>IF(B2="","",B2)</f>
        <v>YCW27202</v>
      </c>
      <c r="P2" s="111"/>
      <c r="Q2" s="112"/>
      <c r="R2" s="11" t="s">
        <v>58</v>
      </c>
      <c r="S2" s="111">
        <f>IF(F2="","",F2)</f>
        <v>942880</v>
      </c>
      <c r="T2" s="111"/>
      <c r="U2" s="112"/>
      <c r="V2" s="11" t="s">
        <v>59</v>
      </c>
      <c r="W2" s="122">
        <f>J2</f>
        <v>44657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148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40</v>
      </c>
      <c r="P7" s="88"/>
      <c r="Q7" s="11" t="str">
        <f>IF(ISNUMBER(SEARCH("roll",O8,1)),"Per Roll","Per Carton")</f>
        <v>Per Carton</v>
      </c>
      <c r="R7" s="87">
        <v>250</v>
      </c>
      <c r="S7" s="88"/>
      <c r="T7" s="11" t="str">
        <f>IF(ISNUMBER(SEARCH("bag",O8,1)),"Total Bags","Total Sheets")</f>
        <v>Total Bags</v>
      </c>
      <c r="U7" s="111">
        <f>R7*O7</f>
        <v>10000</v>
      </c>
      <c r="V7" s="112"/>
      <c r="W7" s="11" t="s">
        <v>102</v>
      </c>
      <c r="X7" s="87" t="s">
        <v>31</v>
      </c>
      <c r="Y7" s="88"/>
    </row>
    <row r="8" spans="1:25" ht="20.100000000000001" customHeight="1" x14ac:dyDescent="0.25">
      <c r="A8" s="13" t="s">
        <v>16</v>
      </c>
      <c r="B8" s="89">
        <f>R9</f>
        <v>510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(300+210)</v>
      </c>
      <c r="F8" s="90"/>
      <c r="G8" s="13" t="s">
        <v>52</v>
      </c>
      <c r="H8" s="89">
        <f>(IF(V9&lt;30,"30",V9))</f>
        <v>55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00000000000001" customHeight="1" x14ac:dyDescent="0.3">
      <c r="A9" s="16" t="s">
        <v>48</v>
      </c>
      <c r="B9" s="99" t="s">
        <v>198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197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510</v>
      </c>
      <c r="S9" s="18" t="s">
        <v>78</v>
      </c>
      <c r="T9" s="30">
        <v>660</v>
      </c>
      <c r="U9" s="18" t="s">
        <v>78</v>
      </c>
      <c r="V9" s="30">
        <v>55</v>
      </c>
      <c r="W9" s="17"/>
      <c r="X9" s="136" t="s">
        <v>195</v>
      </c>
      <c r="Y9" s="137"/>
    </row>
    <row r="10" spans="1:25" ht="20.100000000000001" customHeight="1" x14ac:dyDescent="0.25">
      <c r="A10" s="11" t="s">
        <v>51</v>
      </c>
      <c r="B10" s="87">
        <v>9</v>
      </c>
      <c r="C10" s="88"/>
      <c r="D10" s="47" t="s">
        <v>134</v>
      </c>
      <c r="E10" s="101">
        <f>IF(ISNUMBER(SEARCH("sheet",O8,1)),((R9*T9*H8/540000)*U7/2000*1.3),((R9*T9*H8/540000)*U7/1000*1.08))</f>
        <v>370.26</v>
      </c>
      <c r="F10" s="102"/>
      <c r="G10" s="11" t="s">
        <v>53</v>
      </c>
      <c r="H10" s="105">
        <f>IF(ISNUMBER(SEARCH("sheet",O8,1)),(U7*T9/2000*1.08),(U7*T9/1000*1.08))</f>
        <v>7128.0000000000009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Yes</v>
      </c>
      <c r="S10" s="123"/>
      <c r="T10" s="14" t="s">
        <v>100</v>
      </c>
      <c r="U10" s="130" t="s">
        <v>194</v>
      </c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41.14</v>
      </c>
      <c r="F11" s="104"/>
      <c r="G11" s="11" t="s">
        <v>15</v>
      </c>
      <c r="H11" s="103">
        <f>H10/B10</f>
        <v>792.00000000000011</v>
      </c>
      <c r="I11" s="104"/>
      <c r="J11" s="11" t="s">
        <v>50</v>
      </c>
      <c r="K11" s="87" t="s">
        <v>65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>P</v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70</v>
      </c>
      <c r="C13" s="87"/>
      <c r="D13" s="88"/>
      <c r="E13" s="19" t="s">
        <v>61</v>
      </c>
      <c r="F13" s="87" t="s">
        <v>66</v>
      </c>
      <c r="G13" s="87"/>
      <c r="H13" s="88"/>
      <c r="I13" s="11" t="s">
        <v>62</v>
      </c>
      <c r="J13" s="87" t="s">
        <v>177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40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9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 t="s">
        <v>196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>YELLOW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199</v>
      </c>
      <c r="P25" s="34"/>
      <c r="Q25" s="10">
        <v>24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46116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46106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7D68947-D7B4-4BA8-B769-D7384F8A152E}"/>
</file>

<file path=customXml/itemProps2.xml><?xml version="1.0" encoding="utf-8"?>
<ds:datastoreItem xmlns:ds="http://schemas.openxmlformats.org/officeDocument/2006/customXml" ds:itemID="{E8AA7F78-EC7C-4F72-A41D-E13FA0FF4238}"/>
</file>

<file path=customXml/itemProps3.xml><?xml version="1.0" encoding="utf-8"?>
<ds:datastoreItem xmlns:ds="http://schemas.openxmlformats.org/officeDocument/2006/customXml" ds:itemID="{B67BAAEF-EC58-488C-B766-9F4A00023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2022-03-16T01:22:52Z</cp:lastPrinted>
  <dcterms:created xsi:type="dcterms:W3CDTF">2019-11-27T23:28:06Z</dcterms:created>
  <dcterms:modified xsi:type="dcterms:W3CDTF">2026-03-04T09:40:41Z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