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E06D824-BF55-45CF-A736-048B14FC84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<sst xmlns="http://schemas.openxmlformats.org/spreadsheetml/2006/main" count="302" uniqueCount="200">
  <si>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</si>
  <si>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</si>
  <si>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</si>
  <si>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</si>
  <si>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</si>
  <si>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</si>
  <si>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</si>
  <si>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</si>
  <si>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</si>
  <si>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</si>
  <si>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</si>
  <si>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</si>
  <si>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</si>
  <si>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</si>
  <si>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</si>
  <si>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</si>
  <si>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</si>
  <si>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</si>
  <si>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</si>
  <si>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</si>
  <si>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</si>
  <si>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</si>
  <si>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</si>
  <si>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</si>
  <si>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</si>
  <si>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</si>
  <si>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</si>
  <si>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</si>
  <si>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</si>
  <si>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</si>
  <si>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</si>
  <si>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</si>
  <si>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</si>
  <si>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</si>
  <si>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</si>
  <si>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</si>
  <si>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</si>
  <si>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</si>
  <si>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</si>
  <si>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</si>
  <si>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</si>
  <si>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</si>
  <si>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</si>
  <si>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</si>
  <si>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</si>
  <si>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</si>
  <si>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</si>
  <si>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</si>
  <si>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</si>
  <si>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</si>
  <si>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</si>
  <si>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</si>
  <si>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</si>
  <si>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</si>
  <si>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</si>
  <si>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</si>
  <si>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</si>
  <si>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</si>
  <si>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</si>
  <si>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</si>
  <si>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</si>
  <si>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</si>
  <si>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</si>
  <si>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</si>
  <si>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</si>
  <si>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</si>
  <si>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</si>
  <si>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</si>
  <si>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</si>
  <si>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</si>
  <si>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</si>
  <si>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</si>
  <si>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</si>
  <si>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</si>
  <si>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</si>
  <si>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</si>
  <si>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</si>
  <si>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</si>
  <si>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</si>
  <si>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</si>
  <si>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</si>
  <si>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</si>
  <si>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</si>
  <si>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</si>
  <si>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</si>
  <si>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</si>
  <si>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</si>
  <si>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</si>
  <si>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</si>
  <si>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</si>
  <si>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</si>
  <si>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</si>
  <si>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</si>
  <si>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</si>
  <si>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</si>
  <si>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</si>
  <si>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</si>
  <si>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</si>
  <si>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</si>
  <si>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</si>
  <si>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</si>
  <si>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</si>
  <si>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</si>
  <si>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</si>
  <si>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</si>
  <si>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</si>
  <si>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</si>
  <si>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</si>
  <si>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</si>
  <si>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</si>
  <si>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</si>
  <si>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</si>
  <si>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</si>
  <si>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</si>
  <si>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</si>
  <si>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</si>
  <si>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</si>
  <si>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</si>
  <si>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</si>
  <si>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</si>
  <si>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</si>
  <si>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</si>
  <si>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</si>
  <si>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</si>
  <si>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</si>
  <si>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</si>
  <si>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</si>
  <si>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</si>
  <si>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</si>
  <si>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</si>
  <si>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</si>
  <si>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</si>
  <si>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</si>
  <si>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</si>
  <si>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</si>
  <si>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</si>
  <si>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</si>
  <si>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</si>
  <si>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</si>
  <si>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</si>
  <si>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</si>
  <si>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</si>
  <si>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</si>
  <si>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</si>
  <si>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</si>
  <si>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</si>
  <si>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</si>
  <si>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</si>
  <si>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</si>
  <si>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</si>
  <si>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</si>
  <si>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</si>
  <si>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</si>
  <si>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</si>
  <si>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</si>
  <si>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</si>
  <si>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</si>
  <si>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</si>
  <si>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</si>
  <si>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</si>
  <si>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</si>
  <si>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</si>
  <si>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</si>
  <si>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</si>
  <si>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</si>
  <si>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</si>
  <si>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</si>
  <si>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</si>
  <si>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</si>
  <si>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</si>
  <si>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</si>
  <si>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</si>
  <si>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</si>
  <si>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</si>
  <si>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</si>
  <si>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</si>
  <si>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</si>
  <si>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</si>
  <si>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</si>
  <si>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</si>
  <si>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</si>
  <si>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</si>
  <si>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</si>
  <si>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</si>
  <si>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</si>
  <si>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</si>
  <si>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</si>
  <si>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</si>
  <si>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</si>
  <si>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</si>
  <si>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</si>
  <si>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</si>
  <si>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</si>
  <si>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</si>
  <si>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</si>
  <si>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(470+395)</t>
  </si>
  <si>
    <t>NOT UNDER</t>
  </si>
  <si>
    <t>ULTRA CORAL AUSTRALIA</t>
  </si>
  <si>
    <t xml:space="preserve">PERF INLINE - LIVE FISH MUST HAVE WATER TIGHT SEALS 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</si>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</sst>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4" sqref="E24:F24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PBR865G10001000</v>
      </c>
      <c r="C1" s="113"/>
      <c r="D1" s="114"/>
      <c r="E1" s="16" t="s">
        <v>56</v>
      </c>
      <c r="F1" s="94" t="s">
        <v>197</v>
      </c>
      <c r="G1" s="94"/>
      <c r="H1" s="95"/>
      <c r="I1" s="16" t="s">
        <v>180</v>
      </c>
      <c r="J1" s="134">
        <f ca="1">TODAY()</f>
        <v>45222</v>
      </c>
      <c r="K1" s="134"/>
      <c r="L1" s="135"/>
      <c r="M1" s="30"/>
      <c r="N1" s="16" t="s">
        <v>55</v>
      </c>
      <c r="O1" s="113" t="str">
        <f>B1</f>
        <v>PBR865G10001000</v>
      </c>
      <c r="P1" s="113"/>
      <c r="Q1" s="114"/>
      <c r="R1" s="16" t="s">
        <v>56</v>
      </c>
      <c r="S1" s="113" t="str">
        <f>F1</f>
        <v>ULTRA CORAL AUSTRALIA</v>
      </c>
      <c r="T1" s="113"/>
      <c r="U1" s="114"/>
      <c r="V1" s="16" t="s">
        <v>180</v>
      </c>
      <c r="W1" s="134">
        <f ca="1">J1</f>
        <v>45222</v>
      </c>
      <c r="X1" s="134"/>
      <c r="Y1" s="135"/>
    </row>
    <row r="2" spans="1:25" ht="20.100000000000001" customHeight="1" x14ac:dyDescent="0.25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938889</v>
      </c>
      <c r="G2" s="94"/>
      <c r="H2" s="95"/>
      <c r="I2" s="16" t="s">
        <v>58</v>
      </c>
      <c r="J2" s="93">
        <v>44172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938889</v>
      </c>
      <c r="T2" s="113"/>
      <c r="U2" s="114"/>
      <c r="V2" s="16" t="s">
        <v>58</v>
      </c>
      <c r="W2" s="136">
        <f>J2</f>
        <v>44172</v>
      </c>
      <c r="X2" s="113"/>
      <c r="Y2" s="114"/>
    </row>
    <row r="3" spans="1:25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 xml:space="preserve">PERF INLINE - LIVE FISH MUST HAVE WATER TIGHT SEALS 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6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600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25">
      <c r="A8" s="17" t="s">
        <v>15</v>
      </c>
      <c r="B8" s="103">
        <f>R9</f>
        <v>865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(470+395)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00000000000001" customHeight="1" x14ac:dyDescent="0.3">
      <c r="A9" s="21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865</v>
      </c>
      <c r="S9" s="23" t="s">
        <v>77</v>
      </c>
      <c r="T9" s="31">
        <v>1000</v>
      </c>
      <c r="U9" s="23" t="s">
        <v>77</v>
      </c>
      <c r="V9" s="31">
        <v>100</v>
      </c>
      <c r="W9" s="22"/>
      <c r="X9" s="100" t="s">
        <v>195</v>
      </c>
      <c r="Y9" s="101"/>
    </row>
    <row r="10" spans="1:25" ht="20.100000000000001" customHeight="1" x14ac:dyDescent="0.25">
      <c r="A10" s="16" t="s">
        <v>50</v>
      </c>
      <c r="B10" s="94">
        <v>6</v>
      </c>
      <c r="C10" s="95"/>
      <c r="D10" s="49" t="s">
        <v>133</v>
      </c>
      <c r="E10" s="115">
        <f>IF(ISNUMBER(SEARCH("sheet",O8,1)),((R9*T9*H8/540000)*U7/2000*1.3),((R9*T9*H8/540000)*U7/1000*1.08))</f>
        <v>103.80000000000001</v>
      </c>
      <c r="F10" s="116"/>
      <c r="G10" s="16" t="s">
        <v>52</v>
      </c>
      <c r="H10" s="119">
        <f>IF(ISNUMBER(SEARCH("sheet",O8,1)),(U7*T9/2000*1.08),(U7*T9/1000*1.08))</f>
        <v>648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17.3</v>
      </c>
      <c r="F11" s="118"/>
      <c r="G11" s="16" t="s">
        <v>14</v>
      </c>
      <c r="H11" s="117">
        <f>H10/B10</f>
        <v>108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6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00000000000001" customHeight="1" x14ac:dyDescent="0.3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199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>
        <v>0.01</v>
      </c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" right="0" top="0" bottom="0" header="0" footer="0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45253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45243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AA29086-71E5-495F-9638-FA63A030D67F}"/>
</file>

<file path=customXml/itemProps2.xml><?xml version="1.0" encoding="utf-8"?>
<ds:datastoreItem xmlns:ds="http://schemas.openxmlformats.org/officeDocument/2006/customXml" ds:itemID="{29EF3E2D-63A3-4795-AD12-61C49AD03C2F}"/>
</file>

<file path=customXml/itemProps3.xml><?xml version="1.0" encoding="utf-8"?>
<ds:datastoreItem xmlns:ds="http://schemas.openxmlformats.org/officeDocument/2006/customXml" ds:itemID="{A9D952B3-8B5D-4B98-991C-709EEAD4A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2020-11-11T03:42:24Z</cp:lastPrinted>
  <dcterms:created xsi:type="dcterms:W3CDTF">2019-11-27T23:28:06Z</dcterms:created>
  <dcterms:modified xsi:type="dcterms:W3CDTF">2023-10-23T05:19:13Z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