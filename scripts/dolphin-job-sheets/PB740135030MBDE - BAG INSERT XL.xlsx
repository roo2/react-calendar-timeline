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C11D303-E071-42B6-85BD-0F3CBA33EF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l="1"/>
  <c r="B1" i="1" s="1"/>
  <c r="J1" i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<sst xmlns="http://schemas.openxmlformats.org/spreadsheetml/2006/main" count="307" uniqueCount="204">
  <si>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</si>
  <si>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</si>
  <si>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</si>
  <si>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</si>
  <si>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</si>
  <si>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</si>
  <si>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</si>
  <si>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</si>
  <si>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</si>
  <si>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</si>
  <si>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</si>
  <si>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</si>
  <si>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</si>
  <si>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</si>
  <si>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</si>
  <si>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</si>
  <si>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</si>
  <si>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</si>
  <si>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</si>
  <si>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</si>
  <si>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</si>
  <si>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</si>
  <si>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</si>
  <si>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</si>
  <si>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</si>
  <si>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</si>
  <si>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</si>
  <si>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</si>
  <si>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</si>
  <si>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</si>
  <si>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</si>
  <si>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</si>
  <si>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</si>
  <si>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</si>
  <si>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</si>
  <si>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</si>
  <si>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</si>
  <si>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</si>
  <si>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</si>
  <si>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</si>
  <si>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</si>
  <si>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</si>
  <si>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</si>
  <si>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</si>
  <si>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</si>
  <si>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</si>
  <si>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</si>
  <si>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</si>
  <si>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</si>
  <si>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</si>
  <si>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</si>
  <si>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</si>
  <si>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</si>
  <si>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</si>
  <si>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</si>
  <si>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</si>
  <si>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</si>
  <si>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</si>
  <si>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</si>
  <si>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</si>
  <si>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</si>
  <si>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</si>
  <si>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</si>
  <si>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</si>
  <si>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</si>
  <si>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</si>
  <si>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</si>
  <si>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</si>
  <si>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</si>
  <si>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</si>
  <si>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</si>
  <si>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</si>
  <si>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</si>
  <si>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</si>
  <si>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</si>
  <si>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</si>
  <si>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</si>
  <si>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</si>
  <si>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</si>
  <si>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</si>
  <si>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</si>
  <si>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</si>
  <si>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</si>
  <si>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</si>
  <si>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</si>
  <si>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</si>
  <si>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</si>
  <si>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</si>
  <si>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</si>
  <si>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</si>
  <si>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</si>
  <si>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</si>
  <si>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</si>
  <si>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</si>
  <si>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</si>
  <si>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</si>
  <si>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</si>
  <si>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</si>
  <si>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</si>
  <si>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</si>
  <si>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</si>
  <si>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</si>
  <si>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</si>
  <si>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</si>
  <si>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</si>
  <si>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</si>
  <si>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</si>
  <si>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</si>
  <si>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</si>
  <si>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</si>
  <si>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</si>
  <si>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</si>
  <si>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</si>
  <si>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</si>
  <si>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</si>
  <si>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</si>
  <si>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</si>
  <si>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</si>
  <si>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</si>
  <si>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</si>
  <si>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</si>
  <si>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</si>
  <si>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</si>
  <si>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</si>
  <si>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</si>
  <si>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</si>
  <si>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</si>
  <si>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</si>
  <si>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</si>
  <si>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</si>
  <si>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</si>
  <si>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</si>
  <si>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</si>
  <si>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</si>
  <si>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</si>
  <si>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</si>
  <si>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</si>
  <si>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</si>
  <si>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</si>
  <si>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</si>
  <si>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</si>
  <si>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</si>
  <si>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</si>
  <si>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</si>
  <si>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</si>
  <si>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</si>
  <si>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</si>
  <si>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</si>
  <si>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</si>
  <si>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</si>
  <si>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</si>
  <si>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</si>
  <si>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</si>
  <si>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</si>
  <si>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</si>
  <si>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</si>
  <si>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</si>
  <si>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</si>
  <si>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</si>
  <si>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</si>
  <si>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</si>
  <si>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</si>
  <si>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</si>
  <si>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</si>
  <si>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</si>
  <si>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</si>
  <si>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</si>
  <si>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</si>
  <si>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</si>
  <si>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</si>
  <si>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</si>
  <si>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</si>
  <si>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</si>
  <si>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</si>
  <si>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</si>
  <si>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</si>
  <si>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</si>
  <si>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</si>
  <si>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</si>
  <si>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</si>
  <si>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</si>
  <si>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</si>
  <si>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</si>
  <si>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</si>
  <si>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</si>
  <si>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</si>
  <si>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</si>
  <si>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</si>
  <si>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</si>
  <si>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</si>
  <si>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</si>
  <si>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</si>
  <si>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</si>
  <si>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</si>
  <si>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BROWN</t>
  </si>
  <si>
    <t>MUST BE SOLID BROWN - FILM MUST NOT BE SPLITTY</t>
  </si>
  <si>
    <t>ANTISTATIC</t>
  </si>
  <si>
    <t>RUN AT 30um</t>
  </si>
  <si>
    <t xml:space="preserve"> +/- 5mm</t>
  </si>
  <si>
    <t>BAG INSERT XL</t>
  </si>
  <si>
    <t>LIMAX</t>
  </si>
  <si>
    <t>Notes NEEDS MORE ANTISTATIC</t>
  </si>
  <si>
    <t>ZEBRA VET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</si>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</sst>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4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996633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996633"/>
      <color rgb="FFFF99CC"/>
      <color rgb="FFE8407C"/>
      <color rgb="FFE04882"/>
      <color rgb="FFF14D9F"/>
      <color rgb="FFD7AFFF"/>
      <color rgb="FFFA2A5C"/>
      <color rgb="FFFD9803"/>
      <color rgb="FFFF9F11"/>
      <color rgb="FFEF97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topLeftCell="A3" zoomScale="80" zoomScaleNormal="80" workbookViewId="0">
      <selection activeCell="E22" sqref="E22:F22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08" t="str">
        <f>O9&amp;R9&amp;IF(X8="G","G","")&amp;IF(O8="Centrefold Roll","("&amp;E8&amp;")","")&amp;T9&amp;V9&amp;C22&amp;C23&amp;C24&amp;O11&amp;R11</f>
        <v>PB740135030BR0AS</v>
      </c>
      <c r="C1" s="108"/>
      <c r="D1" s="109"/>
      <c r="E1" s="11" t="s">
        <v>57</v>
      </c>
      <c r="F1" s="62" t="s">
        <v>202</v>
      </c>
      <c r="G1" s="62"/>
      <c r="H1" s="63"/>
      <c r="I1" s="12" t="s">
        <v>181</v>
      </c>
      <c r="J1" s="119">
        <f ca="1">TODAY()</f>
        <v>45411</v>
      </c>
      <c r="K1" s="119"/>
      <c r="L1" s="120"/>
      <c r="M1" s="29"/>
      <c r="N1" s="11" t="s">
        <v>56</v>
      </c>
      <c r="O1" s="108" t="str">
        <f>B1</f>
        <v>PB740135030BR0AS</v>
      </c>
      <c r="P1" s="108"/>
      <c r="Q1" s="109"/>
      <c r="R1" s="11" t="s">
        <v>57</v>
      </c>
      <c r="S1" s="108" t="str">
        <f>F1</f>
        <v>ZEBRA VET</v>
      </c>
      <c r="T1" s="108"/>
      <c r="U1" s="109"/>
      <c r="V1" s="11" t="s">
        <v>181</v>
      </c>
      <c r="W1" s="119">
        <f ca="1">J1</f>
        <v>45411</v>
      </c>
      <c r="X1" s="119"/>
      <c r="Y1" s="120"/>
    </row>
    <row r="2" spans="1:25" ht="20.100000000000001" customHeight="1" x14ac:dyDescent="0.25">
      <c r="A2" s="11" t="s">
        <v>100</v>
      </c>
      <c r="B2" s="108" t="str">
        <f>IF(U10="","",U10)</f>
        <v>BAG INSERT XL</v>
      </c>
      <c r="C2" s="108"/>
      <c r="D2" s="109"/>
      <c r="E2" s="11" t="s">
        <v>58</v>
      </c>
      <c r="F2" s="62">
        <v>943697</v>
      </c>
      <c r="G2" s="62"/>
      <c r="H2" s="63"/>
      <c r="I2" s="11" t="s">
        <v>59</v>
      </c>
      <c r="J2" s="122">
        <v>44792</v>
      </c>
      <c r="K2" s="62"/>
      <c r="L2" s="63"/>
      <c r="M2" s="29"/>
      <c r="N2" s="11" t="s">
        <v>100</v>
      </c>
      <c r="O2" s="108" t="str">
        <f>IF(B2="","",B2)</f>
        <v>BAG INSERT XL</v>
      </c>
      <c r="P2" s="108"/>
      <c r="Q2" s="109"/>
      <c r="R2" s="11" t="s">
        <v>58</v>
      </c>
      <c r="S2" s="108">
        <f>IF(F2="","",F2)</f>
        <v>943697</v>
      </c>
      <c r="T2" s="108"/>
      <c r="U2" s="109"/>
      <c r="V2" s="11" t="s">
        <v>59</v>
      </c>
      <c r="W2" s="121">
        <f>J2</f>
        <v>44792</v>
      </c>
      <c r="X2" s="108"/>
      <c r="Y2" s="109"/>
    </row>
    <row r="3" spans="1:25" ht="20.100000000000001" customHeight="1" x14ac:dyDescent="0.25">
      <c r="A3" s="110" t="s">
        <v>195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>MUST BE SOLID BROWN - FILM MUST NOT BE SPLITTY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1" t="s">
        <v>49</v>
      </c>
      <c r="B7" s="100" t="s">
        <v>194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17</v>
      </c>
      <c r="P7" s="63"/>
      <c r="Q7" s="11" t="str">
        <f>IF(ISNUMBER(SEARCH("roll",O8,1)),"Per Roll","Per Carton")</f>
        <v>Per Carton</v>
      </c>
      <c r="R7" s="62">
        <v>200</v>
      </c>
      <c r="S7" s="63"/>
      <c r="T7" s="11" t="str">
        <f>IF(ISNUMBER(SEARCH("bag",O8,1)),"Total Bags","Total Sheets")</f>
        <v>Total Bags</v>
      </c>
      <c r="U7" s="108">
        <f>R7*O7</f>
        <v>3400</v>
      </c>
      <c r="V7" s="109"/>
      <c r="W7" s="11" t="s">
        <v>102</v>
      </c>
      <c r="X7" s="62" t="s">
        <v>23</v>
      </c>
      <c r="Y7" s="63"/>
    </row>
    <row r="8" spans="1:25" ht="20.100000000000001" customHeight="1" x14ac:dyDescent="0.25">
      <c r="A8" s="13" t="s">
        <v>16</v>
      </c>
      <c r="B8" s="96">
        <f>R9</f>
        <v>740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30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00000000000001" customHeight="1" x14ac:dyDescent="0.3">
      <c r="A9" s="16" t="s">
        <v>48</v>
      </c>
      <c r="B9" s="125" t="s">
        <v>198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197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740</v>
      </c>
      <c r="S9" s="18" t="s">
        <v>78</v>
      </c>
      <c r="T9" s="30">
        <v>1350</v>
      </c>
      <c r="U9" s="18" t="s">
        <v>78</v>
      </c>
      <c r="V9" s="30">
        <v>30</v>
      </c>
      <c r="W9" s="17"/>
      <c r="X9" s="88"/>
      <c r="Y9" s="89"/>
    </row>
    <row r="10" spans="1:25" ht="20.100000000000001" customHeight="1" x14ac:dyDescent="0.25">
      <c r="A10" s="11" t="s">
        <v>51</v>
      </c>
      <c r="B10" s="62">
        <v>5</v>
      </c>
      <c r="C10" s="63"/>
      <c r="D10" s="47" t="s">
        <v>134</v>
      </c>
      <c r="E10" s="127">
        <f>IF(ISNUMBER(SEARCH("sheet",O8,1)),((R9*T9*H8/540000)*U7/2000*1.3),((R9*T9*H8/540000)*U7/1000*1.08))</f>
        <v>203.79599999999999</v>
      </c>
      <c r="F10" s="128"/>
      <c r="G10" s="11" t="s">
        <v>53</v>
      </c>
      <c r="H10" s="131">
        <f>IF(ISNUMBER(SEARCH("sheet",O8,1)),(U7*T9/2000*1.08),(U7*T9/1000*1.08))</f>
        <v>4957.2000000000007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 t="s">
        <v>199</v>
      </c>
      <c r="V10" s="104"/>
      <c r="W10" s="104"/>
      <c r="X10" s="104"/>
      <c r="Y10" s="105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40.7592</v>
      </c>
      <c r="F11" s="130"/>
      <c r="G11" s="11" t="s">
        <v>15</v>
      </c>
      <c r="H11" s="129">
        <f>H10/B10</f>
        <v>991.44000000000017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17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150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201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>BROWN</v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IF(A22="","",IF(A22="NATURAL","",IF(A22="BLACK","BK",IF(A22="WHITE","WH",IF(A22="YELLOW","Y",IF(A22="PURPLE","PU",IF(A22="BLUE","BL",IF(A22="RED","R",IF(A22="GREEN","GR",IF(A22="ORANGE","OR",IF(A22="LILAC","LI",IF(A22="MAROON","MA",IF(A22="BROWN","BR",IF(A22="WHITE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DEGRADABLE","BD",)))))))))))))))))))))))))))</f>
        <v>BR</v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38" t="s">
        <v>203</v>
      </c>
      <c r="B23" s="138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39" t="s">
        <v>196</v>
      </c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200</v>
      </c>
      <c r="P25" s="34"/>
      <c r="Q25" s="10">
        <v>26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3" priority="7" operator="containsText" text="MAROON">
      <formula>NOT(ISERROR(SEARCH("MAROON",B7)))</formula>
    </cfRule>
    <cfRule type="containsText" dxfId="12" priority="8" operator="containsText" text="ORANGE">
      <formula>NOT(ISERROR(SEARCH("ORANGE",B7)))</formula>
    </cfRule>
    <cfRule type="containsText" dxfId="11" priority="9" operator="containsText" text="GREEN">
      <formula>NOT(ISERROR(SEARCH("GREEN",B7)))</formula>
    </cfRule>
    <cfRule type="containsText" dxfId="10" priority="10" operator="containsText" text="RED">
      <formula>NOT(ISERROR(SEARCH("RED",B7)))</formula>
    </cfRule>
    <cfRule type="containsText" dxfId="9" priority="11" operator="containsText" text="WHITE">
      <formula>NOT(ISERROR(SEARCH("WHITE",B7)))</formula>
    </cfRule>
    <cfRule type="containsText" dxfId="8" priority="12" operator="containsText" text="PURPLE">
      <formula>NOT(ISERROR(SEARCH("PURPLE",B7)))</formula>
    </cfRule>
    <cfRule type="containsText" dxfId="7" priority="13" operator="containsText" text="BLUE">
      <formula>NOT(ISERROR(SEARCH("BLUE",B7)))</formula>
    </cfRule>
    <cfRule type="containsText" dxfId="6" priority="14" operator="containsText" text="YELLOW">
      <formula>NOT(ISERROR(SEARCH("YELLOW",B7)))</formula>
    </cfRule>
  </conditionalFormatting>
  <conditionalFormatting sqref="B7:I7">
    <cfRule type="containsText" dxfId="5" priority="1" operator="containsText" text="BROWN">
      <formula>NOT(ISERROR(SEARCH("BROWN",B7)))</formula>
    </cfRule>
    <cfRule type="containsText" dxfId="4" priority="4" operator="containsText" text="BLACK">
      <formula>NOT(ISERROR(SEARCH("BLACK",B7)))</formula>
    </cfRule>
  </conditionalFormatting>
  <conditionalFormatting sqref="J2">
    <cfRule type="containsText" dxfId="3" priority="3" operator="containsText" text="ASAP">
      <formula>NOT(ISERROR(SEARCH("ASAP",J2)))</formula>
    </cfRule>
  </conditionalFormatting>
  <conditionalFormatting sqref="J13 B7">
    <cfRule type="containsText" dxfId="2" priority="6" operator="containsText" text="LILAC">
      <formula>NOT(ISERROR(SEARCH("LILAC",B7)))</formula>
    </cfRule>
  </conditionalFormatting>
  <conditionalFormatting sqref="J13">
    <cfRule type="containsText" dxfId="1" priority="5" operator="containsText" text="BLACK">
      <formula>NOT(ISERROR(SEARCH("BLACK",J13)))</formula>
    </cfRule>
  </conditionalFormatting>
  <conditionalFormatting sqref="W2">
    <cfRule type="containsText" dxfId="0" priority="2" operator="containsText" text="ASAP">
      <formula>NOT(ISERROR(SEARCH("ASAP",W2)))</formula>
    </cfRule>
  </conditionalFormatting>
  <dataValidations count="1">
    <dataValidation allowBlank="1" showInputMessage="1" sqref="J1:L1" xr:uid="{E2A56D2F-B7D6-438A-B7BD-3F0396D09863}"/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D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45441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45432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194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157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158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159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160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162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175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5" t="s">
        <v>184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7" t="s">
        <v>46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 t="s">
        <v>34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7" t="s">
        <v>47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44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5" t="s">
        <v>45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21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7" t="s">
        <v>63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44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65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" t="s">
        <v>64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7" t="s">
        <v>68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44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70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5" t="s">
        <v>69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21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7" t="s">
        <v>61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44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66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5" t="s">
        <v>67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21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56" t="s">
        <v>62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21" t="s">
        <v>44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177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155</v>
      </c>
    </row>
    <row r="60" spans="1:20" x14ac:dyDescent="0.25">
      <c r="A60" s="55" t="s">
        <v>148</v>
      </c>
      <c r="O60" s="1"/>
      <c r="Q60" s="1"/>
      <c r="R60" s="3"/>
      <c r="S60" s="1"/>
    </row>
    <row r="61" spans="1:20" x14ac:dyDescent="0.25">
      <c r="A61" s="55" t="s">
        <v>149</v>
      </c>
      <c r="O61" s="1"/>
      <c r="Q61" s="1"/>
      <c r="R61" s="1"/>
      <c r="S61" s="1"/>
    </row>
    <row r="62" spans="1:20" x14ac:dyDescent="0.25">
      <c r="A62" s="55" t="s">
        <v>150</v>
      </c>
      <c r="O62" s="1"/>
      <c r="Q62" s="1"/>
      <c r="R62" s="1"/>
      <c r="S62" s="1"/>
    </row>
    <row r="63" spans="1:20" x14ac:dyDescent="0.25">
      <c r="A63" s="55" t="s">
        <v>151</v>
      </c>
      <c r="O63" s="1"/>
      <c r="Q63" s="1"/>
      <c r="R63" s="1"/>
      <c r="S63" s="1"/>
      <c r="T63" s="1"/>
    </row>
    <row r="64" spans="1:20" x14ac:dyDescent="0.25">
      <c r="A64" s="55" t="s">
        <v>152</v>
      </c>
      <c r="O64" s="1"/>
      <c r="Q64" s="1"/>
      <c r="R64" s="1"/>
      <c r="S64" s="1"/>
      <c r="T64" s="1"/>
    </row>
    <row r="65" spans="1:20" x14ac:dyDescent="0.25">
      <c r="A65" s="55" t="s">
        <v>153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174</v>
      </c>
      <c r="N66" s="4"/>
      <c r="O66" s="1"/>
      <c r="P66" s="1"/>
      <c r="Q66" s="1"/>
      <c r="R66" s="1"/>
      <c r="S66" s="1"/>
      <c r="T66" s="1"/>
    </row>
    <row r="67" spans="1:20" x14ac:dyDescent="0.25">
      <c r="A67" s="55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189A782-AF12-4A7C-A1F7-682B04B7BCF7}"/>
</file>

<file path=customXml/itemProps2.xml><?xml version="1.0" encoding="utf-8"?>
<ds:datastoreItem xmlns:ds="http://schemas.openxmlformats.org/officeDocument/2006/customXml" ds:itemID="{44CF8E44-1509-4E77-B918-045D2521F644}"/>
</file>

<file path=customXml/itemProps3.xml><?xml version="1.0" encoding="utf-8"?>
<ds:datastoreItem xmlns:ds="http://schemas.openxmlformats.org/officeDocument/2006/customXml" ds:itemID="{391710C0-D962-42AD-ACF7-500967D4FC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2022-07-19T03:10:28Z</cp:lastPrinted>
  <dcterms:created xsi:type="dcterms:W3CDTF">2019-11-27T23:28:06Z</dcterms:created>
  <dcterms:modified xsi:type="dcterms:W3CDTF">2024-04-29T04:41:37Z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