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EA2E067-1945-435F-A097-B1CEBAEAC27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E8" i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C24" i="1" l="1"/>
  <c r="F16" i="1" l="1"/>
  <c r="J1" i="1" l="1"/>
  <c r="A4" i="2" l="1"/>
  <c r="A5" i="2"/>
</calcChain>
</file>

<file path=xl/sharedStrings.xml><?xml version="1.0" encoding="utf-8"?>
<sst xmlns="http://schemas.openxmlformats.org/spreadsheetml/2006/main" count="228" uniqueCount="169">
  <si>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</si>
  <si>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</si>
  <si>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</si>
  <si>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</si>
  <si>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</si>
  <si>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</si>
  <si>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</si>
  <si>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</si>
  <si>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</si>
  <si>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</si>
  <si>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</si>
  <si>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</si>
  <si>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</si>
  <si>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</si>
  <si>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</si>
  <si>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</si>
  <si>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</si>
  <si>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</si>
  <si>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</si>
  <si>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</si>
  <si>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</si>
  <si>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</si>
  <si>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</si>
  <si>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</si>
  <si>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</si>
  <si>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</si>
  <si>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</si>
  <si>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</si>
  <si>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</si>
  <si>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</si>
  <si>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</si>
  <si>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</si>
  <si>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</si>
  <si>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</si>
  <si>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</si>
  <si>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</si>
  <si>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</si>
  <si>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</si>
  <si>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</si>
  <si>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</si>
  <si>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</si>
  <si>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</si>
  <si>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</si>
  <si>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</si>
  <si>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</si>
  <si>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</si>
  <si>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</si>
  <si>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</si>
  <si>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</si>
  <si>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</si>
  <si>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</si>
  <si>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</si>
  <si>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</si>
  <si>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</si>
  <si>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</si>
  <si>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</si>
  <si>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</si>
  <si>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</si>
  <si>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</si>
  <si>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</si>
  <si>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</si>
  <si>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</si>
  <si>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</si>
  <si>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</si>
  <si>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</si>
  <si>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</si>
  <si>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</si>
  <si>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</si>
  <si>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</si>
  <si>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</si>
  <si>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</si>
  <si>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</si>
  <si>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</si>
  <si>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</si>
  <si>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</si>
  <si>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</si>
  <si>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</si>
  <si>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</si>
  <si>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</si>
  <si>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</si>
  <si>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</si>
  <si>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</si>
  <si>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</si>
  <si>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</si>
  <si>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</si>
  <si>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</si>
  <si>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</si>
  <si>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</si>
  <si>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</si>
  <si>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</si>
  <si>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</si>
  <si>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</si>
  <si>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</si>
  <si>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</si>
  <si>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</si>
  <si>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</si>
  <si>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</si>
  <si>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</si>
  <si>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</si>
  <si>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</si>
  <si>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</si>
  <si>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</si>
  <si>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</si>
  <si>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</si>
  <si>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</si>
  <si>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</si>
  <si>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</si>
  <si>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</si>
  <si>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</si>
  <si>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</si>
  <si>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</si>
  <si>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</si>
  <si>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</si>
  <si>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</si>
  <si>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</si>
  <si>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</si>
  <si>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</si>
  <si>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</si>
  <si>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</si>
  <si>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</si>
  <si>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</si>
  <si>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</si>
  <si>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</si>
  <si>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</si>
  <si>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</si>
  <si>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</si>
  <si>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</si>
  <si>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</si>
  <si>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</si>
  <si>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</si>
  <si>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</si>
  <si>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</si>
  <si>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</si>
  <si>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</si>
  <si>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</si>
  <si>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</si>
  <si>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</si>
  <si>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</si>
  <si>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</si>
  <si>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</si>
  <si>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</si>
  <si>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</si>
  <si>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</si>
  <si>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</si>
  <si>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</si>
  <si>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</si>
  <si>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</si>
  <si>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</si>
  <si>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</si>
  <si>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</si>
  <si>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</si>
  <si>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</si>
  <si>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</si>
  <si>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</si>
  <si>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</si>
  <si>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</si>
  <si>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</si>
  <si>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</si>
  <si>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</si>
  <si>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</si>
  <si>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</si>
  <si>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</si>
  <si>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</si>
  <si>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CLEAR REMILL</t>
  </si>
  <si>
    <t>ANTISTATIC</t>
  </si>
  <si>
    <t>%</t>
  </si>
  <si>
    <t>ANTISLIP</t>
  </si>
  <si>
    <t>NOT UNDER</t>
  </si>
  <si>
    <t>HYQUAL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</si>
</sst>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0" fontId="16" fillId="8" borderId="4" xfId="0" applyNumberFormat="1" applyFont="1" applyFill="1" applyBorder="1" applyAlignment="1" applyProtection="1">
      <alignment horizontal="center"/>
      <protection locked="0"/>
    </xf>
    <xf numFmtId="10" fontId="16" fillId="8" borderId="5" xfId="0" applyNumberFormat="1" applyFont="1" applyFill="1" applyBorder="1" applyAlignment="1" applyProtection="1">
      <alignment horizontal="center"/>
      <protection locked="0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16" fillId="8" borderId="6" xfId="0" applyFont="1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6" fillId="8" borderId="4" xfId="0" applyFont="1" applyFill="1" applyBorder="1" applyAlignment="1">
      <alignment horizontal="center"/>
    </xf>
    <xf numFmtId="0" fontId="16" fillId="8" borderId="5" xfId="0" applyFont="1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1" sqref="B11:C11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104" t="str">
        <f>IF(B7="Tube","T",IF(B7="Cont Sheet Roll","SR",IF(B7="Cont Centrefold","CFR")))&amp;B8&amp;IF(E8="","","("&amp;E8&amp;")")&amp;H8&amp;(IF(K11="INLINE","P",IF(K11="OUT OF LINE","P",IF(K11="NONE",""))))&amp;C24&amp;C25</f>
        <v>T1000200ASFALSE</v>
      </c>
      <c r="C1" s="104"/>
      <c r="D1" s="105"/>
      <c r="E1" s="10" t="s">
        <v>55</v>
      </c>
      <c r="F1" s="46" t="s">
        <v>168</v>
      </c>
      <c r="G1" s="46"/>
      <c r="H1" s="47"/>
      <c r="I1" s="10" t="s">
        <v>147</v>
      </c>
      <c r="J1" s="115">
        <f ca="1">TODAY()</f>
        <v>46085</v>
      </c>
      <c r="K1" s="115"/>
      <c r="L1" s="116"/>
    </row>
    <row r="2" spans="1:14" ht="20.100000000000001" customHeight="1" x14ac:dyDescent="0.25">
      <c r="A2" s="10" t="s">
        <v>94</v>
      </c>
      <c r="B2" s="95" t="str">
        <f>IF(B7="Tube",(ROUNDUP(E11,0)&amp;"KG"),(ROUNDUP(H11,0)&amp;"M"))</f>
        <v>25KG</v>
      </c>
      <c r="C2" s="95"/>
      <c r="D2" s="96"/>
      <c r="E2" s="10" t="s">
        <v>56</v>
      </c>
      <c r="F2" s="46">
        <v>950950</v>
      </c>
      <c r="G2" s="46"/>
      <c r="H2" s="47"/>
      <c r="I2" s="10" t="s">
        <v>57</v>
      </c>
      <c r="J2" s="117">
        <v>46106</v>
      </c>
      <c r="K2" s="46"/>
      <c r="L2" s="47"/>
    </row>
    <row r="3" spans="1:14" ht="20.100000000000001" customHeight="1" x14ac:dyDescent="0.25">
      <c r="A3" s="106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8"/>
    </row>
    <row r="4" spans="1:14" ht="20.100000000000001" customHeight="1" x14ac:dyDescent="0.25">
      <c r="A4" s="109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1"/>
    </row>
    <row r="5" spans="1:14" ht="20.100000000000001" customHeight="1" x14ac:dyDescent="0.25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4"/>
    </row>
    <row r="6" spans="1:14" ht="20.100000000000001" customHeight="1" x14ac:dyDescent="0.25">
      <c r="A6" s="83" t="s">
        <v>1</v>
      </c>
      <c r="B6" s="84"/>
      <c r="C6" s="84"/>
      <c r="D6" s="84"/>
      <c r="E6" s="84"/>
      <c r="F6" s="84"/>
      <c r="G6" s="84"/>
      <c r="H6" s="84"/>
      <c r="I6" s="84"/>
      <c r="J6" s="85"/>
      <c r="K6" s="85"/>
      <c r="L6" s="86"/>
    </row>
    <row r="7" spans="1:14" ht="20.100000000000001" customHeight="1" x14ac:dyDescent="0.3">
      <c r="A7" s="10" t="s">
        <v>156</v>
      </c>
      <c r="B7" s="46" t="s">
        <v>157</v>
      </c>
      <c r="C7" s="47"/>
      <c r="D7" s="10" t="s">
        <v>47</v>
      </c>
      <c r="E7" s="45" t="s">
        <v>131</v>
      </c>
      <c r="F7" s="45"/>
      <c r="G7" s="45"/>
      <c r="H7" s="45"/>
      <c r="I7" s="45"/>
      <c r="J7" s="99" t="s">
        <v>145</v>
      </c>
      <c r="K7" s="99"/>
      <c r="L7" s="79"/>
    </row>
    <row r="8" spans="1:14" ht="20.100000000000001" customHeight="1" x14ac:dyDescent="0.25">
      <c r="A8" s="11" t="s">
        <v>14</v>
      </c>
      <c r="B8" s="70">
        <v>1000</v>
      </c>
      <c r="C8" s="71"/>
      <c r="D8" s="11" t="str">
        <f>IF(B7="Tube","Gusset","Centrefold")</f>
        <v>Gusset</v>
      </c>
      <c r="E8" s="100" t="str">
        <f>IF(B7="Cont Centrefold",B8*2,"")</f>
        <v/>
      </c>
      <c r="F8" s="101"/>
      <c r="G8" s="11" t="s">
        <v>50</v>
      </c>
      <c r="H8" s="70">
        <v>200</v>
      </c>
      <c r="I8" s="71"/>
      <c r="J8" s="10" t="s">
        <v>52</v>
      </c>
      <c r="K8" s="104" t="str">
        <f>IF(ISNUMBER(SEARCH("+",E8,1)),"Gusset Tube","Layflat Tube")</f>
        <v>Layflat Tube</v>
      </c>
      <c r="L8" s="105"/>
    </row>
    <row r="9" spans="1:14" ht="20.100000000000001" customHeight="1" x14ac:dyDescent="0.3">
      <c r="A9" s="12" t="s">
        <v>46</v>
      </c>
      <c r="B9" s="87" t="s">
        <v>162</v>
      </c>
      <c r="C9" s="88"/>
      <c r="D9" s="121" t="str">
        <f>IF(K10="Middle","RUN 2 UP",IF(AND(B7="Cont Centrefold",B8=380),"RUN 2 UP",""))</f>
        <v/>
      </c>
      <c r="E9" s="122"/>
      <c r="F9" s="123"/>
      <c r="G9" s="12" t="s">
        <v>46</v>
      </c>
      <c r="H9" s="87" t="s">
        <v>167</v>
      </c>
      <c r="I9" s="88"/>
      <c r="J9" s="10" t="s">
        <v>53</v>
      </c>
      <c r="K9" s="46" t="s">
        <v>28</v>
      </c>
      <c r="L9" s="47"/>
    </row>
    <row r="10" spans="1:14" ht="20.100000000000001" customHeight="1" x14ac:dyDescent="0.25">
      <c r="A10" s="10" t="s">
        <v>49</v>
      </c>
      <c r="B10" s="46">
        <v>6</v>
      </c>
      <c r="C10" s="47"/>
      <c r="D10" s="35" t="s">
        <v>104</v>
      </c>
      <c r="E10" s="91">
        <f>E11*B10</f>
        <v>150</v>
      </c>
      <c r="F10" s="92"/>
      <c r="G10" s="10" t="s">
        <v>51</v>
      </c>
      <c r="H10" s="95">
        <f>H11*B10</f>
        <v>405</v>
      </c>
      <c r="I10" s="96"/>
      <c r="J10" s="10" t="s">
        <v>39</v>
      </c>
      <c r="K10" s="46" t="s">
        <v>42</v>
      </c>
      <c r="L10" s="47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9" t="str">
        <f>IF(AND(B7="Cont Centrefold",D9="RUN 2 UP"),B10*2,IF(B7="Cont Centrefold",B10,IF(B7="Cont Sheet Roll",B10*2,"")))</f>
        <v/>
      </c>
      <c r="C11" s="90"/>
      <c r="D11" s="41" t="s">
        <v>105</v>
      </c>
      <c r="E11" s="93">
        <v>25</v>
      </c>
      <c r="F11" s="94"/>
      <c r="G11" s="41" t="s">
        <v>13</v>
      </c>
      <c r="H11" s="97">
        <f>E11*540000/B8/H8</f>
        <v>67.5</v>
      </c>
      <c r="I11" s="98"/>
      <c r="J11" s="41" t="s">
        <v>48</v>
      </c>
      <c r="K11" s="102" t="s">
        <v>42</v>
      </c>
      <c r="L11" s="103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2"/>
      <c r="F12" s="72"/>
      <c r="G12" s="72"/>
      <c r="H12" s="72"/>
      <c r="I12" s="72"/>
      <c r="J12" s="72"/>
      <c r="K12" s="72"/>
      <c r="L12" s="73"/>
    </row>
    <row r="13" spans="1:14" ht="20.100000000000001" customHeight="1" x14ac:dyDescent="0.25">
      <c r="A13" s="10" t="s">
        <v>59</v>
      </c>
      <c r="B13" s="46" t="s">
        <v>42</v>
      </c>
      <c r="C13" s="46"/>
      <c r="D13" s="47"/>
      <c r="E13" s="13" t="s">
        <v>60</v>
      </c>
      <c r="F13" s="46" t="s">
        <v>42</v>
      </c>
      <c r="G13" s="46"/>
      <c r="H13" s="47"/>
      <c r="I13" s="10" t="s">
        <v>61</v>
      </c>
      <c r="J13" s="46" t="s">
        <v>42</v>
      </c>
      <c r="K13" s="46"/>
      <c r="L13" s="47"/>
    </row>
    <row r="14" spans="1:14" ht="20.100000000000001" customHeight="1" x14ac:dyDescent="0.3">
      <c r="A14" s="11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4"/>
    </row>
    <row r="15" spans="1:14" ht="20.100000000000001" customHeight="1" x14ac:dyDescent="0.25">
      <c r="A15" s="83" t="s">
        <v>70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125"/>
    </row>
    <row r="16" spans="1:14" ht="20.100000000000001" customHeight="1" x14ac:dyDescent="0.25">
      <c r="A16" s="10" t="s">
        <v>71</v>
      </c>
      <c r="B16" s="46" t="s">
        <v>75</v>
      </c>
      <c r="C16" s="46"/>
      <c r="D16" s="47"/>
      <c r="E16" s="10" t="s">
        <v>72</v>
      </c>
      <c r="F16" s="104">
        <f>B10</f>
        <v>6</v>
      </c>
      <c r="G16" s="104"/>
      <c r="H16" s="105"/>
      <c r="I16" s="10" t="s">
        <v>74</v>
      </c>
      <c r="J16" s="46"/>
      <c r="K16" s="46"/>
      <c r="L16" s="47"/>
    </row>
    <row r="17" spans="1:12" ht="20.100000000000001" customHeight="1" x14ac:dyDescent="0.25">
      <c r="A17" s="75" t="s">
        <v>148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7"/>
    </row>
    <row r="18" spans="1:12" ht="20.100000000000001" customHeight="1" x14ac:dyDescent="0.25">
      <c r="A18" s="78" t="s">
        <v>2</v>
      </c>
      <c r="B18" s="79"/>
      <c r="C18" s="78" t="s">
        <v>111</v>
      </c>
      <c r="D18" s="79"/>
      <c r="E18" s="78" t="s">
        <v>3</v>
      </c>
      <c r="F18" s="79"/>
      <c r="G18" s="78" t="s">
        <v>4</v>
      </c>
      <c r="H18" s="79"/>
      <c r="I18" s="78" t="s">
        <v>9</v>
      </c>
      <c r="J18" s="79"/>
      <c r="K18" s="78" t="s">
        <v>10</v>
      </c>
      <c r="L18" s="79"/>
    </row>
    <row r="19" spans="1:12" ht="20.100000000000001" customHeight="1" x14ac:dyDescent="0.25">
      <c r="A19" s="80" t="s">
        <v>5</v>
      </c>
      <c r="B19" s="80"/>
      <c r="C19" s="57" t="s">
        <v>115</v>
      </c>
      <c r="D19" s="58"/>
      <c r="E19" s="59"/>
      <c r="F19" s="60"/>
      <c r="G19" s="9" t="s">
        <v>76</v>
      </c>
      <c r="H19" s="30"/>
      <c r="I19" s="68"/>
      <c r="J19" s="69"/>
      <c r="K19" s="68"/>
      <c r="L19" s="69"/>
    </row>
    <row r="20" spans="1:12" ht="20.100000000000001" customHeight="1" x14ac:dyDescent="0.25">
      <c r="A20" s="80" t="s">
        <v>6</v>
      </c>
      <c r="B20" s="80"/>
      <c r="C20" s="57" t="s">
        <v>114</v>
      </c>
      <c r="D20" s="58"/>
      <c r="E20" s="59"/>
      <c r="F20" s="60"/>
      <c r="G20" s="9" t="s">
        <v>77</v>
      </c>
      <c r="H20" s="30"/>
      <c r="I20" s="68"/>
      <c r="J20" s="69"/>
      <c r="K20" s="68"/>
      <c r="L20" s="69"/>
    </row>
    <row r="21" spans="1:12" ht="20.100000000000001" customHeight="1" x14ac:dyDescent="0.25">
      <c r="A21" s="80" t="s">
        <v>7</v>
      </c>
      <c r="B21" s="80"/>
      <c r="C21" s="57" t="s">
        <v>113</v>
      </c>
      <c r="D21" s="58"/>
      <c r="E21" s="59"/>
      <c r="F21" s="60"/>
      <c r="G21" s="9" t="s">
        <v>78</v>
      </c>
      <c r="H21" s="30"/>
      <c r="I21" s="68"/>
      <c r="J21" s="69"/>
      <c r="K21" s="68"/>
      <c r="L21" s="69"/>
    </row>
    <row r="22" spans="1:12" ht="20.100000000000001" customHeight="1" x14ac:dyDescent="0.25">
      <c r="A22" s="80" t="s">
        <v>8</v>
      </c>
      <c r="B22" s="80"/>
      <c r="C22" s="57" t="s">
        <v>112</v>
      </c>
      <c r="D22" s="58"/>
      <c r="E22" s="59"/>
      <c r="F22" s="60"/>
      <c r="G22" s="9" t="s">
        <v>79</v>
      </c>
      <c r="H22" s="30"/>
      <c r="I22" s="68"/>
      <c r="J22" s="69"/>
      <c r="K22" s="68"/>
      <c r="L22" s="69"/>
    </row>
    <row r="23" spans="1:12" ht="20.100000000000001" customHeight="1" x14ac:dyDescent="0.35">
      <c r="A23" s="81" t="s">
        <v>149</v>
      </c>
      <c r="B23" s="81"/>
      <c r="C23" s="118" t="s">
        <v>163</v>
      </c>
      <c r="D23" s="119"/>
      <c r="E23" s="64">
        <v>0.2</v>
      </c>
      <c r="F23" s="65"/>
      <c r="G23" s="9" t="s">
        <v>80</v>
      </c>
      <c r="H23" s="30"/>
      <c r="I23" s="68"/>
      <c r="J23" s="69"/>
      <c r="K23" s="68"/>
      <c r="L23" s="69"/>
    </row>
    <row r="24" spans="1:12" ht="20.100000000000001" customHeight="1" x14ac:dyDescent="0.25">
      <c r="A24" s="80" t="s">
        <v>164</v>
      </c>
      <c r="B24" s="80"/>
      <c r="C24" s="6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AS</v>
      </c>
      <c r="D24" s="67"/>
      <c r="E24" s="59" t="s">
        <v>165</v>
      </c>
      <c r="F24" s="60"/>
      <c r="G24" s="9" t="s">
        <v>81</v>
      </c>
      <c r="H24" s="30"/>
      <c r="I24" s="68"/>
      <c r="J24" s="69"/>
      <c r="K24" s="68"/>
      <c r="L24" s="69"/>
    </row>
    <row r="25" spans="1:12" ht="20.100000000000001" customHeight="1" x14ac:dyDescent="0.25">
      <c r="A25" s="80" t="s">
        <v>166</v>
      </c>
      <c r="B25" s="80"/>
      <c r="C25" s="57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8"/>
      <c r="E25" s="59" t="s">
        <v>165</v>
      </c>
      <c r="F25" s="60"/>
      <c r="G25" s="9" t="s">
        <v>82</v>
      </c>
      <c r="H25" s="30"/>
      <c r="I25" s="68"/>
      <c r="J25" s="69"/>
      <c r="K25" s="68"/>
      <c r="L25" s="69"/>
    </row>
    <row r="26" spans="1:12" ht="20.100000000000001" customHeight="1" x14ac:dyDescent="0.25">
      <c r="A26" s="82" t="s">
        <v>0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3"/>
    </row>
    <row r="27" spans="1:12" ht="20.100000000000001" customHeight="1" x14ac:dyDescent="0.25">
      <c r="A27" s="14"/>
      <c r="B27" s="15" t="s">
        <v>146</v>
      </c>
      <c r="C27" s="15" t="s">
        <v>86</v>
      </c>
      <c r="D27" s="16" t="s">
        <v>84</v>
      </c>
      <c r="E27" s="16" t="s">
        <v>85</v>
      </c>
      <c r="F27" s="16" t="s">
        <v>87</v>
      </c>
      <c r="G27" s="124" t="s">
        <v>103</v>
      </c>
      <c r="H27" s="124"/>
      <c r="I27" s="124" t="s">
        <v>102</v>
      </c>
      <c r="J27" s="124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>
        <v>55</v>
      </c>
      <c r="C28" s="6"/>
      <c r="D28" s="22">
        <v>33.1</v>
      </c>
      <c r="E28" s="44">
        <v>3.8</v>
      </c>
      <c r="F28" s="6"/>
      <c r="G28" s="120"/>
      <c r="H28" s="120"/>
      <c r="I28" s="120"/>
      <c r="J28" s="120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20"/>
      <c r="H29" s="120"/>
      <c r="I29" s="120"/>
      <c r="J29" s="120"/>
      <c r="K29" s="6"/>
      <c r="L29" s="22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5" t="s">
        <v>106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7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topLeftCell="A13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46116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46106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161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153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154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155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150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156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157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158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159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151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152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A33209A-B37A-4942-AFB8-A365077F9B4C}"/>
</file>

<file path=customXml/itemProps2.xml><?xml version="1.0" encoding="utf-8"?>
<ds:datastoreItem xmlns:ds="http://schemas.openxmlformats.org/officeDocument/2006/customXml" ds:itemID="{D912C32A-86C0-4313-9370-AE58DC9875EE}"/>
</file>

<file path=customXml/itemProps3.xml><?xml version="1.0" encoding="utf-8"?>
<ds:datastoreItem xmlns:ds="http://schemas.openxmlformats.org/officeDocument/2006/customXml" ds:itemID="{6A8AC462-58B9-4155-B597-3A187D6193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2026-02-13T02:25:41Z</cp:lastPrinted>
  <dcterms:created xsi:type="dcterms:W3CDTF">2019-11-27T23:28:06Z</dcterms:created>
  <dcterms:modified xsi:type="dcterms:W3CDTF">2026-03-04T08:51:43Z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