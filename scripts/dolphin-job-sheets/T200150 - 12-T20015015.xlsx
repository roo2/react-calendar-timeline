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B36E310C-9006-464E-B78A-267CCE3231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<sst xmlns="http://schemas.openxmlformats.org/spreadsheetml/2006/main" count="225" uniqueCount="167">
  <si>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</si>
  <si>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</si>
  <si>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</si>
  <si>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</si>
  <si>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</si>
  <si>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</si>
  <si>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</si>
  <si>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</si>
  <si>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</si>
  <si>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</si>
  <si>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</si>
  <si>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</si>
  <si>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</si>
  <si>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</si>
  <si>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</si>
  <si>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</si>
  <si>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</si>
  <si>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</si>
  <si>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</si>
  <si>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</si>
  <si>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</si>
  <si>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</si>
  <si>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</si>
  <si>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</si>
  <si>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</si>
  <si>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</si>
  <si>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</si>
  <si>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</si>
  <si>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</si>
  <si>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</si>
  <si>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</si>
  <si>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</si>
  <si>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</si>
  <si>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</si>
  <si>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</si>
  <si>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</si>
  <si>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</si>
  <si>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</si>
  <si>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</si>
  <si>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</si>
  <si>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</si>
  <si>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</si>
  <si>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</si>
  <si>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</si>
  <si>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</si>
  <si>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</si>
  <si>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</si>
  <si>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</si>
  <si>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</si>
  <si>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</si>
  <si>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</si>
  <si>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</si>
  <si>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</si>
  <si>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</si>
  <si>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</si>
  <si>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</si>
  <si>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</si>
  <si>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</si>
  <si>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</si>
  <si>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</si>
  <si>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</si>
  <si>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</si>
  <si>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</si>
  <si>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</si>
  <si>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</si>
  <si>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</si>
  <si>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</si>
  <si>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</si>
  <si>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</si>
  <si>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</si>
  <si>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</si>
  <si>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</si>
  <si>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</si>
  <si>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</si>
  <si>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</si>
  <si>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</si>
  <si>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</si>
  <si>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</si>
  <si>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</si>
  <si>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</si>
  <si>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</si>
  <si>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</si>
  <si>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</si>
  <si>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</si>
  <si>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</si>
  <si>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</si>
  <si>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</si>
  <si>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</si>
  <si>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</si>
  <si>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</si>
  <si>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</si>
  <si>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</si>
  <si>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</si>
  <si>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</si>
  <si>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</si>
  <si>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</si>
  <si>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</si>
  <si>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</si>
  <si>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</si>
  <si>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</si>
  <si>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</si>
  <si>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</si>
  <si>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</si>
  <si>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</si>
  <si>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</si>
  <si>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</si>
  <si>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</si>
  <si>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</si>
  <si>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</si>
  <si>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</si>
  <si>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</si>
  <si>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</si>
  <si>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</si>
  <si>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</si>
  <si>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</si>
  <si>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</si>
  <si>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</si>
  <si>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</si>
  <si>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</si>
  <si>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</si>
  <si>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</si>
  <si>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</si>
  <si>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</si>
  <si>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</si>
  <si>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</si>
  <si>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</si>
  <si>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</si>
  <si>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</si>
  <si>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</si>
  <si>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</si>
  <si>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</si>
  <si>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</si>
  <si>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</si>
  <si>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</si>
  <si>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</si>
  <si>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</si>
  <si>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</si>
  <si>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</si>
  <si>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</si>
  <si>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</si>
  <si>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</si>
  <si>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</si>
  <si>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</si>
  <si>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</si>
  <si>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</si>
  <si>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</si>
  <si>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</si>
  <si>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</si>
  <si>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</si>
  <si>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</si>
  <si>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</si>
  <si>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</si>
  <si>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</si>
  <si>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</si>
  <si>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</si>
  <si>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</si>
  <si>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</si>
  <si>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</si>
  <si>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</si>
  <si>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</si>
  <si>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</si>
  <si>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</si>
  <si>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</si>
  <si>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</si>
  <si>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</si>
  <si>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DAYWALK</t>
  </si>
  <si>
    <t>12-T200/150/15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</si>
</sst>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7" fillId="0" borderId="4" xfId="0" applyFont="1" applyFill="1" applyBorder="1" applyAlignment="1" applyProtection="1">
      <alignment horizontal="center"/>
    </xf>
    <xf numFmtId="0" fontId="7" fillId="0" borderId="5" xfId="0" applyFont="1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10" fontId="8" fillId="0" borderId="4" xfId="0" applyNumberFormat="1" applyFont="1" applyFill="1" applyBorder="1" applyAlignment="1" applyProtection="1">
      <alignment horizontal="center"/>
      <protection locked="0"/>
    </xf>
    <xf numFmtId="10" fontId="8" fillId="0" borderId="5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8" fillId="0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7" t="str">
        <f>IF(B7="Tube","T",IF(B7="Cont Sheet Roll","SR",IF(B7="Cont Centrefold","CFR")))&amp;B8&amp;IF(E8="","","("&amp;E8&amp;")")&amp;H8&amp;(IF(K11="INLINE","P",IF(K11="OUT OF LINE","P",IF(K11="NONE",""))))&amp;C24&amp;C25</f>
        <v>T200150</v>
      </c>
      <c r="C1" s="117"/>
      <c r="D1" s="118"/>
      <c r="E1" s="12" t="s">
        <v>55</v>
      </c>
      <c r="F1" s="128" t="s">
        <v>165</v>
      </c>
      <c r="G1" s="128"/>
      <c r="H1" s="129"/>
      <c r="I1" s="12" t="s">
        <v>147</v>
      </c>
      <c r="J1" s="130">
        <f ca="1">TODAY()</f>
        <v>44146</v>
      </c>
      <c r="K1" s="130"/>
      <c r="L1" s="131"/>
    </row>
    <row r="2" spans="1:14" ht="20.100000000000001" customHeight="1" x14ac:dyDescent="0.25">
      <c r="A2" s="12" t="s">
        <v>94</v>
      </c>
      <c r="B2" s="108" t="str">
        <f>IF(B7="Tube",(ROUNDUP(E11,0)&amp;"KG"),(ROUNDUP(H11,0)&amp;"M"))</f>
        <v>15KG</v>
      </c>
      <c r="C2" s="108"/>
      <c r="D2" s="109"/>
      <c r="E2" s="12" t="s">
        <v>56</v>
      </c>
      <c r="F2" s="55">
        <v>938870</v>
      </c>
      <c r="G2" s="55"/>
      <c r="H2" s="56"/>
      <c r="I2" s="12" t="s">
        <v>57</v>
      </c>
      <c r="J2" s="132">
        <v>44168</v>
      </c>
      <c r="K2" s="55"/>
      <c r="L2" s="56"/>
    </row>
    <row r="3" spans="1:14" ht="20.100000000000001" customHeight="1" x14ac:dyDescent="0.25">
      <c r="A3" s="119" t="s">
        <v>166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</row>
    <row r="4" spans="1:14" ht="20.100000000000001" customHeight="1" x14ac:dyDescent="0.25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4" ht="20.100000000000001" customHeight="1" x14ac:dyDescent="0.25">
      <c r="A5" s="125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7"/>
    </row>
    <row r="6" spans="1:14" ht="20.100000000000001" customHeight="1" x14ac:dyDescent="0.25">
      <c r="A6" s="96" t="s">
        <v>1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12" t="s">
        <v>145</v>
      </c>
      <c r="K7" s="112"/>
      <c r="L7" s="92"/>
    </row>
    <row r="8" spans="1:14" ht="20.100000000000001" customHeight="1" x14ac:dyDescent="0.25">
      <c r="A8" s="13" t="s">
        <v>14</v>
      </c>
      <c r="B8" s="81">
        <v>200</v>
      </c>
      <c r="C8" s="82"/>
      <c r="D8" s="13" t="str">
        <f>IF(B7="Tube","Gusset","Centrefold")</f>
        <v>Gusset</v>
      </c>
      <c r="E8" s="113" t="str">
        <f>IF(B7="Cont Centrefold",B8*2,"")</f>
        <v/>
      </c>
      <c r="F8" s="114"/>
      <c r="G8" s="13" t="s">
        <v>50</v>
      </c>
      <c r="H8" s="81">
        <v>150</v>
      </c>
      <c r="I8" s="82"/>
      <c r="J8" s="12" t="s">
        <v>52</v>
      </c>
      <c r="K8" s="117" t="str">
        <f>IF(ISNUMBER(SEARCH("+",E8,1)),"Gusset Tube","Layflat Tube")</f>
        <v>Layflat Tube</v>
      </c>
      <c r="L8" s="118"/>
    </row>
    <row r="9" spans="1:14" ht="20.100000000000001" customHeight="1" x14ac:dyDescent="0.3">
      <c r="A9" s="14" t="s">
        <v>46</v>
      </c>
      <c r="B9" s="100" t="s">
        <v>164</v>
      </c>
      <c r="C9" s="101"/>
      <c r="D9" s="134" t="str">
        <f>IF(K10="Middle","RUN 2 UP",IF(AND(B7="Cont Centrefold",B8=380),"RUN 2 UP",""))</f>
        <v/>
      </c>
      <c r="E9" s="135"/>
      <c r="F9" s="136"/>
      <c r="G9" s="14" t="s">
        <v>46</v>
      </c>
      <c r="H9" s="100" t="s">
        <v>163</v>
      </c>
      <c r="I9" s="101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12</v>
      </c>
      <c r="C10" s="56"/>
      <c r="D10" s="42" t="s">
        <v>104</v>
      </c>
      <c r="E10" s="104">
        <f>E11*B10</f>
        <v>180</v>
      </c>
      <c r="F10" s="105"/>
      <c r="G10" s="12" t="s">
        <v>51</v>
      </c>
      <c r="H10" s="108">
        <f>H11*B10</f>
        <v>3240</v>
      </c>
      <c r="I10" s="109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102" t="str">
        <f>IF(AND(B7="Cont Centrefold",D9="RUN 2 UP"),B10*2,IF(B7="Cont Centrefold",B10,IF(B7="Cont Sheet Roll",B10*2,"")))</f>
        <v/>
      </c>
      <c r="C11" s="103"/>
      <c r="D11" s="51" t="s">
        <v>105</v>
      </c>
      <c r="E11" s="106">
        <v>15</v>
      </c>
      <c r="F11" s="107"/>
      <c r="G11" s="51" t="s">
        <v>13</v>
      </c>
      <c r="H11" s="110">
        <f>E11*540000/B8/H8</f>
        <v>270</v>
      </c>
      <c r="I11" s="111"/>
      <c r="J11" s="51" t="s">
        <v>48</v>
      </c>
      <c r="K11" s="115" t="s">
        <v>42</v>
      </c>
      <c r="L11" s="116"/>
      <c r="N11"/>
    </row>
    <row r="12" spans="1:14" ht="20.100000000000001" customHeight="1" x14ac:dyDescent="0.25">
      <c r="A12" s="83" t="s">
        <v>11</v>
      </c>
      <c r="B12" s="84"/>
      <c r="C12" s="84"/>
      <c r="D12" s="84"/>
      <c r="E12" s="85"/>
      <c r="F12" s="85"/>
      <c r="G12" s="85"/>
      <c r="H12" s="85"/>
      <c r="I12" s="85"/>
      <c r="J12" s="85"/>
      <c r="K12" s="85"/>
      <c r="L12" s="86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7"/>
    </row>
    <row r="15" spans="1:14" ht="20.100000000000001" customHeight="1" x14ac:dyDescent="0.25">
      <c r="A15" s="96" t="s">
        <v>70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141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7">
        <f>B10</f>
        <v>12</v>
      </c>
      <c r="G16" s="117"/>
      <c r="H16" s="118"/>
      <c r="I16" s="12" t="s">
        <v>74</v>
      </c>
      <c r="J16" s="55"/>
      <c r="K16" s="55"/>
      <c r="L16" s="56"/>
    </row>
    <row r="17" spans="1:12" ht="20.100000000000001" customHeight="1" x14ac:dyDescent="0.25">
      <c r="A17" s="138" t="s">
        <v>148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40"/>
    </row>
    <row r="18" spans="1:12" ht="20.100000000000001" customHeight="1" x14ac:dyDescent="0.25">
      <c r="A18" s="91" t="s">
        <v>2</v>
      </c>
      <c r="B18" s="92"/>
      <c r="C18" s="91" t="s">
        <v>111</v>
      </c>
      <c r="D18" s="92"/>
      <c r="E18" s="91" t="s">
        <v>3</v>
      </c>
      <c r="F18" s="92"/>
      <c r="G18" s="91" t="s">
        <v>4</v>
      </c>
      <c r="H18" s="92"/>
      <c r="I18" s="91" t="s">
        <v>9</v>
      </c>
      <c r="J18" s="92"/>
      <c r="K18" s="91" t="s">
        <v>10</v>
      </c>
      <c r="L18" s="92"/>
    </row>
    <row r="19" spans="1:12" ht="20.100000000000001" customHeight="1" x14ac:dyDescent="0.25">
      <c r="A19" s="93" t="s">
        <v>5</v>
      </c>
      <c r="B19" s="93"/>
      <c r="C19" s="66" t="s">
        <v>115</v>
      </c>
      <c r="D19" s="67"/>
      <c r="E19" s="70"/>
      <c r="F19" s="71"/>
      <c r="G19" s="11" t="s">
        <v>76</v>
      </c>
      <c r="H19" s="35"/>
      <c r="I19" s="79"/>
      <c r="J19" s="80"/>
      <c r="K19" s="79"/>
      <c r="L19" s="80"/>
    </row>
    <row r="20" spans="1:12" ht="20.100000000000001" customHeight="1" x14ac:dyDescent="0.25">
      <c r="A20" s="93" t="s">
        <v>6</v>
      </c>
      <c r="B20" s="93"/>
      <c r="C20" s="66" t="s">
        <v>114</v>
      </c>
      <c r="D20" s="67"/>
      <c r="E20" s="70"/>
      <c r="F20" s="71"/>
      <c r="G20" s="11" t="s">
        <v>77</v>
      </c>
      <c r="H20" s="35"/>
      <c r="I20" s="79"/>
      <c r="J20" s="80"/>
      <c r="K20" s="79"/>
      <c r="L20" s="80"/>
    </row>
    <row r="21" spans="1:12" ht="20.100000000000001" customHeight="1" x14ac:dyDescent="0.25">
      <c r="A21" s="93" t="s">
        <v>7</v>
      </c>
      <c r="B21" s="93"/>
      <c r="C21" s="66" t="s">
        <v>113</v>
      </c>
      <c r="D21" s="67"/>
      <c r="E21" s="70"/>
      <c r="F21" s="71"/>
      <c r="G21" s="11" t="s">
        <v>78</v>
      </c>
      <c r="H21" s="35"/>
      <c r="I21" s="79"/>
      <c r="J21" s="80"/>
      <c r="K21" s="79"/>
      <c r="L21" s="80"/>
    </row>
    <row r="22" spans="1:12" ht="20.100000000000001" customHeight="1" x14ac:dyDescent="0.25">
      <c r="A22" s="93" t="s">
        <v>8</v>
      </c>
      <c r="B22" s="93"/>
      <c r="C22" s="66" t="s">
        <v>112</v>
      </c>
      <c r="D22" s="67"/>
      <c r="E22" s="70"/>
      <c r="F22" s="71"/>
      <c r="G22" s="11" t="s">
        <v>79</v>
      </c>
      <c r="H22" s="35"/>
      <c r="I22" s="79"/>
      <c r="J22" s="80"/>
      <c r="K22" s="79"/>
      <c r="L22" s="80"/>
    </row>
    <row r="23" spans="1:12" ht="20.100000000000001" customHeight="1" x14ac:dyDescent="0.25">
      <c r="A23" s="93" t="s">
        <v>149</v>
      </c>
      <c r="B23" s="93"/>
      <c r="C23" s="66" t="s">
        <v>150</v>
      </c>
      <c r="D23" s="67"/>
      <c r="E23" s="70"/>
      <c r="F23" s="71"/>
      <c r="G23" s="11" t="s">
        <v>80</v>
      </c>
      <c r="H23" s="35"/>
      <c r="I23" s="79"/>
      <c r="J23" s="80"/>
      <c r="K23" s="79"/>
      <c r="L23" s="80"/>
    </row>
    <row r="24" spans="1:12" ht="20.100000000000001" customHeight="1" x14ac:dyDescent="0.25">
      <c r="A24" s="95"/>
      <c r="B24" s="95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8"/>
      <c r="E24" s="75"/>
      <c r="F24" s="76"/>
      <c r="G24" s="11" t="s">
        <v>81</v>
      </c>
      <c r="H24" s="35"/>
      <c r="I24" s="79"/>
      <c r="J24" s="80"/>
      <c r="K24" s="79"/>
      <c r="L24" s="80"/>
    </row>
    <row r="25" spans="1:12" ht="20.100000000000001" customHeight="1" x14ac:dyDescent="0.25">
      <c r="A25" s="95"/>
      <c r="B25" s="95"/>
      <c r="C25" s="68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/>
      </c>
      <c r="D25" s="69"/>
      <c r="E25" s="75"/>
      <c r="F25" s="76"/>
      <c r="G25" s="11" t="s">
        <v>82</v>
      </c>
      <c r="H25" s="35"/>
      <c r="I25" s="79"/>
      <c r="J25" s="80"/>
      <c r="K25" s="79"/>
      <c r="L25" s="80"/>
    </row>
    <row r="26" spans="1:12" ht="20.100000000000001" customHeight="1" x14ac:dyDescent="0.25">
      <c r="A26" s="94" t="s">
        <v>0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7" t="s">
        <v>103</v>
      </c>
      <c r="H27" s="137"/>
      <c r="I27" s="137" t="s">
        <v>102</v>
      </c>
      <c r="J27" s="137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33"/>
      <c r="H28" s="133"/>
      <c r="I28" s="133"/>
      <c r="J28" s="133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33"/>
      <c r="H29" s="133"/>
      <c r="I29" s="133"/>
      <c r="J29" s="133"/>
      <c r="K29" s="6"/>
      <c r="L29" s="27"/>
    </row>
    <row r="30" spans="1:12" ht="20.100000000000001" customHeight="1" x14ac:dyDescent="0.25">
      <c r="A30" s="72" t="s">
        <v>93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8" t="s">
        <v>106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90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44176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44167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DAE77C2-F2DF-4DBF-B7BC-9F69D1851130}"/>
</file>

<file path=customXml/itemProps2.xml><?xml version="1.0" encoding="utf-8"?>
<ds:datastoreItem xmlns:ds="http://schemas.openxmlformats.org/officeDocument/2006/customXml" ds:itemID="{002646D5-E494-479D-8BF1-B8352C72472E}"/>
</file>

<file path=customXml/itemProps3.xml><?xml version="1.0" encoding="utf-8"?>
<ds:datastoreItem xmlns:ds="http://schemas.openxmlformats.org/officeDocument/2006/customXml" ds:itemID="{5443B071-BE96-4241-BA0E-8082347D0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2020-10-22T03:34:23Z</cp:lastPrinted>
  <dcterms:created xsi:type="dcterms:W3CDTF">2019-11-27T23:28:06Z</dcterms:created>
  <dcterms:modified xsi:type="dcterms:W3CDTF">2020-11-11T02:06:08Z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