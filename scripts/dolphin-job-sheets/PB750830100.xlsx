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6CC53D55-2259-4759-BDE6-4B40A823428D}" xr6:coauthVersionLast="47" xr6:coauthVersionMax="47" xr10:uidLastSave="{00000000-0000-0000-0000-000000000000}"/>
  <bookViews>
    <workbookView minimized="1" xWindow="10" yWindow="0" windowWidth="9590" windowHeight="570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<sst xmlns="http://schemas.openxmlformats.org/spreadsheetml/2006/main" count="303" uniqueCount="199">
  <si>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</si>
  <si>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</si>
  <si>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</si>
  <si>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</si>
  <si>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</si>
  <si>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</si>
  <si>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</si>
  <si>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</si>
  <si>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</si>
  <si>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</si>
  <si>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</si>
  <si>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</si>
  <si>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</si>
  <si>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</si>
  <si>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</si>
  <si>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</si>
  <si>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</si>
  <si>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</si>
  <si>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</si>
  <si>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</si>
  <si>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</si>
  <si>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</si>
  <si>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</si>
  <si>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</si>
  <si>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</si>
  <si>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</si>
  <si>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</si>
  <si>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</si>
  <si>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</si>
  <si>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</si>
  <si>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</si>
  <si>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</si>
  <si>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</si>
  <si>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</si>
  <si>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</si>
  <si>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</si>
  <si>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</si>
  <si>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</si>
  <si>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</si>
  <si>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</si>
  <si>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</si>
  <si>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</si>
  <si>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</si>
  <si>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</si>
  <si>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</si>
  <si>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</si>
  <si>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</si>
  <si>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</si>
  <si>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</si>
  <si>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</si>
  <si>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</si>
  <si>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</si>
  <si>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</si>
  <si>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</si>
  <si>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</si>
  <si>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</si>
  <si>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</si>
  <si>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</si>
  <si>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</si>
  <si>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</si>
  <si>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</si>
  <si>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</si>
  <si>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</si>
  <si>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</si>
  <si>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</si>
  <si>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</si>
  <si>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</si>
  <si>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</si>
  <si>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</si>
  <si>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</si>
  <si>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</si>
  <si>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</si>
  <si>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</si>
  <si>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</si>
  <si>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</si>
  <si>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</si>
  <si>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</si>
  <si>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</si>
  <si>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</si>
  <si>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</si>
  <si>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</si>
  <si>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</si>
  <si>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</si>
  <si>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</si>
  <si>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</si>
  <si>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</si>
  <si>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</si>
  <si>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</si>
  <si>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</si>
  <si>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</si>
  <si>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</si>
  <si>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</si>
  <si>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</si>
  <si>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</si>
  <si>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</si>
  <si>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</si>
  <si>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</si>
  <si>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</si>
  <si>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</si>
  <si>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</si>
  <si>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</si>
  <si>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</si>
  <si>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</si>
  <si>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</si>
  <si>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</si>
  <si>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</si>
  <si>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</si>
  <si>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</si>
  <si>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</si>
  <si>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</si>
  <si>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</si>
  <si>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</si>
  <si>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</si>
  <si>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</si>
  <si>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</si>
  <si>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</si>
  <si>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</si>
  <si>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</si>
  <si>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</si>
  <si>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</si>
  <si>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</si>
  <si>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</si>
  <si>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</si>
  <si>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</si>
  <si>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</si>
  <si>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</si>
  <si>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</si>
  <si>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</si>
  <si>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</si>
  <si>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</si>
  <si>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</si>
  <si>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</si>
  <si>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</si>
  <si>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</si>
  <si>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</si>
  <si>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</si>
  <si>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</si>
  <si>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</si>
  <si>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</si>
  <si>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</si>
  <si>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</si>
  <si>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</si>
  <si>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</si>
  <si>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</si>
  <si>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</si>
  <si>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</si>
  <si>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</si>
  <si>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</si>
  <si>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</si>
  <si>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</si>
  <si>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</si>
  <si>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</si>
  <si>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</si>
  <si>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</si>
  <si>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</si>
  <si>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</si>
  <si>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</si>
  <si>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</si>
  <si>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</si>
  <si>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</si>
  <si>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</si>
  <si>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</si>
  <si>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</si>
  <si>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</si>
  <si>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</si>
  <si>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</si>
  <si>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</si>
  <si>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</si>
  <si>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</si>
  <si>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</si>
  <si>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</si>
  <si>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</si>
  <si>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</si>
  <si>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</si>
  <si>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</si>
  <si>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</si>
  <si>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</si>
  <si>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</si>
  <si>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</si>
  <si>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</si>
  <si>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</si>
  <si>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</si>
  <si>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</si>
  <si>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</si>
  <si>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</si>
  <si>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</si>
  <si>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</si>
  <si>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</si>
  <si>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</si>
  <si>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</si>
  <si>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</si>
  <si>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</si>
  <si>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</si>
  <si>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</si>
  <si>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+/-5mm</t>
  </si>
  <si>
    <t>LIMAX</t>
  </si>
  <si>
    <t>NOT UNDER</t>
  </si>
  <si>
    <t>NEW ITEM - MUST HAVE STRONG SEALS /  NO SPLITING - PLEASE CHECK FREQUENTLY</t>
  </si>
  <si>
    <t>NORTHSIDE CLEANING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</si>
</sst>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6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8" fillId="0" borderId="7" xfId="0" applyFont="1" applyBorder="1" applyAlignment="1" applyProtection="1">
      <alignment horizontal="center" vertical="center" wrapText="1"/>
      <protection locked="0"/>
    </xf>
    <xf numFmtId="0" fontId="18" fillId="0" borderId="3" xfId="0" applyFont="1" applyBorder="1" applyAlignment="1" applyProtection="1">
      <alignment horizontal="center" vertical="center" wrapText="1"/>
      <protection locked="0"/>
    </xf>
    <xf numFmtId="0" fontId="18" fillId="0" borderId="8" xfId="0" applyFont="1" applyBorder="1" applyAlignment="1" applyProtection="1">
      <alignment horizontal="center" vertical="center" wrapText="1"/>
      <protection locked="0"/>
    </xf>
    <xf numFmtId="0" fontId="18" fillId="0" borderId="9" xfId="0" applyFont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0" fontId="18" fillId="0" borderId="10" xfId="0" applyFont="1" applyBorder="1" applyAlignment="1" applyProtection="1">
      <alignment horizontal="center" vertical="center" wrapText="1"/>
      <protection locked="0"/>
    </xf>
    <xf numFmtId="0" fontId="18" fillId="0" borderId="11" xfId="0" applyFont="1" applyBorder="1" applyAlignment="1" applyProtection="1">
      <alignment horizontal="center" vertical="center" wrapText="1"/>
      <protection locked="0"/>
    </xf>
    <xf numFmtId="0" fontId="18" fillId="0" borderId="1" xfId="0" applyFont="1" applyBorder="1" applyAlignment="1" applyProtection="1">
      <alignment horizontal="center" vertical="center" wrapText="1"/>
      <protection locked="0"/>
    </xf>
    <xf numFmtId="0" fontId="18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B13" sqref="B13:D13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08" t="str">
        <f>O9&amp;R9&amp;IF(X8="G","G","")&amp;IF(O8="Centrefold Roll","("&amp;E8&amp;")","")&amp;T9&amp;V9&amp;C22&amp;C23&amp;C24&amp;O11&amp;R11</f>
        <v>PB760900150</v>
      </c>
      <c r="C1" s="108"/>
      <c r="D1" s="109"/>
      <c r="E1" s="11" t="s">
        <v>57</v>
      </c>
      <c r="F1" s="119" t="s">
        <v>198</v>
      </c>
      <c r="G1" s="62"/>
      <c r="H1" s="63"/>
      <c r="I1" s="12" t="s">
        <v>181</v>
      </c>
      <c r="J1" s="129">
        <f ca="1">TODAY()</f>
        <v>45915</v>
      </c>
      <c r="K1" s="129"/>
      <c r="L1" s="130"/>
      <c r="M1" s="29"/>
      <c r="N1" s="11" t="s">
        <v>56</v>
      </c>
      <c r="O1" s="108" t="str">
        <f>B1</f>
        <v>PB760900150</v>
      </c>
      <c r="P1" s="108"/>
      <c r="Q1" s="109"/>
      <c r="R1" s="11" t="s">
        <v>57</v>
      </c>
      <c r="S1" s="108" t="str">
        <f>F1</f>
        <v>NORTHSIDE CLEANING</v>
      </c>
      <c r="T1" s="108"/>
      <c r="U1" s="109"/>
      <c r="V1" s="11" t="s">
        <v>181</v>
      </c>
      <c r="W1" s="129">
        <f ca="1">J1</f>
        <v>45915</v>
      </c>
      <c r="X1" s="129"/>
      <c r="Y1" s="130"/>
    </row>
    <row r="2" spans="1:25" ht="20.149999999999999" customHeight="1" x14ac:dyDescent="0.8">
      <c r="A2" s="11" t="s">
        <v>100</v>
      </c>
      <c r="B2" s="108" t="str">
        <f>IF(U10="","",U10)</f>
        <v/>
      </c>
      <c r="C2" s="108"/>
      <c r="D2" s="109"/>
      <c r="E2" s="11" t="s">
        <v>58</v>
      </c>
      <c r="F2" s="62">
        <v>950715</v>
      </c>
      <c r="G2" s="62"/>
      <c r="H2" s="63"/>
      <c r="I2" s="11" t="s">
        <v>59</v>
      </c>
      <c r="J2" s="132">
        <v>45945</v>
      </c>
      <c r="K2" s="62"/>
      <c r="L2" s="63"/>
      <c r="M2" s="29"/>
      <c r="N2" s="11" t="s">
        <v>100</v>
      </c>
      <c r="O2" s="108" t="str">
        <f>IF(B2="","",B2)</f>
        <v/>
      </c>
      <c r="P2" s="108"/>
      <c r="Q2" s="109"/>
      <c r="R2" s="11" t="s">
        <v>58</v>
      </c>
      <c r="S2" s="108">
        <f>IF(F2="","",F2)</f>
        <v>950715</v>
      </c>
      <c r="T2" s="108"/>
      <c r="U2" s="109"/>
      <c r="V2" s="11" t="s">
        <v>59</v>
      </c>
      <c r="W2" s="131">
        <f>J2</f>
        <v>45945</v>
      </c>
      <c r="X2" s="108"/>
      <c r="Y2" s="109"/>
    </row>
    <row r="3" spans="1:25" ht="20.149999999999999" customHeight="1" x14ac:dyDescent="0.75">
      <c r="A3" s="110" t="s">
        <v>197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9"/>
      <c r="N3" s="120" t="str">
        <f>A3</f>
        <v>NEW ITEM - MUST HAVE STRONG SEALS /  NO SPLITING - PLEASE CHECK FREQUENTLY</v>
      </c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2"/>
    </row>
    <row r="4" spans="1:25" ht="20.149999999999999" customHeight="1" x14ac:dyDescent="0.7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9"/>
      <c r="N4" s="123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5"/>
    </row>
    <row r="5" spans="1:25" ht="20.149999999999999" customHeight="1" x14ac:dyDescent="0.7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9"/>
      <c r="N5" s="126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8"/>
    </row>
    <row r="6" spans="1:25" ht="20.149999999999999" customHeight="1" x14ac:dyDescent="0.75">
      <c r="A6" s="133" t="s">
        <v>2</v>
      </c>
      <c r="B6" s="134"/>
      <c r="C6" s="134"/>
      <c r="D6" s="134"/>
      <c r="E6" s="134"/>
      <c r="F6" s="134"/>
      <c r="G6" s="134"/>
      <c r="H6" s="134"/>
      <c r="I6" s="134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1" t="s">
        <v>49</v>
      </c>
      <c r="B7" s="100" t="s">
        <v>163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20</v>
      </c>
      <c r="P7" s="63"/>
      <c r="Q7" s="11" t="str">
        <f>IF(ISNUMBER(SEARCH("roll",O8,1)),"Per Roll","Per Carton")</f>
        <v>Per Carton</v>
      </c>
      <c r="R7" s="62">
        <v>50</v>
      </c>
      <c r="S7" s="63"/>
      <c r="T7" s="11" t="str">
        <f>IF(ISNUMBER(SEARCH("bag",O8,1)),"Total Bags","Total Sheets")</f>
        <v>Total Bags</v>
      </c>
      <c r="U7" s="108">
        <f>R7*O7</f>
        <v>1000</v>
      </c>
      <c r="V7" s="109"/>
      <c r="W7" s="11" t="s">
        <v>102</v>
      </c>
      <c r="X7" s="62" t="s">
        <v>23</v>
      </c>
      <c r="Y7" s="63"/>
    </row>
    <row r="8" spans="1:25" ht="20.149999999999999" customHeight="1" x14ac:dyDescent="0.8">
      <c r="A8" s="13" t="s">
        <v>16</v>
      </c>
      <c r="B8" s="96">
        <f>R9</f>
        <v>760</v>
      </c>
      <c r="C8" s="97"/>
      <c r="D8" s="27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3" t="s">
        <v>52</v>
      </c>
      <c r="H8" s="96">
        <f>(IF(V9&lt;30,"30",V9))</f>
        <v>150</v>
      </c>
      <c r="I8" s="97"/>
      <c r="J8" s="11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9"/>
      <c r="N8" s="14" t="s">
        <v>54</v>
      </c>
      <c r="O8" s="98" t="s">
        <v>164</v>
      </c>
      <c r="P8" s="99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49999999999999" customHeight="1" x14ac:dyDescent="0.9">
      <c r="A9" s="16" t="s">
        <v>48</v>
      </c>
      <c r="B9" s="135" t="s">
        <v>194</v>
      </c>
      <c r="C9" s="136"/>
      <c r="D9" s="143" t="str">
        <f>IF(K10="Middle","RUN 2 UP",IF(AND(O8="Centrefold Roll",B8=380),"RUN 2 UP",""))</f>
        <v/>
      </c>
      <c r="E9" s="100"/>
      <c r="F9" s="101"/>
      <c r="G9" s="16" t="s">
        <v>48</v>
      </c>
      <c r="H9" s="135" t="s">
        <v>196</v>
      </c>
      <c r="I9" s="136"/>
      <c r="J9" s="11" t="s">
        <v>55</v>
      </c>
      <c r="K9" s="62" t="s">
        <v>30</v>
      </c>
      <c r="L9" s="63"/>
      <c r="M9" s="29"/>
      <c r="N9" s="17"/>
      <c r="O9" s="102" t="str">
        <f>IF(O8="Poly Bag","PB",IF(O8="Poly Bag Roll","PBR",IF(O8="Centrefold Roll","CFR",IF(O8="Sheet","S",IF(O8="Sheet Roll","SR")))))</f>
        <v>PB</v>
      </c>
      <c r="P9" s="103"/>
      <c r="Q9" s="17"/>
      <c r="R9" s="30">
        <v>760</v>
      </c>
      <c r="S9" s="18" t="s">
        <v>78</v>
      </c>
      <c r="T9" s="30">
        <v>900</v>
      </c>
      <c r="U9" s="18" t="s">
        <v>78</v>
      </c>
      <c r="V9" s="30">
        <v>150</v>
      </c>
      <c r="W9" s="17"/>
      <c r="X9" s="88"/>
      <c r="Y9" s="89"/>
    </row>
    <row r="10" spans="1:25" ht="20.149999999999999" customHeight="1" x14ac:dyDescent="0.8">
      <c r="A10" s="11" t="s">
        <v>51</v>
      </c>
      <c r="B10" s="62">
        <v>5</v>
      </c>
      <c r="C10" s="63"/>
      <c r="D10" s="47" t="s">
        <v>134</v>
      </c>
      <c r="E10" s="137">
        <f>IF(ISNUMBER(SEARCH("sheet",O8,1)),((R9*T9*H8/540000)*U7/2000*1.3),((R9*T9*H8/540000)*U7/1000*1.08))</f>
        <v>205.20000000000002</v>
      </c>
      <c r="F10" s="138"/>
      <c r="G10" s="11" t="s">
        <v>53</v>
      </c>
      <c r="H10" s="141">
        <f>IF(ISNUMBER(SEARCH("sheet",O8,1)),(U7*T9/2000*1.08),(U7*T9/1000*1.08))</f>
        <v>972.00000000000011</v>
      </c>
      <c r="I10" s="142"/>
      <c r="J10" s="11" t="s">
        <v>41</v>
      </c>
      <c r="K10" s="62" t="s">
        <v>44</v>
      </c>
      <c r="L10" s="63"/>
      <c r="M10" s="29"/>
      <c r="N10" s="14" t="s">
        <v>141</v>
      </c>
      <c r="O10" s="98" t="s">
        <v>44</v>
      </c>
      <c r="P10" s="99"/>
      <c r="Q10" s="14" t="s">
        <v>50</v>
      </c>
      <c r="R10" s="94" t="str">
        <f>IF(K11="NONE","None",IF(K11="INLINE","Yes",IF(K11="OUT OF LINE","Yes")))</f>
        <v>None</v>
      </c>
      <c r="S10" s="94"/>
      <c r="T10" s="14" t="s">
        <v>100</v>
      </c>
      <c r="U10" s="104"/>
      <c r="V10" s="104"/>
      <c r="W10" s="104"/>
      <c r="X10" s="104"/>
      <c r="Y10" s="105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1" t="s">
        <v>135</v>
      </c>
      <c r="E11" s="139">
        <f>E10/B10</f>
        <v>41.040000000000006</v>
      </c>
      <c r="F11" s="140"/>
      <c r="G11" s="11" t="s">
        <v>15</v>
      </c>
      <c r="H11" s="139">
        <f>H10/B10</f>
        <v>194.40000000000003</v>
      </c>
      <c r="I11" s="140"/>
      <c r="J11" s="11" t="s">
        <v>50</v>
      </c>
      <c r="K11" s="62" t="s">
        <v>44</v>
      </c>
      <c r="L11" s="63"/>
      <c r="M11" s="29"/>
      <c r="N11" s="13"/>
      <c r="O11" s="96" t="str">
        <f>IF(O10="NONE","","V")</f>
        <v/>
      </c>
      <c r="P11" s="97"/>
      <c r="Q11" s="13"/>
      <c r="R11" s="96" t="str">
        <f>IF(R10="None","","P")</f>
        <v/>
      </c>
      <c r="S11" s="97"/>
      <c r="T11" s="13"/>
      <c r="U11" s="106"/>
      <c r="V11" s="106"/>
      <c r="W11" s="106"/>
      <c r="X11" s="106"/>
      <c r="Y11" s="107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20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56" t="s">
        <v>4</v>
      </c>
      <c r="F16" s="156"/>
      <c r="G16" s="156" t="s">
        <v>5</v>
      </c>
      <c r="H16" s="156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>
        <v>180</v>
      </c>
      <c r="P16" s="63"/>
      <c r="Q16" s="11" t="s">
        <v>105</v>
      </c>
      <c r="R16" s="62" t="s">
        <v>31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2" t="s">
        <v>147</v>
      </c>
      <c r="D17" s="93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35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31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61" t="s">
        <v>7</v>
      </c>
      <c r="B18" s="61"/>
      <c r="C18" s="92" t="s">
        <v>146</v>
      </c>
      <c r="D18" s="93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2" t="s">
        <v>145</v>
      </c>
      <c r="D19" s="93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2" t="s">
        <v>144</v>
      </c>
      <c r="D20" s="93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2" t="s">
        <v>143</v>
      </c>
      <c r="D21" s="93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/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3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57"/>
      <c r="B23" s="157"/>
      <c r="C23" s="92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3"/>
      <c r="E23" s="59"/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58"/>
      <c r="B24" s="159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195</v>
      </c>
      <c r="P25" s="34"/>
      <c r="Q25" s="10">
        <v>24</v>
      </c>
      <c r="R25" s="10"/>
      <c r="S25" s="10"/>
      <c r="T25" s="10"/>
      <c r="U25" s="10">
        <v>4</v>
      </c>
      <c r="V25" s="10"/>
      <c r="W25" s="10">
        <v>17</v>
      </c>
      <c r="X25" s="10">
        <v>12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1" t="s">
        <v>132</v>
      </c>
      <c r="H26" s="91"/>
      <c r="I26" s="91" t="s">
        <v>131</v>
      </c>
      <c r="J26" s="91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90"/>
      <c r="H27" s="90"/>
      <c r="I27" s="90"/>
      <c r="J27" s="90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90"/>
      <c r="H28" s="90"/>
      <c r="I28" s="90"/>
      <c r="J28" s="9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144" t="s">
        <v>116</v>
      </c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6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147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9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150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2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53" t="s">
        <v>136</v>
      </c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5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45945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45936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3C7359B4-894D-4EF5-AE82-80971D5E08F4}"/>
</file>

<file path=customXml/itemProps2.xml><?xml version="1.0" encoding="utf-8"?>
<ds:datastoreItem xmlns:ds="http://schemas.openxmlformats.org/officeDocument/2006/customXml" ds:itemID="{AECF2BA6-5D51-4E0D-83D4-0873F0234D6F}"/>
</file>

<file path=customXml/itemProps3.xml><?xml version="1.0" encoding="utf-8"?>
<ds:datastoreItem xmlns:ds="http://schemas.openxmlformats.org/officeDocument/2006/customXml" ds:itemID="{90B8210F-E0F4-46C6-A504-0858DB993C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2025-09-15T03:11:14Z</cp:lastPrinted>
  <dcterms:created xsi:type="dcterms:W3CDTF">2019-11-27T23:28:06Z</dcterms:created>
  <dcterms:modified xsi:type="dcterms:W3CDTF">2025-09-19T00:06:02Z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