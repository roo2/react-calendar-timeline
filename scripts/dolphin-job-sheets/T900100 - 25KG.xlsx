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EFCF692-304C-4947-8871-2E7477B8C3F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E8" i="1"/>
  <c r="D8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A4" i="2" l="1"/>
  <c r="A5" i="2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<sst xmlns="http://schemas.openxmlformats.org/spreadsheetml/2006/main" count="228" uniqueCount="169">
  <si>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</si>
  <si>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</si>
  <si>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</si>
  <si>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</si>
  <si>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</si>
  <si>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</si>
  <si>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</si>
  <si>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</si>
  <si>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</si>
  <si>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</si>
  <si>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</si>
  <si>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</si>
  <si>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</si>
  <si>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</si>
  <si>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</si>
  <si>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</si>
  <si>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</si>
  <si>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</si>
  <si>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</si>
  <si>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</si>
  <si>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</si>
  <si>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</si>
  <si>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</si>
  <si>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</si>
  <si>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</si>
  <si>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</si>
  <si>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</si>
  <si>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</si>
  <si>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</si>
  <si>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</si>
  <si>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</si>
  <si>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</si>
  <si>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</si>
  <si>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</si>
  <si>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</si>
  <si>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</si>
  <si>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</si>
  <si>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</si>
  <si>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</si>
  <si>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</si>
  <si>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</si>
  <si>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</si>
  <si>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</si>
  <si>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</si>
  <si>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</si>
  <si>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</si>
  <si>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</si>
  <si>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</si>
  <si>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</si>
  <si>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</si>
  <si>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</si>
  <si>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</si>
  <si>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</si>
  <si>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</si>
  <si>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</si>
  <si>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</si>
  <si>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</si>
  <si>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</si>
  <si>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</si>
  <si>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</si>
  <si>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</si>
  <si>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</si>
  <si>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</si>
  <si>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</si>
  <si>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</si>
  <si>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</si>
  <si>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</si>
  <si>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</si>
  <si>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</si>
  <si>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</si>
  <si>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</si>
  <si>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</si>
  <si>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</si>
  <si>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</si>
  <si>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</si>
  <si>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</si>
  <si>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</si>
  <si>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</si>
  <si>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</si>
  <si>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</si>
  <si>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</si>
  <si>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</si>
  <si>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</si>
  <si>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</si>
  <si>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</si>
  <si>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</si>
  <si>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</si>
  <si>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</si>
  <si>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</si>
  <si>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</si>
  <si>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</si>
  <si>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</si>
  <si>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</si>
  <si>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</si>
  <si>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</si>
  <si>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</si>
  <si>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</si>
  <si>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</si>
  <si>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</si>
  <si>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</si>
  <si>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</si>
  <si>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</si>
  <si>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</si>
  <si>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</si>
  <si>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</si>
  <si>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</si>
  <si>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</si>
  <si>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</si>
  <si>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</si>
  <si>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</si>
  <si>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</si>
  <si>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</si>
  <si>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</si>
  <si>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</si>
  <si>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</si>
  <si>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</si>
  <si>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</si>
  <si>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</si>
  <si>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</si>
  <si>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</si>
  <si>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</si>
  <si>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</si>
  <si>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</si>
  <si>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</si>
  <si>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</si>
  <si>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</si>
  <si>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</si>
  <si>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</si>
  <si>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</si>
  <si>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</si>
  <si>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</si>
  <si>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</si>
  <si>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</si>
  <si>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</si>
  <si>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</si>
  <si>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</si>
  <si>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</si>
  <si>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</si>
  <si>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</si>
  <si>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</si>
  <si>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</si>
  <si>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</si>
  <si>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</si>
  <si>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</si>
  <si>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</si>
  <si>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</si>
  <si>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</si>
  <si>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</si>
  <si>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</si>
  <si>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</si>
  <si>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</si>
  <si>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</si>
  <si>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</si>
  <si>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</si>
  <si>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</si>
  <si>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</si>
  <si>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</si>
  <si>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</si>
  <si>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</si>
  <si>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</si>
  <si>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</si>
  <si>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</si>
  <si>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</si>
  <si>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</si>
  <si>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NOT OVER</t>
  </si>
  <si>
    <t>04.07.2022</t>
  </si>
  <si>
    <t>ANTI BLOCK</t>
  </si>
  <si>
    <t>#65</t>
  </si>
  <si>
    <t xml:space="preserve">KENNARDS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</si>
</sst>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5" sqref="Q5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T900150FALSE</v>
      </c>
      <c r="C1" s="101"/>
      <c r="D1" s="102"/>
      <c r="E1" s="10" t="s">
        <v>55</v>
      </c>
      <c r="F1" s="46" t="s">
        <v>168</v>
      </c>
      <c r="G1" s="46"/>
      <c r="H1" s="47"/>
      <c r="I1" s="10" t="s">
        <v>147</v>
      </c>
      <c r="J1" s="112" t="s">
        <v>165</v>
      </c>
      <c r="K1" s="112"/>
      <c r="L1" s="113"/>
    </row>
    <row r="2" spans="1:14" ht="20.149999999999999" customHeight="1" x14ac:dyDescent="0.8">
      <c r="A2" s="10" t="s">
        <v>94</v>
      </c>
      <c r="B2" s="92" t="str">
        <f>IF(B7="Tube",(ROUNDUP(E11,0)&amp;"KG"),(ROUNDUP(H11,0)&amp;"M"))</f>
        <v>25KG</v>
      </c>
      <c r="C2" s="92"/>
      <c r="D2" s="93"/>
      <c r="E2" s="10" t="s">
        <v>56</v>
      </c>
      <c r="F2" s="46">
        <v>950848</v>
      </c>
      <c r="G2" s="46"/>
      <c r="H2" s="47"/>
      <c r="I2" s="10" t="s">
        <v>57</v>
      </c>
      <c r="J2" s="114" t="s">
        <v>161</v>
      </c>
      <c r="K2" s="114"/>
      <c r="L2" s="115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0" t="s">
        <v>157</v>
      </c>
      <c r="B7" s="46" t="s">
        <v>158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1" t="s">
        <v>14</v>
      </c>
      <c r="B8" s="68">
        <v>900</v>
      </c>
      <c r="C8" s="69"/>
      <c r="D8" s="11" t="str">
        <f>IF(B7="Tube","Gusset","Centrefold")</f>
        <v>Gusset</v>
      </c>
      <c r="E8" s="97" t="str">
        <f>IF(B7="Cont Centrefold",B8*2,"")</f>
        <v/>
      </c>
      <c r="F8" s="98"/>
      <c r="G8" s="11" t="s">
        <v>50</v>
      </c>
      <c r="H8" s="68">
        <v>150</v>
      </c>
      <c r="I8" s="69"/>
      <c r="J8" s="10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2" t="s">
        <v>46</v>
      </c>
      <c r="B9" s="84" t="s">
        <v>163</v>
      </c>
      <c r="C9" s="85"/>
      <c r="D9" s="117" t="str">
        <f>IF(K10="Middle","RUN 2 UP",IF(AND(B7="Cont Centrefold",B8=380),"RUN 2 UP",""))</f>
        <v/>
      </c>
      <c r="E9" s="118"/>
      <c r="F9" s="119"/>
      <c r="G9" s="12" t="s">
        <v>46</v>
      </c>
      <c r="H9" s="84" t="s">
        <v>164</v>
      </c>
      <c r="I9" s="85"/>
      <c r="J9" s="10" t="s">
        <v>53</v>
      </c>
      <c r="K9" s="46" t="s">
        <v>28</v>
      </c>
      <c r="L9" s="47"/>
    </row>
    <row r="10" spans="1:14" ht="20.149999999999999" customHeight="1" x14ac:dyDescent="0.8">
      <c r="A10" s="10" t="s">
        <v>49</v>
      </c>
      <c r="B10" s="46">
        <v>6</v>
      </c>
      <c r="C10" s="47"/>
      <c r="D10" s="35" t="s">
        <v>104</v>
      </c>
      <c r="E10" s="88">
        <f>E11*B10</f>
        <v>150</v>
      </c>
      <c r="F10" s="89"/>
      <c r="G10" s="10" t="s">
        <v>51</v>
      </c>
      <c r="H10" s="92">
        <f>H11*B10</f>
        <v>600</v>
      </c>
      <c r="I10" s="93"/>
      <c r="J10" s="10" t="s">
        <v>39</v>
      </c>
      <c r="K10" s="46" t="s">
        <v>42</v>
      </c>
      <c r="L10" s="47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0">
        <v>25</v>
      </c>
      <c r="F11" s="91"/>
      <c r="G11" s="41" t="s">
        <v>13</v>
      </c>
      <c r="H11" s="94">
        <f>E11*540000/B8/H8</f>
        <v>100</v>
      </c>
      <c r="I11" s="95"/>
      <c r="J11" s="41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49999999999999" customHeight="1" x14ac:dyDescent="0.9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1"/>
    </row>
    <row r="16" spans="1:14" ht="20.149999999999999" customHeight="1" x14ac:dyDescent="0.8">
      <c r="A16" s="10" t="s">
        <v>71</v>
      </c>
      <c r="B16" s="46" t="s">
        <v>75</v>
      </c>
      <c r="C16" s="46"/>
      <c r="D16" s="47"/>
      <c r="E16" s="10" t="s">
        <v>72</v>
      </c>
      <c r="F16" s="101">
        <f>B10</f>
        <v>6</v>
      </c>
      <c r="G16" s="101"/>
      <c r="H16" s="102"/>
      <c r="I16" s="10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9" t="s">
        <v>81</v>
      </c>
      <c r="H24" s="30"/>
      <c r="I24" s="66"/>
      <c r="J24" s="67"/>
      <c r="K24" s="66"/>
      <c r="L24" s="67"/>
    </row>
    <row r="25" spans="1:12" ht="20.149999999999999" customHeight="1" x14ac:dyDescent="0.75">
      <c r="A25" s="78" t="s">
        <v>166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9" t="s">
        <v>82</v>
      </c>
      <c r="H25" s="30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20" t="s">
        <v>103</v>
      </c>
      <c r="H27" s="120"/>
      <c r="I27" s="120" t="s">
        <v>102</v>
      </c>
      <c r="J27" s="12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167</v>
      </c>
      <c r="C28" s="6"/>
      <c r="D28" s="22">
        <v>86</v>
      </c>
      <c r="E28" s="44">
        <v>2.6</v>
      </c>
      <c r="F28" s="6"/>
      <c r="G28" s="116"/>
      <c r="H28" s="116"/>
      <c r="I28" s="116"/>
      <c r="J28" s="116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116"/>
      <c r="H29" s="116"/>
      <c r="I29" s="116"/>
      <c r="J29" s="116"/>
      <c r="K29" s="6"/>
      <c r="L29" s="22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 t="e">
        <f>DATE(YEAR(Sheet1!J1),MONTH(Sheet1!J1)+1,DAY(Sheet1!J1))</f>
        <v>#VALUE!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 t="e">
        <f>DATE(YEAR(Sheet1!J1),MONTH(Sheet1!J1),DAY(Sheet1!J1)+21)</f>
        <v>#VALUE!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4C355A1-6603-435A-BFA9-3A8E21581AE5}"/>
</file>

<file path=customXml/itemProps2.xml><?xml version="1.0" encoding="utf-8"?>
<ds:datastoreItem xmlns:ds="http://schemas.openxmlformats.org/officeDocument/2006/customXml" ds:itemID="{5E5E8F45-701A-4280-B8B6-1E62206D847C}"/>
</file>

<file path=customXml/itemProps3.xml><?xml version="1.0" encoding="utf-8"?>
<ds:datastoreItem xmlns:ds="http://schemas.openxmlformats.org/officeDocument/2006/customXml" ds:itemID="{D379C70D-466E-49EF-9E68-D4B8645A5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2025-10-02T00:54:07Z</cp:lastPrinted>
  <dcterms:created xsi:type="dcterms:W3CDTF">2019-11-27T23:28:06Z</dcterms:created>
  <dcterms:modified xsi:type="dcterms:W3CDTF">2025-10-02T01:32:15Z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