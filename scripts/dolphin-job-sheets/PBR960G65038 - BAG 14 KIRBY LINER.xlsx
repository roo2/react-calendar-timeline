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6644500-29AC-44BA-B32A-4A9916AD398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<sst xmlns="http://schemas.openxmlformats.org/spreadsheetml/2006/main" count="303" uniqueCount="200">
  <si>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</si>
  <si>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</si>
  <si>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</si>
  <si>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</si>
  <si>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</si>
  <si>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</si>
  <si>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</si>
  <si>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</si>
  <si>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</si>
  <si>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</si>
  <si>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</si>
  <si>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</si>
  <si>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</si>
  <si>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</si>
  <si>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</si>
  <si>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</si>
  <si>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</si>
  <si>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</si>
  <si>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</si>
  <si>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</si>
  <si>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</si>
  <si>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</si>
  <si>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</si>
  <si>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</si>
  <si>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</si>
  <si>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</si>
  <si>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</si>
  <si>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</si>
  <si>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</si>
  <si>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</si>
  <si>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</si>
  <si>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</si>
  <si>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</si>
  <si>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</si>
  <si>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</si>
  <si>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</si>
  <si>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</si>
  <si>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</si>
  <si>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</si>
  <si>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</si>
  <si>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</si>
  <si>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</si>
  <si>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</si>
  <si>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</si>
  <si>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</si>
  <si>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</si>
  <si>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</si>
  <si>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</si>
  <si>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</si>
  <si>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</si>
  <si>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</si>
  <si>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</si>
  <si>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</si>
  <si>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</si>
  <si>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</si>
  <si>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</si>
  <si>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</si>
  <si>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</si>
  <si>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</si>
  <si>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</si>
  <si>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</si>
  <si>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</si>
  <si>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</si>
  <si>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</si>
  <si>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</si>
  <si>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</si>
  <si>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</si>
  <si>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</si>
  <si>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</si>
  <si>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</si>
  <si>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</si>
  <si>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</si>
  <si>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</si>
  <si>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</si>
  <si>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</si>
  <si>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</si>
  <si>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</si>
  <si>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</si>
  <si>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</si>
  <si>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</si>
  <si>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</si>
  <si>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</si>
  <si>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</si>
  <si>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</si>
  <si>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</si>
  <si>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</si>
  <si>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</si>
  <si>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</si>
  <si>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</si>
  <si>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</si>
  <si>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</si>
  <si>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</si>
  <si>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</si>
  <si>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</si>
  <si>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</si>
  <si>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</si>
  <si>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</si>
  <si>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</si>
  <si>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</si>
  <si>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</si>
  <si>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</si>
  <si>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</si>
  <si>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</si>
  <si>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</si>
  <si>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</si>
  <si>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</si>
  <si>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</si>
  <si>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</si>
  <si>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</si>
  <si>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</si>
  <si>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</si>
  <si>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</si>
  <si>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</si>
  <si>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</si>
  <si>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</si>
  <si>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</si>
  <si>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</si>
  <si>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</si>
  <si>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</si>
  <si>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</si>
  <si>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</si>
  <si>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</si>
  <si>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</si>
  <si>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</si>
  <si>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</si>
  <si>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</si>
  <si>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</si>
  <si>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</si>
  <si>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</si>
  <si>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</si>
  <si>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</si>
  <si>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</si>
  <si>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</si>
  <si>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</si>
  <si>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</si>
  <si>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</si>
  <si>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</si>
  <si>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</si>
  <si>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</si>
  <si>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</si>
  <si>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</si>
  <si>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</si>
  <si>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</si>
  <si>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</si>
  <si>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</si>
  <si>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</si>
  <si>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</si>
  <si>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</si>
  <si>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</si>
  <si>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</si>
  <si>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</si>
  <si>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</si>
  <si>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</si>
  <si>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</si>
  <si>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</si>
  <si>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</si>
  <si>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</si>
  <si>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</si>
  <si>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</si>
  <si>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</si>
  <si>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</si>
  <si>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</si>
  <si>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</si>
  <si>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</si>
  <si>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</si>
  <si>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</si>
  <si>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</si>
  <si>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</si>
  <si>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</si>
  <si>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</si>
  <si>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</si>
  <si>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</si>
  <si>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</si>
  <si>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</si>
  <si>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</si>
  <si>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</si>
  <si>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</si>
  <si>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</si>
  <si>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</si>
  <si>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</si>
  <si>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</si>
  <si>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</si>
  <si>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</si>
  <si>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</si>
  <si>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</si>
  <si>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</si>
  <si>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</si>
  <si>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</si>
  <si>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</si>
  <si>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</si>
  <si>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</si>
  <si>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</si>
  <si>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</si>
  <si>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</si>
  <si>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(555+405)</t>
  </si>
  <si>
    <t xml:space="preserve"> +/- 5mm</t>
  </si>
  <si>
    <t>NOT OVER</t>
  </si>
  <si>
    <t>BAG 14 KIRBY LINER</t>
  </si>
  <si>
    <t>PERF INLINE - MUST HAVE WATER TIGHT SEALS  RUN AT 35UM!!</t>
  </si>
  <si>
    <t>DECKSTORE  &amp; BOWEN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</si>
</sst>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PBR960G65038</v>
      </c>
      <c r="C1" s="95"/>
      <c r="D1" s="96"/>
      <c r="E1" s="16" t="s">
        <v>56</v>
      </c>
      <c r="F1" s="61" t="s">
        <v>199</v>
      </c>
      <c r="G1" s="61"/>
      <c r="H1" s="62"/>
      <c r="I1" s="16" t="s">
        <v>180</v>
      </c>
      <c r="J1" s="106">
        <f ca="1">TODAY()</f>
        <v>44831</v>
      </c>
      <c r="K1" s="106"/>
      <c r="L1" s="107"/>
      <c r="M1" s="30"/>
      <c r="N1" s="16" t="s">
        <v>55</v>
      </c>
      <c r="O1" s="95" t="str">
        <f>B1</f>
        <v>PBR960G65038</v>
      </c>
      <c r="P1" s="95"/>
      <c r="Q1" s="96"/>
      <c r="R1" s="16" t="s">
        <v>56</v>
      </c>
      <c r="S1" s="95" t="str">
        <f>F1</f>
        <v>DECKSTORE  &amp; BOWEN</v>
      </c>
      <c r="T1" s="95"/>
      <c r="U1" s="96"/>
      <c r="V1" s="16" t="s">
        <v>180</v>
      </c>
      <c r="W1" s="106">
        <f ca="1">J1</f>
        <v>44831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>BAG 14 KIRBY LINER</v>
      </c>
      <c r="C2" s="95"/>
      <c r="D2" s="96"/>
      <c r="E2" s="16" t="s">
        <v>57</v>
      </c>
      <c r="F2" s="61">
        <v>942449</v>
      </c>
      <c r="G2" s="61"/>
      <c r="H2" s="62"/>
      <c r="I2" s="16" t="s">
        <v>58</v>
      </c>
      <c r="J2" s="116" t="s">
        <v>192</v>
      </c>
      <c r="K2" s="61"/>
      <c r="L2" s="62"/>
      <c r="M2" s="30"/>
      <c r="N2" s="16" t="s">
        <v>99</v>
      </c>
      <c r="O2" s="95" t="str">
        <f>IF(B2="","",B2)</f>
        <v>BAG 14 KIRBY LINER</v>
      </c>
      <c r="P2" s="95"/>
      <c r="Q2" s="96"/>
      <c r="R2" s="16" t="s">
        <v>57</v>
      </c>
      <c r="S2" s="95">
        <f>IF(F2="","",F2)</f>
        <v>942449</v>
      </c>
      <c r="T2" s="95"/>
      <c r="U2" s="96"/>
      <c r="V2" s="16" t="s">
        <v>58</v>
      </c>
      <c r="W2" s="108" t="str">
        <f>J2</f>
        <v>ASAP</v>
      </c>
      <c r="X2" s="95"/>
      <c r="Y2" s="96"/>
    </row>
    <row r="3" spans="1:25" ht="20.149999999999999" customHeight="1" x14ac:dyDescent="0.75">
      <c r="A3" s="97" t="s">
        <v>198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PERF INLINE - MUST HAVE WATER TIGHT SEALS  RUN AT 35UM!!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70</v>
      </c>
      <c r="P7" s="62"/>
      <c r="Q7" s="16" t="str">
        <f>IF(ISNUMBER(SEARCH("roll",O8,1)),"Per Roll","Per Carton")</f>
        <v>Per Roll</v>
      </c>
      <c r="R7" s="61">
        <v>500</v>
      </c>
      <c r="S7" s="62"/>
      <c r="T7" s="16" t="str">
        <f>IF(ISNUMBER(SEARCH("bag",O8,1)),"Total Bags","Total Sheets")</f>
        <v>Total Bags</v>
      </c>
      <c r="U7" s="95">
        <f>R7*O7</f>
        <v>35000</v>
      </c>
      <c r="V7" s="96"/>
      <c r="W7" s="16" t="s">
        <v>101</v>
      </c>
      <c r="X7" s="61" t="s">
        <v>30</v>
      </c>
      <c r="Y7" s="62"/>
    </row>
    <row r="8" spans="1:25" ht="20.149999999999999" customHeight="1" x14ac:dyDescent="0.8">
      <c r="A8" s="17" t="s">
        <v>15</v>
      </c>
      <c r="B8" s="114">
        <f>R9</f>
        <v>960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(555+405)</v>
      </c>
      <c r="F8" s="115"/>
      <c r="G8" s="17" t="s">
        <v>51</v>
      </c>
      <c r="H8" s="114">
        <f>(IF(V9&lt;30,"30",V9))</f>
        <v>38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30"/>
      <c r="N8" s="18" t="s">
        <v>53</v>
      </c>
      <c r="O8" s="123" t="s">
        <v>164</v>
      </c>
      <c r="P8" s="12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49999999999999" customHeight="1" x14ac:dyDescent="0.9">
      <c r="A9" s="21" t="s">
        <v>47</v>
      </c>
      <c r="B9" s="129" t="s">
        <v>195</v>
      </c>
      <c r="C9" s="130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9" t="s">
        <v>196</v>
      </c>
      <c r="I9" s="130"/>
      <c r="J9" s="16" t="s">
        <v>54</v>
      </c>
      <c r="K9" s="61" t="s">
        <v>33</v>
      </c>
      <c r="L9" s="62"/>
      <c r="M9" s="30"/>
      <c r="N9" s="22"/>
      <c r="O9" s="137" t="str">
        <f>IF(O8="Poly Bag","PB",IF(O8="Poly Bag Roll","PBR",IF(O8="Centrefold Roll","CFR",IF(O8="Sheet","S",IF(O8="Sheet Roll","SR")))))</f>
        <v>PBR</v>
      </c>
      <c r="P9" s="138"/>
      <c r="Q9" s="22"/>
      <c r="R9" s="31">
        <v>960</v>
      </c>
      <c r="S9" s="23" t="s">
        <v>77</v>
      </c>
      <c r="T9" s="31">
        <v>650</v>
      </c>
      <c r="U9" s="23" t="s">
        <v>77</v>
      </c>
      <c r="V9" s="31">
        <v>38</v>
      </c>
      <c r="W9" s="22"/>
      <c r="X9" s="121" t="s">
        <v>194</v>
      </c>
      <c r="Y9" s="122"/>
    </row>
    <row r="10" spans="1:25" ht="20.149999999999999" customHeight="1" x14ac:dyDescent="0.8">
      <c r="A10" s="16" t="s">
        <v>50</v>
      </c>
      <c r="B10" s="61">
        <v>70</v>
      </c>
      <c r="C10" s="62"/>
      <c r="D10" s="49" t="s">
        <v>133</v>
      </c>
      <c r="E10" s="131">
        <f>IF(ISNUMBER(SEARCH("sheet",O8,1)),((R9*T9*H8/540000)*U7/2000*1.3),((R9*T9*H8/540000)*U7/1000*1.08))</f>
        <v>1659.8400000000001</v>
      </c>
      <c r="F10" s="132"/>
      <c r="G10" s="16" t="s">
        <v>52</v>
      </c>
      <c r="H10" s="135">
        <f>IF(ISNUMBER(SEARCH("sheet",O8,1)),(U7*T9/2000*1.08),(U7*T9/1000*1.08))</f>
        <v>24570</v>
      </c>
      <c r="I10" s="136"/>
      <c r="J10" s="16" t="s">
        <v>40</v>
      </c>
      <c r="K10" s="61" t="s">
        <v>43</v>
      </c>
      <c r="L10" s="62"/>
      <c r="M10" s="30"/>
      <c r="N10" s="18" t="s">
        <v>140</v>
      </c>
      <c r="O10" s="123" t="s">
        <v>43</v>
      </c>
      <c r="P10" s="124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17" t="s">
        <v>197</v>
      </c>
      <c r="V10" s="117"/>
      <c r="W10" s="117"/>
      <c r="X10" s="117"/>
      <c r="Y10" s="118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33">
        <f>E10/B10</f>
        <v>23.712000000000003</v>
      </c>
      <c r="F11" s="134"/>
      <c r="G11" s="16" t="s">
        <v>14</v>
      </c>
      <c r="H11" s="133">
        <f>H10/B10</f>
        <v>351</v>
      </c>
      <c r="I11" s="134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19"/>
      <c r="V11" s="119"/>
      <c r="W11" s="119"/>
      <c r="X11" s="119"/>
      <c r="Y11" s="120"/>
    </row>
    <row r="12" spans="1:25" ht="20.149999999999999" customHeight="1" x14ac:dyDescent="0.7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70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22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4"/>
      <c r="J17" s="145"/>
      <c r="K17" s="144"/>
      <c r="L17" s="145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4"/>
      <c r="J18" s="145"/>
      <c r="K18" s="144"/>
      <c r="L18" s="145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4"/>
      <c r="J19" s="145"/>
      <c r="K19" s="144"/>
      <c r="L19" s="145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4"/>
      <c r="J20" s="145"/>
      <c r="K20" s="144"/>
      <c r="L20" s="145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4"/>
      <c r="J21" s="145"/>
      <c r="K21" s="144"/>
      <c r="L21" s="145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4"/>
      <c r="J22" s="145"/>
      <c r="K22" s="144"/>
      <c r="L22" s="145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9"/>
      <c r="B23" s="139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4"/>
      <c r="J23" s="145"/>
      <c r="K23" s="144"/>
      <c r="L23" s="145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0"/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4"/>
      <c r="J24" s="145"/>
      <c r="K24" s="144"/>
      <c r="L24" s="145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43"/>
      <c r="H27" s="143"/>
      <c r="I27" s="143"/>
      <c r="J27" s="143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43"/>
      <c r="H28" s="143"/>
      <c r="I28" s="143"/>
      <c r="J28" s="14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44861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44852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3076063-0FC3-4A26-8D15-5AAA7587E510}"/>
</file>

<file path=customXml/itemProps2.xml><?xml version="1.0" encoding="utf-8"?>
<ds:datastoreItem xmlns:ds="http://schemas.openxmlformats.org/officeDocument/2006/customXml" ds:itemID="{59E17587-5368-4CA3-AE06-ED815A97F6CE}"/>
</file>

<file path=customXml/itemProps3.xml><?xml version="1.0" encoding="utf-8"?>
<ds:datastoreItem xmlns:ds="http://schemas.openxmlformats.org/officeDocument/2006/customXml" ds:itemID="{AA9C2F83-C884-4732-B452-AF5E29E2B2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2022-09-27T01:50:30Z</cp:lastPrinted>
  <dcterms:created xsi:type="dcterms:W3CDTF">2019-11-27T23:28:06Z</dcterms:created>
  <dcterms:modified xsi:type="dcterms:W3CDTF">2022-09-27T01:51:51Z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