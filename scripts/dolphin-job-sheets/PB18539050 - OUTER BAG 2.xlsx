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674D502-F036-4F80-9C88-F91BD173F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<sst xmlns="http://schemas.openxmlformats.org/spreadsheetml/2006/main" count="306" uniqueCount="201">
  <si>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</si>
  <si>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</si>
  <si>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</si>
  <si>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</si>
  <si>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</si>
  <si>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</si>
  <si>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</si>
  <si>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</si>
  <si>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</si>
  <si>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</si>
  <si>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</si>
  <si>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</si>
  <si>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</si>
  <si>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</si>
  <si>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</si>
  <si>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</si>
  <si>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</si>
  <si>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</si>
  <si>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</si>
  <si>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</si>
  <si>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</si>
  <si>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</si>
  <si>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</si>
  <si>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</si>
  <si>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</si>
  <si>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</si>
  <si>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</si>
  <si>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</si>
  <si>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</si>
  <si>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</si>
  <si>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</si>
  <si>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</si>
  <si>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</si>
  <si>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</si>
  <si>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</si>
  <si>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</si>
  <si>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</si>
  <si>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</si>
  <si>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</si>
  <si>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</si>
  <si>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</si>
  <si>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</si>
  <si>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</si>
  <si>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</si>
  <si>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</si>
  <si>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</si>
  <si>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</si>
  <si>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</si>
  <si>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</si>
  <si>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</si>
  <si>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</si>
  <si>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</si>
  <si>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</si>
  <si>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</si>
  <si>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</si>
  <si>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</si>
  <si>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</si>
  <si>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</si>
  <si>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</si>
  <si>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</si>
  <si>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</si>
  <si>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</si>
  <si>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</si>
  <si>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</si>
  <si>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</si>
  <si>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</si>
  <si>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</si>
  <si>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</si>
  <si>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</si>
  <si>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</si>
  <si>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</si>
  <si>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</si>
  <si>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</si>
  <si>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</si>
  <si>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</si>
  <si>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</si>
  <si>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</si>
  <si>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</si>
  <si>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</si>
  <si>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</si>
  <si>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</si>
  <si>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</si>
  <si>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</si>
  <si>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</si>
  <si>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</si>
  <si>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</si>
  <si>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</si>
  <si>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</si>
  <si>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</si>
  <si>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</si>
  <si>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</si>
  <si>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</si>
  <si>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</si>
  <si>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</si>
  <si>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</si>
  <si>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</si>
  <si>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</si>
  <si>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</si>
  <si>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</si>
  <si>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</si>
  <si>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</si>
  <si>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</si>
  <si>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</si>
  <si>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</si>
  <si>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</si>
  <si>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</si>
  <si>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</si>
  <si>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</si>
  <si>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</si>
  <si>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</si>
  <si>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</si>
  <si>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</si>
  <si>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</si>
  <si>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</si>
  <si>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</si>
  <si>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</si>
  <si>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</si>
  <si>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</si>
  <si>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</si>
  <si>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</si>
  <si>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</si>
  <si>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</si>
  <si>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</si>
  <si>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</si>
  <si>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</si>
  <si>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</si>
  <si>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</si>
  <si>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</si>
  <si>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</si>
  <si>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</si>
  <si>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</si>
  <si>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</si>
  <si>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</si>
  <si>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</si>
  <si>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</si>
  <si>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</si>
  <si>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</si>
  <si>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</si>
  <si>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</si>
  <si>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</si>
  <si>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</si>
  <si>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</si>
  <si>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</si>
  <si>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</si>
  <si>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</si>
  <si>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</si>
  <si>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</si>
  <si>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</si>
  <si>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</si>
  <si>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</si>
  <si>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</si>
  <si>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</si>
  <si>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</si>
  <si>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</si>
  <si>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</si>
  <si>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</si>
  <si>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</si>
  <si>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</si>
  <si>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</si>
  <si>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</si>
  <si>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</si>
  <si>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</si>
  <si>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</si>
  <si>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</si>
  <si>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</si>
  <si>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</si>
  <si>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</si>
  <si>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</si>
  <si>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</si>
  <si>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</si>
  <si>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</si>
  <si>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</si>
  <si>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</si>
  <si>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</si>
  <si>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</si>
  <si>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</si>
  <si>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</si>
  <si>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</si>
  <si>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</si>
  <si>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</si>
  <si>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</si>
  <si>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</si>
  <si>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</si>
  <si>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</si>
  <si>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</si>
  <si>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</si>
  <si>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</si>
  <si>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</si>
  <si>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</si>
  <si>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</si>
  <si>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</si>
  <si>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</si>
  <si>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</si>
  <si>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</si>
  <si>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</si>
  <si>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</si>
  <si>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</si>
  <si>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BARRIER REEF CORALS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</si>
  <si>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</si>
  <si>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PB18539050</t>
  </si>
  <si>
    <t>OUTER BAG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</si>
</sst>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9" fillId="5" borderId="4" xfId="0" applyFont="1" applyFill="1" applyBorder="1" applyProtection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8" fillId="5" borderId="2" xfId="0" applyNumberFormat="1" applyFont="1" applyFill="1" applyBorder="1" applyAlignment="1" applyProtection="1">
      <alignment horizontal="center"/>
      <protection locked="0"/>
    </xf>
    <xf numFmtId="14" fontId="18" fillId="5" borderId="5" xfId="0" applyNumberFormat="1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">
        <v>199</v>
      </c>
      <c r="C1" s="124"/>
      <c r="D1" s="125"/>
      <c r="E1" s="12" t="s">
        <v>57</v>
      </c>
      <c r="F1" s="137" t="s">
        <v>197</v>
      </c>
      <c r="G1" s="138"/>
      <c r="H1" s="139"/>
      <c r="I1" s="13" t="s">
        <v>181</v>
      </c>
      <c r="J1" s="149">
        <f ca="1">TODAY()</f>
        <v>44403</v>
      </c>
      <c r="K1" s="149"/>
      <c r="L1" s="150"/>
      <c r="M1" s="34"/>
      <c r="N1" s="12" t="s">
        <v>56</v>
      </c>
      <c r="O1" s="124" t="str">
        <f>B1</f>
        <v>PB18539050</v>
      </c>
      <c r="P1" s="124"/>
      <c r="Q1" s="125"/>
      <c r="R1" s="12" t="s">
        <v>57</v>
      </c>
      <c r="S1" s="124" t="str">
        <f>F1</f>
        <v>BARRIER REEF CORALS</v>
      </c>
      <c r="T1" s="124"/>
      <c r="U1" s="125"/>
      <c r="V1" s="12" t="s">
        <v>181</v>
      </c>
      <c r="W1" s="149">
        <f ca="1">J1</f>
        <v>44403</v>
      </c>
      <c r="X1" s="149"/>
      <c r="Y1" s="150"/>
    </row>
    <row r="2" spans="1:28" ht="20.100000000000001" customHeight="1" x14ac:dyDescent="0.35">
      <c r="A2" s="12" t="s">
        <v>100</v>
      </c>
      <c r="B2" s="126" t="s">
        <v>200</v>
      </c>
      <c r="C2" s="126"/>
      <c r="D2" s="127"/>
      <c r="E2" s="12" t="s">
        <v>58</v>
      </c>
      <c r="F2" s="74">
        <v>940653</v>
      </c>
      <c r="G2" s="74"/>
      <c r="H2" s="75"/>
      <c r="I2" s="12" t="s">
        <v>59</v>
      </c>
      <c r="J2" s="152">
        <v>44393</v>
      </c>
      <c r="K2" s="152"/>
      <c r="L2" s="153"/>
      <c r="M2" s="34"/>
      <c r="N2" s="12" t="s">
        <v>100</v>
      </c>
      <c r="O2" s="126" t="str">
        <f>IF(B2="","",B2)</f>
        <v>OUTER BAG 2</v>
      </c>
      <c r="P2" s="126"/>
      <c r="Q2" s="127"/>
      <c r="R2" s="12" t="s">
        <v>58</v>
      </c>
      <c r="S2" s="124">
        <f>IF(F2="","",F2)</f>
        <v>940653</v>
      </c>
      <c r="T2" s="124"/>
      <c r="U2" s="125"/>
      <c r="V2" s="12" t="s">
        <v>59</v>
      </c>
      <c r="W2" s="151">
        <f>J2</f>
        <v>44393</v>
      </c>
      <c r="X2" s="124"/>
      <c r="Y2" s="125"/>
    </row>
    <row r="3" spans="1:28" ht="20.100000000000001" customHeight="1" x14ac:dyDescent="0.25">
      <c r="A3" s="128" t="s">
        <v>195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40" t="str">
        <f>A3</f>
        <v>MUST HAVE WATER TIGHT SEALS - PLEASE CHECK FREQUENTLY</v>
      </c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2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43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5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46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8"/>
    </row>
    <row r="6" spans="1:28" ht="20.100000000000001" customHeight="1" x14ac:dyDescent="0.25">
      <c r="A6" s="155" t="s">
        <v>2</v>
      </c>
      <c r="B6" s="156"/>
      <c r="C6" s="156"/>
      <c r="D6" s="156"/>
      <c r="E6" s="156"/>
      <c r="F6" s="156"/>
      <c r="G6" s="156"/>
      <c r="H6" s="156"/>
      <c r="I6" s="15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163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9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4">
        <f>R7*O7</f>
        <v>9000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185</v>
      </c>
      <c r="C8" s="113"/>
      <c r="D8" s="32" t="str">
        <f>IF(ISNUMBER(SEARCH("bag",O8,1)),"Gusset","Centrefold")</f>
        <v>Gusset</v>
      </c>
      <c r="E8" s="112" t="str">
        <f>IF(O8="Centrefold Roll",B8*2,IF(X9="","None",X9))</f>
        <v>None</v>
      </c>
      <c r="F8" s="113"/>
      <c r="G8" s="15" t="s">
        <v>52</v>
      </c>
      <c r="H8" s="112">
        <v>50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8" ht="20.100000000000001" customHeight="1" x14ac:dyDescent="0.55000000000000004">
      <c r="A9" s="70" t="s">
        <v>48</v>
      </c>
      <c r="B9" s="159" t="s">
        <v>198</v>
      </c>
      <c r="C9" s="160"/>
      <c r="D9" s="167" t="str">
        <f>IF(K10="Middle","RUN 2 UP",IF(AND(O8="Centrefold Roll",B8=380),"RUN 2 UP",""))</f>
        <v/>
      </c>
      <c r="E9" s="116"/>
      <c r="F9" s="117"/>
      <c r="G9" s="18" t="s">
        <v>48</v>
      </c>
      <c r="H9" s="157" t="s">
        <v>194</v>
      </c>
      <c r="I9" s="158"/>
      <c r="J9" s="12" t="s">
        <v>55</v>
      </c>
      <c r="K9" s="74" t="s">
        <v>30</v>
      </c>
      <c r="L9" s="75"/>
      <c r="M9" s="34"/>
      <c r="N9" s="19"/>
      <c r="O9" s="118" t="str">
        <f>IF(O8="Poly Bag","PB",IF(O8="Poly Bag Roll","PBR",IF(O8="Centrefold Roll","CFR",IF(O8="Sheet","S",IF(O8="Sheet Roll","SR")))))</f>
        <v>PB</v>
      </c>
      <c r="P9" s="119"/>
      <c r="Q9" s="19"/>
      <c r="R9" s="35">
        <v>185</v>
      </c>
      <c r="S9" s="20" t="s">
        <v>78</v>
      </c>
      <c r="T9" s="35">
        <v>390</v>
      </c>
      <c r="U9" s="20" t="s">
        <v>78</v>
      </c>
      <c r="V9" s="35">
        <v>50</v>
      </c>
      <c r="W9" s="19"/>
      <c r="X9" s="100"/>
      <c r="Y9" s="101"/>
    </row>
    <row r="10" spans="1:28" ht="20.100000000000001" customHeight="1" x14ac:dyDescent="0.25">
      <c r="A10" s="12" t="s">
        <v>51</v>
      </c>
      <c r="B10" s="74">
        <v>6</v>
      </c>
      <c r="C10" s="75"/>
      <c r="D10" s="54" t="s">
        <v>134</v>
      </c>
      <c r="E10" s="161">
        <f>IF(ISNUMBER(SEARCH("sheet",O8,1)),((R9*T9*H8/540000)*U7/2000*1.3),((R9*T9*H8/540000)*U7/1000*1.08))</f>
        <v>64.935000000000002</v>
      </c>
      <c r="F10" s="162"/>
      <c r="G10" s="12" t="s">
        <v>53</v>
      </c>
      <c r="H10" s="165">
        <f>IF(ISNUMBER(SEARCH("sheet",O8,1)),(U7*T9/2000*1.08),(U7*T9/1000*1.08))</f>
        <v>3790.8</v>
      </c>
      <c r="I10" s="166"/>
      <c r="J10" s="12" t="s">
        <v>41</v>
      </c>
      <c r="K10" s="74" t="s">
        <v>44</v>
      </c>
      <c r="L10" s="75"/>
      <c r="M10" s="34"/>
      <c r="N10" s="21" t="s">
        <v>141</v>
      </c>
      <c r="O10" s="114" t="s">
        <v>44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 t="s">
        <v>200</v>
      </c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63">
        <f>E10/B10</f>
        <v>10.8225</v>
      </c>
      <c r="F11" s="164"/>
      <c r="G11" s="12" t="s">
        <v>15</v>
      </c>
      <c r="H11" s="163">
        <f>H10/B10</f>
        <v>631.80000000000007</v>
      </c>
      <c r="I11" s="164"/>
      <c r="J11" s="12" t="s">
        <v>50</v>
      </c>
      <c r="K11" s="74" t="s">
        <v>44</v>
      </c>
      <c r="L11" s="75"/>
      <c r="M11" s="34"/>
      <c r="N11" s="15"/>
      <c r="O11" s="112" t="str">
        <f>IF(O10="NONE","","V")</f>
        <v/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5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80" t="s">
        <v>4</v>
      </c>
      <c r="F16" s="180"/>
      <c r="G16" s="180" t="s">
        <v>5</v>
      </c>
      <c r="H16" s="180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>
        <v>110</v>
      </c>
      <c r="P16" s="75"/>
      <c r="Q16" s="12" t="s">
        <v>105</v>
      </c>
      <c r="R16" s="74" t="s">
        <v>31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6" t="s">
        <v>83</v>
      </c>
      <c r="H19" s="37"/>
      <c r="I19" s="71"/>
      <c r="J19" s="72"/>
      <c r="K19" s="71"/>
      <c r="L19" s="72"/>
      <c r="M19" s="34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8" t="s">
        <v>143</v>
      </c>
      <c r="D21" s="109"/>
      <c r="E21" s="71"/>
      <c r="F21" s="72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9"/>
      <c r="E22" s="71"/>
      <c r="F22" s="72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81"/>
      <c r="B23" s="181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9"/>
      <c r="E23" s="71"/>
      <c r="F23" s="72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82"/>
      <c r="B24" s="183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7" t="s">
        <v>132</v>
      </c>
      <c r="H26" s="107"/>
      <c r="I26" s="107" t="s">
        <v>131</v>
      </c>
      <c r="J26" s="107"/>
      <c r="K26" s="28" t="s">
        <v>94</v>
      </c>
      <c r="L26" s="28" t="s">
        <v>95</v>
      </c>
      <c r="M26" s="34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68" t="s">
        <v>116</v>
      </c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70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71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3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74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6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77" t="s">
        <v>136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9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44434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44424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B76CA0-1202-43DB-87A4-E0942CCD23CB}"/>
</file>

<file path=customXml/itemProps2.xml><?xml version="1.0" encoding="utf-8"?>
<ds:datastoreItem xmlns:ds="http://schemas.openxmlformats.org/officeDocument/2006/customXml" ds:itemID="{439286BA-4EC4-4C10-B1C0-6ED85AAE3BA9}"/>
</file>

<file path=customXml/itemProps3.xml><?xml version="1.0" encoding="utf-8"?>
<ds:datastoreItem xmlns:ds="http://schemas.openxmlformats.org/officeDocument/2006/customXml" ds:itemID="{C849F53B-910C-4D38-B493-A358B8C77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2021-06-25T02:33:32Z</cp:lastPrinted>
  <dcterms:created xsi:type="dcterms:W3CDTF">2019-11-27T23:28:06Z</dcterms:created>
  <dcterms:modified xsi:type="dcterms:W3CDTF">2021-07-25T21:30:45Z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