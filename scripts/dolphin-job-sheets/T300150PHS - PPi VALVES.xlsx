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53840DC-19E8-47DE-8656-7F61617B95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<sst xmlns="http://schemas.openxmlformats.org/spreadsheetml/2006/main" count="229" uniqueCount="171">
  <si>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</si>
  <si>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</si>
  <si>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</si>
  <si>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</si>
  <si>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</si>
  <si>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</si>
  <si>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</si>
  <si>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</si>
  <si>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</si>
  <si>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</si>
  <si>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</si>
  <si>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</si>
  <si>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</si>
  <si>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</si>
  <si>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</si>
  <si>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</si>
  <si>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</si>
  <si>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</si>
  <si>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</si>
  <si>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</si>
  <si>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</si>
  <si>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</si>
  <si>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</si>
  <si>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</si>
  <si>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</si>
  <si>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</si>
  <si>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</si>
  <si>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</si>
  <si>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</si>
  <si>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</si>
  <si>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</si>
  <si>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</si>
  <si>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</si>
  <si>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</si>
  <si>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</si>
  <si>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</si>
  <si>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</si>
  <si>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</si>
  <si>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</si>
  <si>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</si>
  <si>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</si>
  <si>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</si>
  <si>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</si>
  <si>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</si>
  <si>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</si>
  <si>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</si>
  <si>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</si>
  <si>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</si>
  <si>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</si>
  <si>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</si>
  <si>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</si>
  <si>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</si>
  <si>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</si>
  <si>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</si>
  <si>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</si>
  <si>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</si>
  <si>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</si>
  <si>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</si>
  <si>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</si>
  <si>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</si>
  <si>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</si>
  <si>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</si>
  <si>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</si>
  <si>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</si>
  <si>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</si>
  <si>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</si>
  <si>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</si>
  <si>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</si>
  <si>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</si>
  <si>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</si>
  <si>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</si>
  <si>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</si>
  <si>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</si>
  <si>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</si>
  <si>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</si>
  <si>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</si>
  <si>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</si>
  <si>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</si>
  <si>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</si>
  <si>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</si>
  <si>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</si>
  <si>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</si>
  <si>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</si>
  <si>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</si>
  <si>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</si>
  <si>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</si>
  <si>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</si>
  <si>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</si>
  <si>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</si>
  <si>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</si>
  <si>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</si>
  <si>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</si>
  <si>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</si>
  <si>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</si>
  <si>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</si>
  <si>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</si>
  <si>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</si>
  <si>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</si>
  <si>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</si>
  <si>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</si>
  <si>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</si>
  <si>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</si>
  <si>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</si>
  <si>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</si>
  <si>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</si>
  <si>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</si>
  <si>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</si>
  <si>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</si>
  <si>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</si>
  <si>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</si>
  <si>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</si>
  <si>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</si>
  <si>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</si>
  <si>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</si>
  <si>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</si>
  <si>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</si>
  <si>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</si>
  <si>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</si>
  <si>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</si>
  <si>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</si>
  <si>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</si>
  <si>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</si>
  <si>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</si>
  <si>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</si>
  <si>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</si>
  <si>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</si>
  <si>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</si>
  <si>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</si>
  <si>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</si>
  <si>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</si>
  <si>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</si>
  <si>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</si>
  <si>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</si>
  <si>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</si>
  <si>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</si>
  <si>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</si>
  <si>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</si>
  <si>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</si>
  <si>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</si>
  <si>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</si>
  <si>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</si>
  <si>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</si>
  <si>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</si>
  <si>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</si>
  <si>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</si>
  <si>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</si>
  <si>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</si>
  <si>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</si>
  <si>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</si>
  <si>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</si>
  <si>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</si>
  <si>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</si>
  <si>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</si>
  <si>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</si>
  <si>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</si>
  <si>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</si>
  <si>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</si>
  <si>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</si>
  <si>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</si>
  <si>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</si>
  <si>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</si>
  <si>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</si>
  <si>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</si>
  <si>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</si>
  <si>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 xml:space="preserve"> +/- 5mm</t>
  </si>
  <si>
    <t>Ppi  VALVES</t>
  </si>
  <si>
    <t>GREY AND BLUE</t>
  </si>
  <si>
    <t xml:space="preserve">Ppi VALVES"2C/1S - SEE ATTACHED </t>
  </si>
  <si>
    <r>
      <t xml:space="preserve">NEW CUSTOMER - PLEASE ENSURE NEAT ROLLS -                                                                     </t>
    </r>
    <r>
      <rPr>
        <b/>
        <sz val="22"/>
        <color rgb="FFFF0000"/>
        <rFont val="Calibri"/>
        <family val="2"/>
        <scheme val="minor"/>
      </rPr>
      <t>MUST BE HEAT SHRINK MIX</t>
    </r>
  </si>
  <si>
    <t>ANTIBLOCK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</si>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</sst>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quotePrefix="1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5" borderId="7" xfId="0" applyFont="1" applyFill="1" applyBorder="1" applyAlignment="1" applyProtection="1">
      <alignment horizontal="center" vertical="center" wrapText="1"/>
      <protection locked="0"/>
    </xf>
    <xf numFmtId="0" fontId="14" fillId="5" borderId="3" xfId="0" applyFont="1" applyFill="1" applyBorder="1" applyAlignment="1" applyProtection="1">
      <alignment horizontal="center" vertical="center" wrapText="1"/>
      <protection locked="0"/>
    </xf>
    <xf numFmtId="0" fontId="14" fillId="5" borderId="8" xfId="0" applyFont="1" applyFill="1" applyBorder="1" applyAlignment="1" applyProtection="1">
      <alignment horizontal="center" vertical="center" wrapText="1"/>
      <protection locked="0"/>
    </xf>
    <xf numFmtId="0" fontId="14" fillId="5" borderId="9" xfId="0" applyFont="1" applyFill="1" applyBorder="1" applyAlignment="1" applyProtection="1">
      <alignment horizontal="center" vertical="center" wrapText="1"/>
      <protection locked="0"/>
    </xf>
    <xf numFmtId="0" fontId="14" fillId="5" borderId="0" xfId="0" applyFont="1" applyFill="1" applyAlignment="1" applyProtection="1">
      <alignment horizontal="center" vertical="center" wrapText="1"/>
      <protection locked="0"/>
    </xf>
    <xf numFmtId="0" fontId="14" fillId="5" borderId="10" xfId="0" applyFont="1" applyFill="1" applyBorder="1" applyAlignment="1" applyProtection="1">
      <alignment horizontal="center" vertical="center" wrapText="1"/>
      <protection locked="0"/>
    </xf>
    <xf numFmtId="0" fontId="14" fillId="5" borderId="11" xfId="0" applyFont="1" applyFill="1" applyBorder="1" applyAlignment="1" applyProtection="1">
      <alignment horizontal="center" vertical="center" wrapText="1"/>
      <protection locked="0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0" fontId="14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T300150PFALSE</v>
      </c>
      <c r="C1" s="101"/>
      <c r="D1" s="102"/>
      <c r="E1" s="10" t="s">
        <v>55</v>
      </c>
      <c r="F1" s="45" t="s">
        <v>165</v>
      </c>
      <c r="G1" s="45"/>
      <c r="H1" s="46"/>
      <c r="I1" s="10" t="s">
        <v>147</v>
      </c>
      <c r="J1" s="112">
        <f ca="1">TODAY()</f>
        <v>45575</v>
      </c>
      <c r="K1" s="112"/>
      <c r="L1" s="113"/>
    </row>
    <row r="2" spans="1:14" ht="20.100000000000001" customHeight="1" x14ac:dyDescent="0.25">
      <c r="A2" s="10" t="s">
        <v>94</v>
      </c>
      <c r="B2" s="92" t="str">
        <f>IF(B7="Tube",(ROUNDUP(E11,0)&amp;"KG"),(ROUNDUP(H11,0)&amp;"M"))</f>
        <v>10KG</v>
      </c>
      <c r="C2" s="92"/>
      <c r="D2" s="93"/>
      <c r="E2" s="10" t="s">
        <v>56</v>
      </c>
      <c r="F2" s="45">
        <v>948590</v>
      </c>
      <c r="G2" s="45"/>
      <c r="H2" s="46"/>
      <c r="I2" s="10" t="s">
        <v>57</v>
      </c>
      <c r="J2" s="114">
        <v>45565</v>
      </c>
      <c r="K2" s="45"/>
      <c r="L2" s="46"/>
    </row>
    <row r="3" spans="1:14" ht="20.100000000000001" customHeight="1" x14ac:dyDescent="0.25">
      <c r="A3" s="103" t="s">
        <v>168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0" t="s">
        <v>157</v>
      </c>
      <c r="B7" s="45" t="s">
        <v>158</v>
      </c>
      <c r="C7" s="46"/>
      <c r="D7" s="10" t="s">
        <v>47</v>
      </c>
      <c r="E7" s="44" t="s">
        <v>131</v>
      </c>
      <c r="F7" s="44"/>
      <c r="G7" s="44"/>
      <c r="H7" s="44"/>
      <c r="I7" s="44"/>
      <c r="J7" s="96" t="s">
        <v>145</v>
      </c>
      <c r="K7" s="96"/>
      <c r="L7" s="77"/>
    </row>
    <row r="8" spans="1:14" ht="20.100000000000001" customHeight="1" x14ac:dyDescent="0.25">
      <c r="A8" s="11" t="s">
        <v>14</v>
      </c>
      <c r="B8" s="67">
        <v>300</v>
      </c>
      <c r="C8" s="68"/>
      <c r="D8" s="11" t="str">
        <f>IF(B7="Tube","Gusset","Centrefold")</f>
        <v>Gusset</v>
      </c>
      <c r="E8" s="97" t="str">
        <f>IF(B7="Cont Centrefold",B8*2,"")</f>
        <v/>
      </c>
      <c r="F8" s="98"/>
      <c r="G8" s="11" t="s">
        <v>50</v>
      </c>
      <c r="H8" s="67">
        <v>150</v>
      </c>
      <c r="I8" s="68"/>
      <c r="J8" s="10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2" t="s">
        <v>46</v>
      </c>
      <c r="B9" s="84" t="s">
        <v>164</v>
      </c>
      <c r="C9" s="85"/>
      <c r="D9" s="116" t="str">
        <f>IF(K10="Middle","RUN 2 UP",IF(AND(B7="Cont Centrefold",B8=380),"RUN 2 UP",""))</f>
        <v/>
      </c>
      <c r="E9" s="117"/>
      <c r="F9" s="118"/>
      <c r="G9" s="12" t="s">
        <v>46</v>
      </c>
      <c r="H9" s="84" t="s">
        <v>163</v>
      </c>
      <c r="I9" s="85"/>
      <c r="J9" s="10" t="s">
        <v>53</v>
      </c>
      <c r="K9" s="45" t="s">
        <v>28</v>
      </c>
      <c r="L9" s="46"/>
    </row>
    <row r="10" spans="1:14" ht="20.100000000000001" customHeight="1" x14ac:dyDescent="0.25">
      <c r="A10" s="10" t="s">
        <v>49</v>
      </c>
      <c r="B10" s="45">
        <v>3</v>
      </c>
      <c r="C10" s="46"/>
      <c r="D10" s="35" t="s">
        <v>104</v>
      </c>
      <c r="E10" s="88">
        <f>E11*B10</f>
        <v>30</v>
      </c>
      <c r="F10" s="89"/>
      <c r="G10" s="10" t="s">
        <v>51</v>
      </c>
      <c r="H10" s="92">
        <f>H11*B10</f>
        <v>360</v>
      </c>
      <c r="I10" s="93"/>
      <c r="J10" s="10" t="s">
        <v>39</v>
      </c>
      <c r="K10" s="45" t="s">
        <v>42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1" t="s">
        <v>105</v>
      </c>
      <c r="E11" s="90">
        <v>10</v>
      </c>
      <c r="F11" s="91"/>
      <c r="G11" s="41" t="s">
        <v>13</v>
      </c>
      <c r="H11" s="94">
        <f>E11*540000/B8/H8</f>
        <v>120</v>
      </c>
      <c r="I11" s="95"/>
      <c r="J11" s="41" t="s">
        <v>48</v>
      </c>
      <c r="K11" s="99" t="s">
        <v>64</v>
      </c>
      <c r="L11" s="100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10" t="s">
        <v>59</v>
      </c>
      <c r="B13" s="45" t="s">
        <v>69</v>
      </c>
      <c r="C13" s="45"/>
      <c r="D13" s="46"/>
      <c r="E13" s="13" t="s">
        <v>60</v>
      </c>
      <c r="F13" s="45" t="s">
        <v>65</v>
      </c>
      <c r="G13" s="45"/>
      <c r="H13" s="46"/>
      <c r="I13" s="10" t="s">
        <v>61</v>
      </c>
      <c r="J13" s="45" t="s">
        <v>166</v>
      </c>
      <c r="K13" s="45"/>
      <c r="L13" s="46"/>
    </row>
    <row r="14" spans="1:14" ht="20.100000000000001" customHeight="1" x14ac:dyDescent="0.3">
      <c r="A14" s="11" t="s">
        <v>58</v>
      </c>
      <c r="B14" s="71" t="s">
        <v>167</v>
      </c>
      <c r="C14" s="44"/>
      <c r="D14" s="44"/>
      <c r="E14" s="44"/>
      <c r="F14" s="44"/>
      <c r="G14" s="44"/>
      <c r="H14" s="44"/>
      <c r="I14" s="44"/>
      <c r="J14" s="44"/>
      <c r="K14" s="44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10" t="s">
        <v>71</v>
      </c>
      <c r="B16" s="45" t="s">
        <v>75</v>
      </c>
      <c r="C16" s="45"/>
      <c r="D16" s="46"/>
      <c r="E16" s="10" t="s">
        <v>72</v>
      </c>
      <c r="F16" s="101">
        <f>B10</f>
        <v>3</v>
      </c>
      <c r="G16" s="101"/>
      <c r="H16" s="102"/>
      <c r="I16" s="10" t="s">
        <v>74</v>
      </c>
      <c r="J16" s="45"/>
      <c r="K16" s="45"/>
      <c r="L16" s="46"/>
    </row>
    <row r="17" spans="1:12" ht="20.100000000000001" customHeight="1" x14ac:dyDescent="0.2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6" t="s">
        <v>115</v>
      </c>
      <c r="D19" s="57"/>
      <c r="E19" s="58"/>
      <c r="F19" s="59"/>
      <c r="G19" s="9" t="s">
        <v>76</v>
      </c>
      <c r="H19" s="30"/>
      <c r="I19" s="65"/>
      <c r="J19" s="66"/>
      <c r="K19" s="65"/>
      <c r="L19" s="66"/>
    </row>
    <row r="20" spans="1:12" ht="20.100000000000001" customHeight="1" x14ac:dyDescent="0.25">
      <c r="A20" s="78" t="s">
        <v>6</v>
      </c>
      <c r="B20" s="78"/>
      <c r="C20" s="56" t="s">
        <v>114</v>
      </c>
      <c r="D20" s="57"/>
      <c r="E20" s="58"/>
      <c r="F20" s="59"/>
      <c r="G20" s="9" t="s">
        <v>77</v>
      </c>
      <c r="H20" s="30"/>
      <c r="I20" s="65"/>
      <c r="J20" s="66"/>
      <c r="K20" s="65"/>
      <c r="L20" s="66"/>
    </row>
    <row r="21" spans="1:12" ht="20.100000000000001" customHeight="1" x14ac:dyDescent="0.25">
      <c r="A21" s="78" t="s">
        <v>7</v>
      </c>
      <c r="B21" s="78"/>
      <c r="C21" s="56" t="s">
        <v>113</v>
      </c>
      <c r="D21" s="57"/>
      <c r="E21" s="58"/>
      <c r="F21" s="59"/>
      <c r="G21" s="9" t="s">
        <v>78</v>
      </c>
      <c r="H21" s="30"/>
      <c r="I21" s="65"/>
      <c r="J21" s="66"/>
      <c r="K21" s="65"/>
      <c r="L21" s="66"/>
    </row>
    <row r="22" spans="1:12" ht="20.100000000000001" customHeight="1" x14ac:dyDescent="0.25">
      <c r="A22" s="78" t="s">
        <v>8</v>
      </c>
      <c r="B22" s="78"/>
      <c r="C22" s="56" t="s">
        <v>112</v>
      </c>
      <c r="D22" s="57"/>
      <c r="E22" s="58"/>
      <c r="F22" s="59"/>
      <c r="G22" s="9" t="s">
        <v>79</v>
      </c>
      <c r="H22" s="30"/>
      <c r="I22" s="65"/>
      <c r="J22" s="66"/>
      <c r="K22" s="65"/>
      <c r="L22" s="66"/>
    </row>
    <row r="23" spans="1:12" ht="20.100000000000001" customHeight="1" x14ac:dyDescent="0.25">
      <c r="A23" s="78" t="s">
        <v>149</v>
      </c>
      <c r="B23" s="78"/>
      <c r="C23" s="56" t="s">
        <v>150</v>
      </c>
      <c r="D23" s="57"/>
      <c r="E23" s="58"/>
      <c r="F23" s="59"/>
      <c r="G23" s="9" t="s">
        <v>80</v>
      </c>
      <c r="H23" s="30"/>
      <c r="I23" s="65"/>
      <c r="J23" s="66"/>
      <c r="K23" s="65"/>
      <c r="L23" s="66"/>
    </row>
    <row r="24" spans="1:12" ht="20.100000000000001" customHeight="1" x14ac:dyDescent="0.25">
      <c r="A24" s="78" t="str">
        <f>(IF(E7="NATURAL","",E7))</f>
        <v/>
      </c>
      <c r="B24" s="78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4"/>
      <c r="E24" s="58"/>
      <c r="F24" s="59"/>
      <c r="G24" s="9" t="s">
        <v>81</v>
      </c>
      <c r="H24" s="30"/>
      <c r="I24" s="65"/>
      <c r="J24" s="66"/>
      <c r="K24" s="65"/>
      <c r="L24" s="66"/>
    </row>
    <row r="25" spans="1:12" ht="20.100000000000001" customHeight="1" x14ac:dyDescent="0.25">
      <c r="A25" s="78" t="s">
        <v>169</v>
      </c>
      <c r="B25" s="78"/>
      <c r="C25" s="56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7"/>
      <c r="E25" s="58"/>
      <c r="F25" s="59"/>
      <c r="G25" s="9" t="s">
        <v>82</v>
      </c>
      <c r="H25" s="30"/>
      <c r="I25" s="65"/>
      <c r="J25" s="66"/>
      <c r="K25" s="65"/>
      <c r="L25" s="66"/>
    </row>
    <row r="26" spans="1:12" ht="20.100000000000001" customHeight="1" x14ac:dyDescent="0.25">
      <c r="A26" s="79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119" t="s">
        <v>103</v>
      </c>
      <c r="H27" s="119"/>
      <c r="I27" s="119" t="s">
        <v>102</v>
      </c>
      <c r="J27" s="119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170</v>
      </c>
      <c r="C28" s="6"/>
      <c r="D28" s="121">
        <v>32.6</v>
      </c>
      <c r="E28" s="122">
        <v>1.8</v>
      </c>
      <c r="F28" s="6"/>
      <c r="G28" s="115"/>
      <c r="H28" s="115"/>
      <c r="I28" s="115"/>
      <c r="J28" s="115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5"/>
      <c r="H29" s="115"/>
      <c r="I29" s="115"/>
      <c r="J29" s="115"/>
      <c r="K29" s="6"/>
      <c r="L29" s="22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Sheet2!$A$61:$A$76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6"/>
  <sheetViews>
    <sheetView topLeftCell="A40" workbookViewId="0">
      <selection activeCell="A64" sqref="A6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45606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45596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162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6" t="s">
        <v>166</v>
      </c>
      <c r="O62" s="1"/>
      <c r="Q62" s="1"/>
      <c r="R62" s="1"/>
      <c r="S62" s="1"/>
    </row>
    <row r="63" spans="1:20" x14ac:dyDescent="0.25">
      <c r="A63" s="39" t="s">
        <v>144</v>
      </c>
      <c r="O63" s="1"/>
      <c r="Q63" s="1"/>
      <c r="R63" s="1"/>
      <c r="S63" s="1"/>
    </row>
    <row r="64" spans="1:20" x14ac:dyDescent="0.25">
      <c r="A64" s="40" t="s">
        <v>123</v>
      </c>
      <c r="O64" s="1"/>
      <c r="Q64" s="1"/>
      <c r="R64" s="1"/>
      <c r="S64" s="1"/>
      <c r="T64" s="1"/>
    </row>
    <row r="65" spans="1:20" x14ac:dyDescent="0.25">
      <c r="A65" s="40" t="s">
        <v>116</v>
      </c>
      <c r="O65" s="1"/>
      <c r="Q65" s="1"/>
      <c r="R65" s="1"/>
      <c r="S65" s="1"/>
      <c r="T65" s="1"/>
    </row>
    <row r="66" spans="1:20" x14ac:dyDescent="0.25">
      <c r="A66" s="40" t="s">
        <v>117</v>
      </c>
      <c r="N66" s="3"/>
      <c r="O66" s="1"/>
      <c r="P66" s="1"/>
      <c r="Q66" s="1"/>
      <c r="R66" s="1"/>
      <c r="S66" s="1"/>
      <c r="T66" s="1"/>
    </row>
    <row r="67" spans="1:20" x14ac:dyDescent="0.25">
      <c r="A67" s="40" t="s">
        <v>118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119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120</v>
      </c>
      <c r="N69" s="4"/>
      <c r="O69" s="1"/>
      <c r="P69" s="1"/>
      <c r="Q69" s="1"/>
      <c r="R69" s="1"/>
      <c r="S69" s="1"/>
      <c r="T69" s="1"/>
    </row>
    <row r="70" spans="1:20" x14ac:dyDescent="0.25">
      <c r="A70" s="40" t="s">
        <v>121</v>
      </c>
      <c r="N70" s="4"/>
    </row>
    <row r="71" spans="1:20" x14ac:dyDescent="0.25">
      <c r="A71" s="40" t="s">
        <v>142</v>
      </c>
    </row>
    <row r="72" spans="1:20" x14ac:dyDescent="0.25">
      <c r="A72" s="40" t="s">
        <v>122</v>
      </c>
    </row>
    <row r="73" spans="1:20" x14ac:dyDescent="0.25">
      <c r="A73" s="40" t="s">
        <v>120</v>
      </c>
    </row>
    <row r="74" spans="1:20" x14ac:dyDescent="0.25">
      <c r="A74" s="40" t="s">
        <v>121</v>
      </c>
    </row>
    <row r="75" spans="1:20" x14ac:dyDescent="0.25">
      <c r="A75" s="40" t="s">
        <v>142</v>
      </c>
    </row>
    <row r="76" spans="1:20" x14ac:dyDescent="0.25">
      <c r="A76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3B1C7B4-A5F7-45C6-B22A-A5D3D1E4380A}"/>
</file>

<file path=customXml/itemProps2.xml><?xml version="1.0" encoding="utf-8"?>
<ds:datastoreItem xmlns:ds="http://schemas.openxmlformats.org/officeDocument/2006/customXml" ds:itemID="{C36EFC1D-F7F4-49D9-8E97-7390386F1035}"/>
</file>

<file path=customXml/itemProps3.xml><?xml version="1.0" encoding="utf-8"?>
<ds:datastoreItem xmlns:ds="http://schemas.openxmlformats.org/officeDocument/2006/customXml" ds:itemID="{C521E48C-BAB7-48E4-BA50-8EF95CFAE5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2024-09-09T03:31:46Z</cp:lastPrinted>
  <dcterms:created xsi:type="dcterms:W3CDTF">2019-11-27T23:28:06Z</dcterms:created>
  <dcterms:modified xsi:type="dcterms:W3CDTF">2024-10-10T05:20:24Z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