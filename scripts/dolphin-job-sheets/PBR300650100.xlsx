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9B51211-F139-407D-94D8-98846945E4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<sst xmlns="http://schemas.openxmlformats.org/spreadsheetml/2006/main" count="302" uniqueCount="200">
  <si>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</si>
  <si>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</si>
  <si>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</si>
  <si>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</si>
  <si>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</si>
  <si>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</si>
  <si>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</si>
  <si>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</si>
  <si>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</si>
  <si>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</si>
  <si>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</si>
  <si>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</si>
  <si>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</si>
  <si>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</si>
  <si>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</si>
  <si>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</si>
  <si>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</si>
  <si>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</si>
  <si>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</si>
  <si>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</si>
  <si>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</si>
  <si>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</si>
  <si>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</si>
  <si>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</si>
  <si>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</si>
  <si>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</si>
  <si>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</si>
  <si>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</si>
  <si>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</si>
  <si>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</si>
  <si>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</si>
  <si>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</si>
  <si>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</si>
  <si>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</si>
  <si>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</si>
  <si>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</si>
  <si>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</si>
  <si>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</si>
  <si>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</si>
  <si>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</si>
  <si>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</si>
  <si>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</si>
  <si>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</si>
  <si>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</si>
  <si>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</si>
  <si>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</si>
  <si>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</si>
  <si>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</si>
  <si>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</si>
  <si>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</si>
  <si>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</si>
  <si>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</si>
  <si>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</si>
  <si>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</si>
  <si>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</si>
  <si>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</si>
  <si>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</si>
  <si>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</si>
  <si>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</si>
  <si>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</si>
  <si>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</si>
  <si>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</si>
  <si>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</si>
  <si>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</si>
  <si>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</si>
  <si>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</si>
  <si>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</si>
  <si>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</si>
  <si>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</si>
  <si>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</si>
  <si>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</si>
  <si>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</si>
  <si>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</si>
  <si>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</si>
  <si>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</si>
  <si>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</si>
  <si>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</si>
  <si>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</si>
  <si>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</si>
  <si>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</si>
  <si>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</si>
  <si>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</si>
  <si>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</si>
  <si>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</si>
  <si>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</si>
  <si>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</si>
  <si>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</si>
  <si>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</si>
  <si>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</si>
  <si>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</si>
  <si>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</si>
  <si>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</si>
  <si>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</si>
  <si>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</si>
  <si>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</si>
  <si>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</si>
  <si>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</si>
  <si>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</si>
  <si>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</si>
  <si>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</si>
  <si>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</si>
  <si>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</si>
  <si>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</si>
  <si>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</si>
  <si>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</si>
  <si>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</si>
  <si>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</si>
  <si>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</si>
  <si>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</si>
  <si>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</si>
  <si>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</si>
  <si>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</si>
  <si>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</si>
  <si>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</si>
  <si>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</si>
  <si>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</si>
  <si>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</si>
  <si>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</si>
  <si>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</si>
  <si>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</si>
  <si>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</si>
  <si>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</si>
  <si>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</si>
  <si>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</si>
  <si>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</si>
  <si>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</si>
  <si>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</si>
  <si>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</si>
  <si>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</si>
  <si>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</si>
  <si>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</si>
  <si>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</si>
  <si>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</si>
  <si>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</si>
  <si>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</si>
  <si>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</si>
  <si>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</si>
  <si>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</si>
  <si>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</si>
  <si>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</si>
  <si>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</si>
  <si>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</si>
  <si>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</si>
  <si>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</si>
  <si>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</si>
  <si>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</si>
  <si>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</si>
  <si>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</si>
  <si>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</si>
  <si>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</si>
  <si>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</si>
  <si>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</si>
  <si>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</si>
  <si>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</si>
  <si>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</si>
  <si>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</si>
  <si>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</si>
  <si>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</si>
  <si>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</si>
  <si>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</si>
  <si>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</si>
  <si>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</si>
  <si>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</si>
  <si>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</si>
  <si>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</si>
  <si>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</si>
  <si>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</si>
  <si>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</si>
  <si>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</si>
  <si>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</si>
  <si>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</si>
  <si>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</si>
  <si>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</si>
  <si>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</si>
  <si>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</si>
  <si>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</si>
  <si>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</si>
  <si>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</si>
  <si>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</si>
  <si>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</si>
  <si>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</si>
  <si>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</si>
  <si>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</si>
  <si>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</si>
  <si>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</si>
  <si>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</si>
  <si>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</si>
  <si>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</si>
  <si>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</si>
  <si>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</si>
  <si>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</si>
  <si>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</si>
  <si>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</si>
  <si>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</si>
  <si>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</si>
  <si>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</si>
  <si>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 xml:space="preserve">PERF </t>
  </si>
  <si>
    <t>03.10.2021</t>
  </si>
  <si>
    <t xml:space="preserve">NEW CUSTOMER  - NEW ITEM </t>
  </si>
  <si>
    <t>SUSTINENT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</si>
</sst>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PBR300650100</v>
      </c>
      <c r="C1" s="125"/>
      <c r="D1" s="126"/>
      <c r="E1" s="18" t="s">
        <v>56</v>
      </c>
      <c r="F1" s="149" t="s">
        <v>199</v>
      </c>
      <c r="G1" s="149"/>
      <c r="H1" s="150"/>
      <c r="I1" s="18" t="s">
        <v>180</v>
      </c>
      <c r="J1" s="146">
        <f ca="1">TODAY()</f>
        <v>44469</v>
      </c>
      <c r="K1" s="146"/>
      <c r="L1" s="147"/>
      <c r="M1" s="35"/>
      <c r="N1" s="18" t="s">
        <v>55</v>
      </c>
      <c r="O1" s="125" t="str">
        <f>B1</f>
        <v>PBR300650100</v>
      </c>
      <c r="P1" s="125"/>
      <c r="Q1" s="126"/>
      <c r="R1" s="18" t="s">
        <v>56</v>
      </c>
      <c r="S1" s="125" t="str">
        <f>F1</f>
        <v>SUSTINENT</v>
      </c>
      <c r="T1" s="125"/>
      <c r="U1" s="126"/>
      <c r="V1" s="18" t="s">
        <v>180</v>
      </c>
      <c r="W1" s="146">
        <f ca="1">J1</f>
        <v>44469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941224</v>
      </c>
      <c r="G2" s="104"/>
      <c r="H2" s="105"/>
      <c r="I2" s="18" t="s">
        <v>58</v>
      </c>
      <c r="J2" s="103" t="s">
        <v>197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941224</v>
      </c>
      <c r="T2" s="125"/>
      <c r="U2" s="126"/>
      <c r="V2" s="18" t="s">
        <v>58</v>
      </c>
      <c r="W2" s="148" t="str">
        <f>J2</f>
        <v>03.10.2021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 xml:space="preserve">NEW CUSTOMER  - NEW ITEM 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</v>
      </c>
      <c r="P7" s="105"/>
      <c r="Q7" s="18" t="str">
        <f>IF(ISNUMBER(SEARCH("roll",O8,1)),"Per Roll","Per Carton")</f>
        <v>Per Roll</v>
      </c>
      <c r="R7" s="104">
        <v>600</v>
      </c>
      <c r="S7" s="105"/>
      <c r="T7" s="18" t="str">
        <f>IF(ISNUMBER(SEARCH("bag",O8,1)),"Total Bags","Total Sheets")</f>
        <v>Total Bags</v>
      </c>
      <c r="U7" s="125">
        <f>R7*O7</f>
        <v>1200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300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300</v>
      </c>
      <c r="S9" s="25" t="s">
        <v>77</v>
      </c>
      <c r="T9" s="36">
        <v>650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2</v>
      </c>
      <c r="C10" s="105"/>
      <c r="D10" s="56" t="s">
        <v>133</v>
      </c>
      <c r="E10" s="127">
        <f>IF(ISNUMBER(SEARCH("sheet",O8,1)),((R9*T9*H8/540000)*U7/2000*1.3),((R9*T9*H8/540000)*U7/1000*1.08))</f>
        <v>46.800000000000004</v>
      </c>
      <c r="F10" s="128"/>
      <c r="G10" s="18" t="s">
        <v>52</v>
      </c>
      <c r="H10" s="131">
        <f>IF(ISNUMBER(SEARCH("sheet",O8,1)),(U7*T9/2000*1.08),(U7*T9/1000*1.08))</f>
        <v>842.40000000000009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23.400000000000002</v>
      </c>
      <c r="F11" s="130"/>
      <c r="G11" s="18" t="s">
        <v>14</v>
      </c>
      <c r="H11" s="129">
        <f>H10/B10</f>
        <v>421.20000000000005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196</v>
      </c>
      <c r="P25" s="41"/>
      <c r="Q25" s="10">
        <v>26</v>
      </c>
      <c r="R25" s="10">
        <v>8</v>
      </c>
      <c r="S25" s="10"/>
      <c r="T25" s="10">
        <v>8</v>
      </c>
      <c r="U25" s="10"/>
      <c r="V25" s="10">
        <v>3</v>
      </c>
      <c r="W25" s="10">
        <v>180</v>
      </c>
      <c r="X25" s="10">
        <v>180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44499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44490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59118BE-3196-4BD4-827A-104CA6BBC621}"/>
</file>

<file path=customXml/itemProps2.xml><?xml version="1.0" encoding="utf-8"?>
<ds:datastoreItem xmlns:ds="http://schemas.openxmlformats.org/officeDocument/2006/customXml" ds:itemID="{305EB8CD-7377-4ACE-9B4B-EB5294385643}"/>
</file>

<file path=customXml/itemProps3.xml><?xml version="1.0" encoding="utf-8"?>
<ds:datastoreItem xmlns:ds="http://schemas.openxmlformats.org/officeDocument/2006/customXml" ds:itemID="{C29FA796-4407-44F7-8284-072D3D3BD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2021-09-09T04:48:25Z</cp:lastPrinted>
  <dcterms:created xsi:type="dcterms:W3CDTF">2019-11-27T23:28:06Z</dcterms:created>
  <dcterms:modified xsi:type="dcterms:W3CDTF">2021-09-29T21:41:23Z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