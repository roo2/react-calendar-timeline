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CB7C293-4A8D-4F4D-A217-0270072DDE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C22" i="1" l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<sst xmlns="http://schemas.openxmlformats.org/spreadsheetml/2006/main" count="307" uniqueCount="205">
  <si>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</si>
  <si>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</si>
  <si>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</si>
  <si>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</si>
  <si>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</si>
  <si>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</si>
  <si>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</si>
  <si>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</si>
  <si>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</si>
  <si>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</si>
  <si>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</si>
  <si>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</si>
  <si>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</si>
  <si>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</si>
  <si>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</si>
  <si>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</si>
  <si>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</si>
  <si>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</si>
  <si>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</si>
  <si>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</si>
  <si>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</si>
  <si>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</si>
  <si>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</si>
  <si>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</si>
  <si>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</si>
  <si>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</si>
  <si>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</si>
  <si>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</si>
  <si>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</si>
  <si>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</si>
  <si>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</si>
  <si>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</si>
  <si>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</si>
  <si>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</si>
  <si>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</si>
  <si>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</si>
  <si>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</si>
  <si>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</si>
  <si>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</si>
  <si>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</si>
  <si>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</si>
  <si>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</si>
  <si>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</si>
  <si>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</si>
  <si>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</si>
  <si>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</si>
  <si>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</si>
  <si>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</si>
  <si>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</si>
  <si>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</si>
  <si>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</si>
  <si>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</si>
  <si>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</si>
  <si>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</si>
  <si>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</si>
  <si>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</si>
  <si>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</si>
  <si>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</si>
  <si>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</si>
  <si>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</si>
  <si>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</si>
  <si>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</si>
  <si>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</si>
  <si>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</si>
  <si>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</si>
  <si>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</si>
  <si>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</si>
  <si>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</si>
  <si>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</si>
  <si>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</si>
  <si>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</si>
  <si>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</si>
  <si>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</si>
  <si>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</si>
  <si>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</si>
  <si>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</si>
  <si>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</si>
  <si>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</si>
  <si>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</si>
  <si>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</si>
  <si>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</si>
  <si>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</si>
  <si>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</si>
  <si>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</si>
  <si>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</si>
  <si>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</si>
  <si>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</si>
  <si>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</si>
  <si>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</si>
  <si>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</si>
  <si>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</si>
  <si>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</si>
  <si>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</si>
  <si>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</si>
  <si>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</si>
  <si>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</si>
  <si>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</si>
  <si>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</si>
  <si>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</si>
  <si>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</si>
  <si>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</si>
  <si>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</si>
  <si>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</si>
  <si>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</si>
  <si>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</si>
  <si>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</si>
  <si>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</si>
  <si>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</si>
  <si>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</si>
  <si>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</si>
  <si>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</si>
  <si>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</si>
  <si>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</si>
  <si>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</si>
  <si>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</si>
  <si>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</si>
  <si>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</si>
  <si>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</si>
  <si>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</si>
  <si>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</si>
  <si>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</si>
  <si>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</si>
  <si>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</si>
  <si>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</si>
  <si>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</si>
  <si>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</si>
  <si>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</si>
  <si>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</si>
  <si>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</si>
  <si>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</si>
  <si>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</si>
  <si>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</si>
  <si>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</si>
  <si>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</si>
  <si>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</si>
  <si>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</si>
  <si>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</si>
  <si>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</si>
  <si>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</si>
  <si>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</si>
  <si>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</si>
  <si>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</si>
  <si>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</si>
  <si>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</si>
  <si>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</si>
  <si>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</si>
  <si>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</si>
  <si>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</si>
  <si>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</si>
  <si>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</si>
  <si>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</si>
  <si>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</si>
  <si>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</si>
  <si>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</si>
  <si>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</si>
  <si>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</si>
  <si>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</si>
  <si>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</si>
  <si>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</si>
  <si>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</si>
  <si>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</si>
  <si>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</si>
  <si>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</si>
  <si>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</si>
  <si>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</si>
  <si>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</si>
  <si>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</si>
  <si>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</si>
  <si>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</si>
  <si>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</si>
  <si>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</si>
  <si>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</si>
  <si>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</si>
  <si>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</si>
  <si>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</si>
  <si>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</si>
  <si>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</si>
  <si>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</si>
  <si>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</si>
  <si>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</si>
  <si>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</si>
  <si>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</si>
  <si>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</si>
  <si>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</si>
  <si>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</si>
  <si>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</si>
  <si>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</si>
  <si>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</si>
  <si>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</si>
  <si>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</si>
  <si>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</si>
  <si>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</si>
  <si>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</si>
  <si>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</si>
  <si>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ANTISTATIC</t>
  </si>
  <si>
    <t>"GREGORY MACHINERY D-POLY-DC1200-R"</t>
  </si>
  <si>
    <t>PERF INLINE - NEAT ROLLS &amp; STRONG SEALS REQUIRED</t>
  </si>
  <si>
    <t>GREGORY MACHINERY</t>
  </si>
  <si>
    <t>D-POLY-DC1200-R</t>
  </si>
  <si>
    <t>RUN AT 95um</t>
  </si>
  <si>
    <t xml:space="preserve"> +/- 5mm</t>
  </si>
  <si>
    <t>PERF</t>
  </si>
  <si>
    <t>RE- RUN</t>
  </si>
  <si>
    <t>ANTISLIP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</si>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</sst>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8" borderId="3" xfId="0" applyFont="1" applyFill="1" applyBorder="1" applyAlignment="1" applyProtection="1">
      <alignment horizontal="center" vertical="center"/>
      <protection locked="0"/>
    </xf>
    <xf numFmtId="0" fontId="13" fillId="8" borderId="8" xfId="0" applyFont="1" applyFill="1" applyBorder="1" applyAlignment="1" applyProtection="1">
      <alignment horizontal="center" vertical="center"/>
      <protection locked="0"/>
    </xf>
    <xf numFmtId="0" fontId="13" fillId="8" borderId="1" xfId="0" applyFont="1" applyFill="1" applyBorder="1" applyAlignment="1" applyProtection="1">
      <alignment horizontal="center" vertical="center"/>
      <protection locked="0"/>
    </xf>
    <xf numFmtId="0" fontId="13" fillId="8" borderId="12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10" fillId="8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3" fillId="8" borderId="2" xfId="0" applyFont="1" applyFill="1" applyBorder="1" applyAlignment="1" applyProtection="1">
      <alignment horizontal="center"/>
      <protection locked="0"/>
    </xf>
    <xf numFmtId="0" fontId="13" fillId="8" borderId="5" xfId="0" applyFont="1" applyFill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22" sqref="A22:B22"/>
    </sheetView>
  </sheetViews>
  <sheetFormatPr defaultRowHeight="15" x14ac:dyDescent="0.25"/>
  <sheetData>
    <row r="1" spans="1:25" ht="20.100000000000001" customHeight="1" x14ac:dyDescent="0.25">
      <c r="A1" s="16" t="s">
        <v>55</v>
      </c>
      <c r="B1" s="113" t="str">
        <f>O9&amp;R9&amp;IF(X8="G","G","")&amp;IF(O8="Centrefold Roll","("&amp;E8&amp;")","")&amp;T9&amp;V9&amp;C22&amp;C23&amp;C24&amp;O11&amp;R11</f>
        <v>PBR78011201000AS0P</v>
      </c>
      <c r="C1" s="113"/>
      <c r="D1" s="114"/>
      <c r="E1" s="16" t="s">
        <v>56</v>
      </c>
      <c r="F1" s="94" t="s">
        <v>197</v>
      </c>
      <c r="G1" s="94"/>
      <c r="H1" s="95"/>
      <c r="I1" s="16" t="s">
        <v>180</v>
      </c>
      <c r="J1" s="134">
        <f ca="1">TODAY()</f>
        <v>45485</v>
      </c>
      <c r="K1" s="134"/>
      <c r="L1" s="135"/>
      <c r="M1" s="30"/>
      <c r="N1" s="16" t="s">
        <v>55</v>
      </c>
      <c r="O1" s="113" t="str">
        <f>B1</f>
        <v>PBR78011201000AS0P</v>
      </c>
      <c r="P1" s="113"/>
      <c r="Q1" s="114"/>
      <c r="R1" s="16" t="s">
        <v>56</v>
      </c>
      <c r="S1" s="113" t="str">
        <f>F1</f>
        <v>GREGORY MACHINERY</v>
      </c>
      <c r="T1" s="113"/>
      <c r="U1" s="114"/>
      <c r="V1" s="16" t="s">
        <v>180</v>
      </c>
      <c r="W1" s="134">
        <f ca="1">J1</f>
        <v>45485</v>
      </c>
      <c r="X1" s="134"/>
      <c r="Y1" s="135"/>
    </row>
    <row r="2" spans="1:25" ht="20.100000000000001" customHeight="1" x14ac:dyDescent="0.25">
      <c r="A2" s="16" t="s">
        <v>99</v>
      </c>
      <c r="B2" s="138" t="str">
        <f>IF(U10="","",U10)</f>
        <v>D-POLY-DC1200-R</v>
      </c>
      <c r="C2" s="138"/>
      <c r="D2" s="139"/>
      <c r="E2" s="16" t="s">
        <v>57</v>
      </c>
      <c r="F2" s="94" t="s">
        <v>202</v>
      </c>
      <c r="G2" s="94"/>
      <c r="H2" s="95"/>
      <c r="I2" s="16" t="s">
        <v>58</v>
      </c>
      <c r="J2" s="93">
        <v>45153</v>
      </c>
      <c r="K2" s="94"/>
      <c r="L2" s="95"/>
      <c r="M2" s="30"/>
      <c r="N2" s="16" t="s">
        <v>99</v>
      </c>
      <c r="O2" s="113" t="str">
        <f>IF(B2="","",B2)</f>
        <v>D-POLY-DC1200-R</v>
      </c>
      <c r="P2" s="113"/>
      <c r="Q2" s="114"/>
      <c r="R2" s="16" t="s">
        <v>57</v>
      </c>
      <c r="S2" s="113" t="str">
        <f>IF(F2="","",F2)</f>
        <v>RE- RUN</v>
      </c>
      <c r="T2" s="113"/>
      <c r="U2" s="114"/>
      <c r="V2" s="16" t="s">
        <v>58</v>
      </c>
      <c r="W2" s="136">
        <f>J2</f>
        <v>45153</v>
      </c>
      <c r="X2" s="113"/>
      <c r="Y2" s="114"/>
    </row>
    <row r="3" spans="1:25" ht="20.100000000000001" customHeight="1" x14ac:dyDescent="0.25">
      <c r="A3" s="125" t="s">
        <v>196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0"/>
      <c r="N3" s="125" t="str">
        <f>A3</f>
        <v>PERF INLINE - NEAT ROLLS &amp; STRONG SEALS REQUIRED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5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0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0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5" ht="20.100000000000001" customHeight="1" x14ac:dyDescent="0.2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6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40</v>
      </c>
      <c r="P7" s="95"/>
      <c r="Q7" s="16" t="str">
        <f>IF(ISNUMBER(SEARCH("roll",O8,1)),"Per Roll","Per Carton")</f>
        <v>Per Roll</v>
      </c>
      <c r="R7" s="94">
        <v>100</v>
      </c>
      <c r="S7" s="95"/>
      <c r="T7" s="16" t="str">
        <f>IF(ISNUMBER(SEARCH("bag",O8,1)),"Total Bags","Total Sheets")</f>
        <v>Total Bags</v>
      </c>
      <c r="U7" s="113">
        <f>R7*O7</f>
        <v>4000</v>
      </c>
      <c r="V7" s="114"/>
      <c r="W7" s="16" t="s">
        <v>101</v>
      </c>
      <c r="X7" s="94" t="s">
        <v>30</v>
      </c>
      <c r="Y7" s="95"/>
    </row>
    <row r="8" spans="1:25" ht="20.100000000000001" customHeight="1" x14ac:dyDescent="0.25">
      <c r="A8" s="17" t="s">
        <v>15</v>
      </c>
      <c r="B8" s="103">
        <f>R9</f>
        <v>780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None</v>
      </c>
      <c r="F8" s="106"/>
      <c r="G8" s="17" t="s">
        <v>51</v>
      </c>
      <c r="H8" s="103">
        <f>(IF(V9&lt;30,"30",V9))</f>
        <v>100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Layflat Tube</v>
      </c>
      <c r="L8" s="114"/>
      <c r="M8" s="30"/>
      <c r="N8" s="18" t="s">
        <v>53</v>
      </c>
      <c r="O8" s="104" t="s">
        <v>164</v>
      </c>
      <c r="P8" s="105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None</v>
      </c>
      <c r="Y8" s="137"/>
    </row>
    <row r="9" spans="1:25" ht="20.100000000000001" customHeight="1" x14ac:dyDescent="0.3">
      <c r="A9" s="21" t="s">
        <v>47</v>
      </c>
      <c r="B9" s="111" t="s">
        <v>200</v>
      </c>
      <c r="C9" s="112"/>
      <c r="D9" s="143" t="str">
        <f>IF(K10="Middle","RUN 2 UP",IF(AND(O8="Centrefold Roll",B8=380),"RUN 2 UP",""))</f>
        <v/>
      </c>
      <c r="E9" s="123"/>
      <c r="F9" s="124"/>
      <c r="G9" s="21" t="s">
        <v>47</v>
      </c>
      <c r="H9" s="111" t="s">
        <v>199</v>
      </c>
      <c r="I9" s="112"/>
      <c r="J9" s="16" t="s">
        <v>54</v>
      </c>
      <c r="K9" s="94" t="s">
        <v>33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780</v>
      </c>
      <c r="S9" s="23" t="s">
        <v>77</v>
      </c>
      <c r="T9" s="31">
        <v>1120</v>
      </c>
      <c r="U9" s="23" t="s">
        <v>77</v>
      </c>
      <c r="V9" s="31">
        <v>100</v>
      </c>
      <c r="W9" s="22"/>
      <c r="X9" s="100"/>
      <c r="Y9" s="101"/>
    </row>
    <row r="10" spans="1:25" ht="20.100000000000001" customHeight="1" x14ac:dyDescent="0.25">
      <c r="A10" s="16" t="s">
        <v>50</v>
      </c>
      <c r="B10" s="94">
        <v>40</v>
      </c>
      <c r="C10" s="95"/>
      <c r="D10" s="49" t="s">
        <v>133</v>
      </c>
      <c r="E10" s="115">
        <f>IF(ISNUMBER(SEARCH("sheet",O8,1)),((R9*T9*H8/540000)*U7/2000*1.3),((R9*T9*H8/540000)*U7/1000*1.08))</f>
        <v>698.88</v>
      </c>
      <c r="F10" s="116"/>
      <c r="G10" s="16" t="s">
        <v>52</v>
      </c>
      <c r="H10" s="119">
        <f>IF(ISNUMBER(SEARCH("sheet",O8,1)),(U7*T9/2000*1.08),(U7*T9/1000*1.08))</f>
        <v>4838.4000000000005</v>
      </c>
      <c r="I10" s="120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43</v>
      </c>
      <c r="P10" s="105"/>
      <c r="Q10" s="18" t="s">
        <v>49</v>
      </c>
      <c r="R10" s="102" t="str">
        <f>IF(K11="NONE","None",IF(K11="INLINE","Yes",IF(K11="OUT OF LINE","Yes")))</f>
        <v>Yes</v>
      </c>
      <c r="S10" s="102"/>
      <c r="T10" s="18" t="s">
        <v>99</v>
      </c>
      <c r="U10" s="96" t="s">
        <v>198</v>
      </c>
      <c r="V10" s="96"/>
      <c r="W10" s="96"/>
      <c r="X10" s="96"/>
      <c r="Y10" s="97"/>
    </row>
    <row r="11" spans="1:25" ht="20.100000000000001" customHeight="1" x14ac:dyDescent="0.25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7">
        <f>E10/B10</f>
        <v>17.472000000000001</v>
      </c>
      <c r="F11" s="118"/>
      <c r="G11" s="16" t="s">
        <v>14</v>
      </c>
      <c r="H11" s="117">
        <f>H10/B10</f>
        <v>120.96000000000001</v>
      </c>
      <c r="I11" s="118"/>
      <c r="J11" s="16" t="s">
        <v>49</v>
      </c>
      <c r="K11" s="94" t="s">
        <v>64</v>
      </c>
      <c r="L11" s="95"/>
      <c r="M11" s="30"/>
      <c r="N11" s="17"/>
      <c r="O11" s="103" t="str">
        <f>IF(O10="NONE","","V")</f>
        <v/>
      </c>
      <c r="P11" s="106"/>
      <c r="Q11" s="17"/>
      <c r="R11" s="103" t="str">
        <f>IF(R10="None","","P")</f>
        <v>P</v>
      </c>
      <c r="S11" s="103"/>
      <c r="T11" s="17"/>
      <c r="U11" s="98"/>
      <c r="V11" s="98"/>
      <c r="W11" s="98"/>
      <c r="X11" s="98"/>
      <c r="Y11" s="99"/>
    </row>
    <row r="12" spans="1:25" ht="20.100000000000001" customHeight="1" x14ac:dyDescent="0.2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40" t="s">
        <v>70</v>
      </c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2"/>
    </row>
    <row r="13" spans="1:25" ht="20.100000000000001" customHeight="1" x14ac:dyDescent="0.25">
      <c r="A13" s="16" t="s">
        <v>67</v>
      </c>
      <c r="B13" s="94" t="s">
        <v>69</v>
      </c>
      <c r="C13" s="94"/>
      <c r="D13" s="95"/>
      <c r="E13" s="24" t="s">
        <v>60</v>
      </c>
      <c r="F13" s="94" t="s">
        <v>65</v>
      </c>
      <c r="G13" s="94"/>
      <c r="H13" s="95"/>
      <c r="I13" s="16" t="s">
        <v>61</v>
      </c>
      <c r="J13" s="94" t="s">
        <v>176</v>
      </c>
      <c r="K13" s="94"/>
      <c r="L13" s="95"/>
      <c r="M13" s="30"/>
      <c r="N13" s="16" t="s">
        <v>71</v>
      </c>
      <c r="O13" s="32" t="s">
        <v>76</v>
      </c>
      <c r="P13" s="16" t="s">
        <v>72</v>
      </c>
      <c r="Q13" s="25">
        <f>O7</f>
        <v>40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00000000000001" customHeight="1" x14ac:dyDescent="0.3">
      <c r="A14" s="17" t="s">
        <v>59</v>
      </c>
      <c r="B14" s="146" t="s">
        <v>195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7"/>
      <c r="M14" s="30"/>
      <c r="N14" s="148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2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00000000000001" customHeight="1" x14ac:dyDescent="0.25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22</v>
      </c>
      <c r="S16" s="95"/>
      <c r="T16" s="16" t="s">
        <v>102</v>
      </c>
      <c r="U16" s="94" t="s">
        <v>30</v>
      </c>
      <c r="V16" s="95"/>
      <c r="W16" s="16" t="str">
        <f>IF(ISNUMBER(SEARCH("bag",O8,1)),"Total Bags","Total Sheets")</f>
        <v>Total Bags</v>
      </c>
      <c r="X16" s="144"/>
      <c r="Y16" s="145"/>
    </row>
    <row r="17" spans="1:25" ht="20.100000000000001" customHeight="1" x14ac:dyDescent="0.25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22</v>
      </c>
      <c r="V17" s="95"/>
      <c r="W17" s="16" t="str">
        <f>IF(ISNUMBER(SEARCH("roll",O8,1)),"Total Rolls","Total Ctns")</f>
        <v>Total Rolls</v>
      </c>
      <c r="X17" s="144"/>
      <c r="Y17" s="145"/>
    </row>
    <row r="18" spans="1:25" ht="20.100000000000001" customHeight="1" x14ac:dyDescent="0.25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6" t="s">
        <v>108</v>
      </c>
      <c r="X18" s="144"/>
      <c r="Y18" s="145"/>
    </row>
    <row r="19" spans="1:25" ht="20.100000000000001" customHeight="1" x14ac:dyDescent="0.2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00000000000001" customHeight="1" x14ac:dyDescent="0.2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00000000000001" customHeight="1" x14ac:dyDescent="0.2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00000000000001" customHeight="1" x14ac:dyDescent="0.25">
      <c r="A22" s="78" t="s">
        <v>204</v>
      </c>
      <c r="B22" s="78"/>
      <c r="C22" s="80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0</v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00000000000001" customHeight="1" x14ac:dyDescent="0.25">
      <c r="A23" s="82" t="s">
        <v>194</v>
      </c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1"/>
      <c r="E23" s="85"/>
      <c r="F23" s="86"/>
      <c r="G23" s="34" t="s">
        <v>86</v>
      </c>
      <c r="H23" s="35"/>
      <c r="I23" s="62"/>
      <c r="J23" s="63"/>
      <c r="K23" s="62"/>
      <c r="L23" s="63"/>
      <c r="M23" s="30"/>
      <c r="N23" s="148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83" t="s">
        <v>203</v>
      </c>
      <c r="B24" s="84"/>
      <c r="C24" s="80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81"/>
      <c r="E24" s="85"/>
      <c r="F24" s="86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00000000000001" customHeight="1" x14ac:dyDescent="0.2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 t="s">
        <v>201</v>
      </c>
      <c r="P25" s="36"/>
      <c r="Q25" s="10">
        <v>22</v>
      </c>
      <c r="R25" s="10">
        <v>9</v>
      </c>
      <c r="S25" s="10"/>
      <c r="T25" s="10">
        <v>10</v>
      </c>
      <c r="U25" s="10"/>
      <c r="V25" s="10">
        <v>3</v>
      </c>
      <c r="W25" s="10">
        <v>170</v>
      </c>
      <c r="X25" s="10">
        <v>170</v>
      </c>
      <c r="Y25" s="10"/>
    </row>
    <row r="26" spans="1:25" ht="20.100000000000001" customHeight="1" x14ac:dyDescent="0.2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49" t="s">
        <v>131</v>
      </c>
      <c r="H26" s="149"/>
      <c r="I26" s="149" t="s">
        <v>130</v>
      </c>
      <c r="J26" s="149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00000000000001" customHeight="1" x14ac:dyDescent="0.2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00000000000001" customHeight="1" x14ac:dyDescent="0.2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2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2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2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2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2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2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2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2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2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2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2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2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2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25">
      <c r="N43" s="52"/>
    </row>
    <row r="44" spans="1:25" ht="20.100000000000001" customHeight="1" x14ac:dyDescent="0.2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00000000000001" customHeight="1" x14ac:dyDescent="0.2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2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2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2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2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2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2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2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2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2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2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2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2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2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2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2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2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2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2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2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2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2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2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2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2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2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2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2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2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2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2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2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2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2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0">
        <f ca="1">DATE(YEAR(Sheet1!J1),MONTH(Sheet1!J1)+1,DAY(Sheet1!J1))</f>
        <v>45516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0">
        <f ca="1">DATE(YEAR(Sheet1!J1),MONTH(Sheet1!J1),DAY(Sheet1!J1)+21)</f>
        <v>45506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2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2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2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2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2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2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2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2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2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2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2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2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2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2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2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2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2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2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2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2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2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2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2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2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2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2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2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2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2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2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2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2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2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2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25">
      <c r="A59" s="59" t="s">
        <v>147</v>
      </c>
    </row>
    <row r="60" spans="1:20" x14ac:dyDescent="0.25">
      <c r="A60" s="59" t="s">
        <v>148</v>
      </c>
      <c r="O60" s="1"/>
      <c r="Q60" s="1"/>
      <c r="R60" s="3"/>
      <c r="S60" s="1"/>
    </row>
    <row r="61" spans="1:20" x14ac:dyDescent="0.25">
      <c r="A61" s="59" t="s">
        <v>149</v>
      </c>
      <c r="O61" s="1"/>
      <c r="Q61" s="1"/>
      <c r="R61" s="1"/>
      <c r="S61" s="1"/>
    </row>
    <row r="62" spans="1:20" x14ac:dyDescent="0.25">
      <c r="A62" s="59" t="s">
        <v>150</v>
      </c>
      <c r="O62" s="1"/>
      <c r="Q62" s="1"/>
      <c r="R62" s="1"/>
      <c r="S62" s="1"/>
    </row>
    <row r="63" spans="1:20" x14ac:dyDescent="0.25">
      <c r="A63" s="59" t="s">
        <v>151</v>
      </c>
      <c r="O63" s="1"/>
      <c r="Q63" s="1"/>
      <c r="R63" s="1"/>
      <c r="S63" s="1"/>
      <c r="T63" s="1"/>
    </row>
    <row r="64" spans="1:20" x14ac:dyDescent="0.25">
      <c r="A64" s="59" t="s">
        <v>152</v>
      </c>
      <c r="O64" s="1"/>
      <c r="Q64" s="1"/>
      <c r="R64" s="1"/>
      <c r="S64" s="1"/>
      <c r="T64" s="1"/>
    </row>
    <row r="65" spans="1:20" x14ac:dyDescent="0.2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CB6B3A0-6BA5-4CE2-8E42-F7EBEBC54EF5}"/>
</file>

<file path=customXml/itemProps2.xml><?xml version="1.0" encoding="utf-8"?>
<ds:datastoreItem xmlns:ds="http://schemas.openxmlformats.org/officeDocument/2006/customXml" ds:itemID="{8FD59428-E136-4925-B7C5-62FD9D987049}"/>
</file>

<file path=customXml/itemProps3.xml><?xml version="1.0" encoding="utf-8"?>
<ds:datastoreItem xmlns:ds="http://schemas.openxmlformats.org/officeDocument/2006/customXml" ds:itemID="{31F850DC-DEF5-48B9-A709-42E0C68F42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2023-07-25T00:33:05Z</cp:lastPrinted>
  <dcterms:created xsi:type="dcterms:W3CDTF">2019-11-27T23:28:06Z</dcterms:created>
  <dcterms:modified xsi:type="dcterms:W3CDTF">2024-07-12T04:26:07Z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