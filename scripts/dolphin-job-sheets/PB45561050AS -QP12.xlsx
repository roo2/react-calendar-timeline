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79167E4-D5AE-4E85-A37D-B935C0972E19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<sst xmlns="http://schemas.openxmlformats.org/spreadsheetml/2006/main" count="307" uniqueCount="203">
  <si>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</si>
  <si>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</si>
  <si>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</si>
  <si>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</si>
  <si>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</si>
  <si>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</si>
  <si>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</si>
  <si>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</si>
  <si>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</si>
  <si>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</si>
  <si>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</si>
  <si>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</si>
  <si>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</si>
  <si>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</si>
  <si>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</si>
  <si>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</si>
  <si>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</si>
  <si>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</si>
  <si>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</si>
  <si>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</si>
  <si>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</si>
  <si>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</si>
  <si>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</si>
  <si>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</si>
  <si>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</si>
  <si>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</si>
  <si>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</si>
  <si>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</si>
  <si>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</si>
  <si>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</si>
  <si>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</si>
  <si>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</si>
  <si>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</si>
  <si>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</si>
  <si>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</si>
  <si>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</si>
  <si>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</si>
  <si>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</si>
  <si>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</si>
  <si>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</si>
  <si>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</si>
  <si>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</si>
  <si>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</si>
  <si>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</si>
  <si>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</si>
  <si>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</si>
  <si>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</si>
  <si>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</si>
  <si>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</si>
  <si>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</si>
  <si>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</si>
  <si>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</si>
  <si>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</si>
  <si>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</si>
  <si>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</si>
  <si>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</si>
  <si>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</si>
  <si>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</si>
  <si>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</si>
  <si>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</si>
  <si>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</si>
  <si>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</si>
  <si>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</si>
  <si>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</si>
  <si>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</si>
  <si>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</si>
  <si>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</si>
  <si>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</si>
  <si>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</si>
  <si>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</si>
  <si>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</si>
  <si>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</si>
  <si>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</si>
  <si>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</si>
  <si>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</si>
  <si>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</si>
  <si>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</si>
  <si>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</si>
  <si>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</si>
  <si>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</si>
  <si>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</si>
  <si>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</si>
  <si>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</si>
  <si>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</si>
  <si>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</si>
  <si>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</si>
  <si>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</si>
  <si>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</si>
  <si>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</si>
  <si>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</si>
  <si>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</si>
  <si>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</si>
  <si>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</si>
  <si>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</si>
  <si>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</si>
  <si>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</si>
  <si>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</si>
  <si>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</si>
  <si>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</si>
  <si>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</si>
  <si>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</si>
  <si>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</si>
  <si>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</si>
  <si>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</si>
  <si>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</si>
  <si>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</si>
  <si>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</si>
  <si>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</si>
  <si>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</si>
  <si>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</si>
  <si>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</si>
  <si>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</si>
  <si>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</si>
  <si>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</si>
  <si>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</si>
  <si>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</si>
  <si>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</si>
  <si>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</si>
  <si>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</si>
  <si>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</si>
  <si>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</si>
  <si>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</si>
  <si>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</si>
  <si>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</si>
  <si>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</si>
  <si>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</si>
  <si>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</si>
  <si>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</si>
  <si>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</si>
  <si>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</si>
  <si>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</si>
  <si>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</si>
  <si>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</si>
  <si>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</si>
  <si>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</si>
  <si>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</si>
  <si>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</si>
  <si>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</si>
  <si>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</si>
  <si>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</si>
  <si>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</si>
  <si>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</si>
  <si>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</si>
  <si>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</si>
  <si>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</si>
  <si>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</si>
  <si>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</si>
  <si>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</si>
  <si>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</si>
  <si>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</si>
  <si>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</si>
  <si>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</si>
  <si>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</si>
  <si>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</si>
  <si>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</si>
  <si>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</si>
  <si>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</si>
  <si>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</si>
  <si>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</si>
  <si>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</si>
  <si>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</si>
  <si>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</si>
  <si>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</si>
  <si>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</si>
  <si>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</si>
  <si>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</si>
  <si>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</si>
  <si>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</si>
  <si>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</si>
  <si>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</si>
  <si>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</si>
  <si>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</si>
  <si>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</si>
  <si>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</si>
  <si>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</si>
  <si>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</si>
  <si>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</si>
  <si>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</si>
  <si>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</si>
  <si>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</si>
  <si>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</si>
  <si>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</si>
  <si>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</si>
  <si>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</si>
  <si>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</si>
  <si>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</si>
  <si>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</si>
  <si>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</si>
  <si>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</si>
  <si>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</si>
  <si>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</si>
  <si>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</si>
  <si>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</si>
  <si>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</si>
  <si>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ANTISTATIC</t>
  </si>
  <si>
    <t xml:space="preserve"> +/- 5um</t>
  </si>
  <si>
    <t>PERF</t>
  </si>
  <si>
    <t>2.5(34)</t>
  </si>
  <si>
    <t>2+2.5</t>
  </si>
  <si>
    <t>QP12</t>
  </si>
  <si>
    <t>WIDTH IS CRITICAL MUST NOT BE UNDER 455MM</t>
  </si>
  <si>
    <t xml:space="preserve"> +5/- 0mm</t>
  </si>
  <si>
    <t>ABL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</si>
</sst>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15" fillId="5" borderId="2" xfId="0" applyFont="1" applyFill="1" applyBorder="1" applyAlignment="1" applyProtection="1">
      <alignment horizontal="center"/>
      <protection locked="0"/>
    </xf>
    <xf numFmtId="0" fontId="15" fillId="5" borderId="5" xfId="0" applyFont="1" applyFill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/>
      <protection locked="0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 applyProtection="1">
      <alignment horizontal="center" vertical="center"/>
      <protection locked="0"/>
    </xf>
    <xf numFmtId="0" fontId="16" fillId="5" borderId="0" xfId="0" applyFont="1" applyFill="1" applyBorder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center" vertical="center"/>
      <protection locked="0"/>
    </xf>
    <xf numFmtId="0" fontId="16" fillId="5" borderId="1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2" xfId="0" applyFont="1" applyFill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10" sqref="O10:P10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PB45561050AS</v>
      </c>
      <c r="C1" s="122"/>
      <c r="D1" s="123"/>
      <c r="E1" s="12" t="s">
        <v>57</v>
      </c>
      <c r="F1" s="124" t="s">
        <v>202</v>
      </c>
      <c r="G1" s="124"/>
      <c r="H1" s="125"/>
      <c r="I1" s="13" t="s">
        <v>181</v>
      </c>
      <c r="J1" s="95">
        <f ca="1">TODAY()</f>
        <v>44252</v>
      </c>
      <c r="K1" s="95"/>
      <c r="L1" s="96"/>
      <c r="M1" s="34"/>
      <c r="N1" s="12" t="s">
        <v>56</v>
      </c>
      <c r="O1" s="122" t="str">
        <f>B1</f>
        <v>PB45561050AS</v>
      </c>
      <c r="P1" s="122"/>
      <c r="Q1" s="123"/>
      <c r="R1" s="12" t="s">
        <v>57</v>
      </c>
      <c r="S1" s="122" t="str">
        <f>F1</f>
        <v>ABL DISTRIBUTION</v>
      </c>
      <c r="T1" s="122"/>
      <c r="U1" s="123"/>
      <c r="V1" s="12" t="s">
        <v>181</v>
      </c>
      <c r="W1" s="95">
        <f ca="1">J1</f>
        <v>44252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QP12</v>
      </c>
      <c r="C2" s="122"/>
      <c r="D2" s="123"/>
      <c r="E2" s="12" t="s">
        <v>58</v>
      </c>
      <c r="F2" s="98">
        <v>939694</v>
      </c>
      <c r="G2" s="98"/>
      <c r="H2" s="99"/>
      <c r="I2" s="12" t="s">
        <v>59</v>
      </c>
      <c r="J2" s="97">
        <v>44273</v>
      </c>
      <c r="K2" s="98"/>
      <c r="L2" s="99"/>
      <c r="M2" s="34"/>
      <c r="N2" s="12" t="s">
        <v>100</v>
      </c>
      <c r="O2" s="122" t="str">
        <f>IF(B2="","",B2)</f>
        <v>QP12</v>
      </c>
      <c r="P2" s="122"/>
      <c r="Q2" s="123"/>
      <c r="R2" s="12" t="s">
        <v>58</v>
      </c>
      <c r="S2" s="122">
        <f>IF(F2="","",F2)</f>
        <v>939694</v>
      </c>
      <c r="T2" s="122"/>
      <c r="U2" s="123"/>
      <c r="V2" s="12" t="s">
        <v>59</v>
      </c>
      <c r="W2" s="126">
        <f>J2</f>
        <v>44273</v>
      </c>
      <c r="X2" s="122"/>
      <c r="Y2" s="123"/>
    </row>
    <row r="3" spans="1:28" ht="20.100000000000001" customHeight="1" x14ac:dyDescent="0.25">
      <c r="A3" s="163" t="s">
        <v>200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5"/>
      <c r="M3" s="34"/>
      <c r="N3" s="172" t="str">
        <f>A3</f>
        <v>WIDTH IS CRITICAL MUST NOT BE UNDER 455MM</v>
      </c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4"/>
    </row>
    <row r="4" spans="1:28" ht="20.100000000000001" customHeight="1" x14ac:dyDescent="0.25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8"/>
      <c r="M4" s="34"/>
      <c r="N4" s="175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7"/>
    </row>
    <row r="5" spans="1:28" ht="20.100000000000001" customHeight="1" x14ac:dyDescent="0.25">
      <c r="A5" s="169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34"/>
      <c r="N5" s="178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80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12</v>
      </c>
      <c r="P7" s="99"/>
      <c r="Q7" s="12" t="str">
        <f>IF(ISNUMBER(SEARCH("roll",O8,1)),"Per Roll","Per Carton")</f>
        <v>Per Carton</v>
      </c>
      <c r="R7" s="98">
        <v>250</v>
      </c>
      <c r="S7" s="99"/>
      <c r="T7" s="12" t="str">
        <f>IF(ISNUMBER(SEARCH("bag",O8,1)),"Total Bags","Total Sheets")</f>
        <v>Total Bags</v>
      </c>
      <c r="U7" s="122">
        <f>R7*O7</f>
        <v>3000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455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29" t="s">
        <v>164</v>
      </c>
      <c r="P8" s="13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27" t="str">
        <f>IF(AND(W8="Gusset",X9=""), "None",IF(AND(W8="Centrefold",X9=""),"None",IF(W8="Gusset","G",IF(W8="Centrefold","CF"))))</f>
        <v>None</v>
      </c>
      <c r="Y8" s="128"/>
    </row>
    <row r="9" spans="1:28" ht="20.100000000000001" customHeight="1" x14ac:dyDescent="0.3">
      <c r="A9" s="18" t="s">
        <v>48</v>
      </c>
      <c r="B9" s="161" t="s">
        <v>201</v>
      </c>
      <c r="C9" s="162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31" t="str">
        <f>IF(O8="Poly Bag","PB",IF(O8="Poly Bag Roll","PBR",IF(O8="Centrefold Roll","CFR",IF(O8="Sheet","S",IF(O8="Sheet Roll","SR")))))</f>
        <v>PB</v>
      </c>
      <c r="P9" s="132"/>
      <c r="Q9" s="19"/>
      <c r="R9" s="35">
        <v>455</v>
      </c>
      <c r="S9" s="20" t="s">
        <v>78</v>
      </c>
      <c r="T9" s="35">
        <v>610</v>
      </c>
      <c r="U9" s="20" t="s">
        <v>78</v>
      </c>
      <c r="V9" s="35">
        <v>50</v>
      </c>
      <c r="W9" s="19"/>
      <c r="X9" s="142"/>
      <c r="Y9" s="143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83.265000000000001</v>
      </c>
      <c r="F10" s="113"/>
      <c r="G10" s="12" t="s">
        <v>53</v>
      </c>
      <c r="H10" s="116">
        <f>IF(ISNUMBER(SEARCH("sheet",O8,1)),(U7*T9/2000*1.08),(U7*T9/1000*1.08))</f>
        <v>1976.4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29" t="s">
        <v>44</v>
      </c>
      <c r="P10" s="130"/>
      <c r="Q10" s="16" t="s">
        <v>50</v>
      </c>
      <c r="R10" s="127" t="str">
        <f>IF(K11="NONE","None",IF(K11="INLINE","Yes",IF(K11="OUT OF LINE","Yes")))</f>
        <v>None</v>
      </c>
      <c r="S10" s="127"/>
      <c r="T10" s="16" t="s">
        <v>100</v>
      </c>
      <c r="U10" s="134" t="s">
        <v>199</v>
      </c>
      <c r="V10" s="134"/>
      <c r="W10" s="134"/>
      <c r="X10" s="134"/>
      <c r="Y10" s="13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20.81625</v>
      </c>
      <c r="F11" s="115"/>
      <c r="G11" s="12" t="s">
        <v>15</v>
      </c>
      <c r="H11" s="114">
        <f>H10/B10</f>
        <v>494.1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36"/>
      <c r="V11" s="136"/>
      <c r="W11" s="136"/>
      <c r="X11" s="136"/>
      <c r="Y11" s="13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3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12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3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3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1"/>
      <c r="Y16" s="94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149"/>
      <c r="J17" s="150"/>
      <c r="K17" s="149"/>
      <c r="L17" s="150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1"/>
      <c r="Y17" s="94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149"/>
      <c r="J18" s="150"/>
      <c r="K18" s="149"/>
      <c r="L18" s="150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1"/>
      <c r="Y18" s="94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149"/>
      <c r="J19" s="150"/>
      <c r="K19" s="149"/>
      <c r="L19" s="150"/>
      <c r="M19" s="34"/>
      <c r="N19" s="152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4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149"/>
      <c r="J20" s="150"/>
      <c r="K20" s="149"/>
      <c r="L20" s="150"/>
      <c r="M20" s="34"/>
      <c r="N20" s="155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7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149"/>
      <c r="J21" s="150"/>
      <c r="K21" s="149"/>
      <c r="L21" s="150"/>
      <c r="M21" s="34"/>
      <c r="N21" s="155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7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144"/>
      <c r="F22" s="94"/>
      <c r="G22" s="56" t="s">
        <v>86</v>
      </c>
      <c r="H22" s="37"/>
      <c r="I22" s="149"/>
      <c r="J22" s="150"/>
      <c r="K22" s="149"/>
      <c r="L22" s="150"/>
      <c r="M22" s="34"/>
      <c r="N22" s="158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60"/>
    </row>
    <row r="23" spans="1:25" ht="20.100000000000001" customHeight="1" x14ac:dyDescent="0.25">
      <c r="A23" s="90" t="s">
        <v>194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9"/>
      <c r="E23" s="144">
        <v>0.02</v>
      </c>
      <c r="F23" s="94"/>
      <c r="G23" s="56" t="s">
        <v>87</v>
      </c>
      <c r="H23" s="37"/>
      <c r="I23" s="149"/>
      <c r="J23" s="150"/>
      <c r="K23" s="149"/>
      <c r="L23" s="150"/>
      <c r="M23" s="34"/>
      <c r="N23" s="13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149"/>
      <c r="J24" s="150"/>
      <c r="K24" s="149"/>
      <c r="L24" s="150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 t="s">
        <v>197</v>
      </c>
      <c r="R25" s="10">
        <v>5.5</v>
      </c>
      <c r="S25" s="10">
        <v>4</v>
      </c>
      <c r="T25" s="10">
        <v>8</v>
      </c>
      <c r="U25" s="10" t="s">
        <v>198</v>
      </c>
      <c r="V25" s="10">
        <v>2.5</v>
      </c>
      <c r="W25" s="10">
        <v>5.8</v>
      </c>
      <c r="X25" s="10">
        <v>160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48" t="s">
        <v>132</v>
      </c>
      <c r="H26" s="148"/>
      <c r="I26" s="148" t="s">
        <v>131</v>
      </c>
      <c r="J26" s="148"/>
      <c r="K26" s="28" t="s">
        <v>94</v>
      </c>
      <c r="L26" s="28" t="s">
        <v>95</v>
      </c>
      <c r="M26" s="34"/>
      <c r="N26" s="145" t="s">
        <v>137</v>
      </c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38" t="s">
        <v>99</v>
      </c>
      <c r="B29" s="139"/>
      <c r="C29" s="139"/>
      <c r="D29" s="139"/>
      <c r="E29" s="139"/>
      <c r="F29" s="140"/>
      <c r="G29" s="140"/>
      <c r="H29" s="140"/>
      <c r="I29" s="140"/>
      <c r="J29" s="140"/>
      <c r="K29" s="139"/>
      <c r="L29" s="14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44280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44273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0E9E03-F97D-4377-B290-3FD86C97F6AA}"/>
</file>

<file path=customXml/itemProps2.xml><?xml version="1.0" encoding="utf-8"?>
<ds:datastoreItem xmlns:ds="http://schemas.openxmlformats.org/officeDocument/2006/customXml" ds:itemID="{71721588-4D7F-42C6-B6CB-7E2A98D9D908}"/>
</file>

<file path=customXml/itemProps3.xml><?xml version="1.0" encoding="utf-8"?>
<ds:datastoreItem xmlns:ds="http://schemas.openxmlformats.org/officeDocument/2006/customXml" ds:itemID="{06F1C141-0144-42D0-A3CA-14AAA1207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2021-02-25T00:31:36Z</cp:lastPrinted>
  <dcterms:created xsi:type="dcterms:W3CDTF">2019-11-27T23:28:06Z</dcterms:created>
  <dcterms:modified xsi:type="dcterms:W3CDTF">2021-02-25T03:10:26Z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