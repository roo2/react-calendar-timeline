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E68918BD-7533-4EB6-9507-CD7658631342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<sst xmlns="http://schemas.openxmlformats.org/spreadsheetml/2006/main" count="305" uniqueCount="201">
  <si>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</si>
  <si>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</si>
  <si>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</si>
  <si>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</si>
  <si>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</si>
  <si>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</si>
  <si>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</si>
  <si>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</si>
  <si>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</si>
  <si>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</si>
  <si>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</si>
  <si>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</si>
  <si>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</si>
  <si>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</si>
  <si>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</si>
  <si>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</si>
  <si>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</si>
  <si>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</si>
  <si>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</si>
  <si>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</si>
  <si>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</si>
  <si>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</si>
  <si>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</si>
  <si>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</si>
  <si>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</si>
  <si>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</si>
  <si>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</si>
  <si>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</si>
  <si>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</si>
  <si>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</si>
  <si>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</si>
  <si>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</si>
  <si>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</si>
  <si>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</si>
  <si>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</si>
  <si>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</si>
  <si>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</si>
  <si>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</si>
  <si>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</si>
  <si>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</si>
  <si>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</si>
  <si>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</si>
  <si>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</si>
  <si>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</si>
  <si>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</si>
  <si>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</si>
  <si>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</si>
  <si>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</si>
  <si>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</si>
  <si>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</si>
  <si>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</si>
  <si>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</si>
  <si>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</si>
  <si>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</si>
  <si>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</si>
  <si>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</si>
  <si>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</si>
  <si>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</si>
  <si>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</si>
  <si>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</si>
  <si>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</si>
  <si>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</si>
  <si>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</si>
  <si>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</si>
  <si>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</si>
  <si>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</si>
  <si>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</si>
  <si>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</si>
  <si>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</si>
  <si>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</si>
  <si>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</si>
  <si>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</si>
  <si>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</si>
  <si>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</si>
  <si>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</si>
  <si>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</si>
  <si>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</si>
  <si>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</si>
  <si>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</si>
  <si>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</si>
  <si>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</si>
  <si>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</si>
  <si>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</si>
  <si>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</si>
  <si>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</si>
  <si>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</si>
  <si>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</si>
  <si>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</si>
  <si>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</si>
  <si>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</si>
  <si>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</si>
  <si>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</si>
  <si>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</si>
  <si>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</si>
  <si>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</si>
  <si>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</si>
  <si>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</si>
  <si>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</si>
  <si>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</si>
  <si>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</si>
  <si>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</si>
  <si>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</si>
  <si>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</si>
  <si>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</si>
  <si>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</si>
  <si>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</si>
  <si>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</si>
  <si>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</si>
  <si>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</si>
  <si>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</si>
  <si>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</si>
  <si>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</si>
  <si>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</si>
  <si>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</si>
  <si>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</si>
  <si>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</si>
  <si>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</si>
  <si>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</si>
  <si>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</si>
  <si>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</si>
  <si>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</si>
  <si>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</si>
  <si>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</si>
  <si>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</si>
  <si>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</si>
  <si>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</si>
  <si>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</si>
  <si>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</si>
  <si>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</si>
  <si>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</si>
  <si>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</si>
  <si>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</si>
  <si>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</si>
  <si>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</si>
  <si>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</si>
  <si>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</si>
  <si>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</si>
  <si>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</si>
  <si>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</si>
  <si>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</si>
  <si>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</si>
  <si>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</si>
  <si>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</si>
  <si>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</si>
  <si>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</si>
  <si>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</si>
  <si>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</si>
  <si>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</si>
  <si>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</si>
  <si>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</si>
  <si>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</si>
  <si>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</si>
  <si>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</si>
  <si>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</si>
  <si>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</si>
  <si>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</si>
  <si>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</si>
  <si>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</si>
  <si>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</si>
  <si>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</si>
  <si>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</si>
  <si>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</si>
  <si>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</si>
  <si>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</si>
  <si>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</si>
  <si>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</si>
  <si>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</si>
  <si>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</si>
  <si>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</si>
  <si>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</si>
  <si>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</si>
  <si>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</si>
  <si>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</si>
  <si>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</si>
  <si>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</si>
  <si>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</si>
  <si>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</si>
  <si>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</si>
  <si>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</si>
  <si>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</si>
  <si>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</si>
  <si>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</si>
  <si>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</si>
  <si>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</si>
  <si>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</si>
  <si>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</si>
  <si>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</si>
  <si>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</si>
  <si>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</si>
  <si>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</si>
  <si>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</si>
  <si>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</si>
  <si>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</si>
  <si>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</si>
  <si>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</si>
  <si>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KENNETH M DELLIT</t>
  </si>
  <si>
    <t>(310+290)</t>
  </si>
  <si>
    <t>UV</t>
  </si>
  <si>
    <t>PERF</t>
  </si>
  <si>
    <t>RUN AT 130-140um</t>
  </si>
  <si>
    <t>PB600G520150BKUVV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</si>
</sst>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U10" sqref="U10:Y11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PB600G520140BKUVV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44074</v>
      </c>
      <c r="K1" s="95"/>
      <c r="L1" s="96"/>
      <c r="M1" s="34"/>
      <c r="N1" s="12" t="s">
        <v>56</v>
      </c>
      <c r="O1" s="122" t="str">
        <f>B1</f>
        <v>PB600G520140BKUVV</v>
      </c>
      <c r="P1" s="122"/>
      <c r="Q1" s="123"/>
      <c r="R1" s="12" t="s">
        <v>57</v>
      </c>
      <c r="S1" s="122" t="str">
        <f>F1</f>
        <v>KENNETH M DELLIT</v>
      </c>
      <c r="T1" s="122"/>
      <c r="U1" s="123"/>
      <c r="V1" s="12" t="s">
        <v>181</v>
      </c>
      <c r="W1" s="95">
        <f ca="1">J1</f>
        <v>44074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PB600G520150BKUVV</v>
      </c>
      <c r="C2" s="122"/>
      <c r="D2" s="123"/>
      <c r="E2" s="12" t="s">
        <v>58</v>
      </c>
      <c r="F2" s="98">
        <v>938266</v>
      </c>
      <c r="G2" s="98"/>
      <c r="H2" s="99"/>
      <c r="I2" s="12" t="s">
        <v>59</v>
      </c>
      <c r="J2" s="97">
        <v>44095</v>
      </c>
      <c r="K2" s="98"/>
      <c r="L2" s="99"/>
      <c r="M2" s="34"/>
      <c r="N2" s="12" t="s">
        <v>100</v>
      </c>
      <c r="O2" s="122" t="str">
        <f>IF(B2="","",B2)</f>
        <v>PB600G520150BKUVV</v>
      </c>
      <c r="P2" s="122"/>
      <c r="Q2" s="123"/>
      <c r="R2" s="12" t="s">
        <v>58</v>
      </c>
      <c r="S2" s="122">
        <f>IF(F2="","",F2)</f>
        <v>938266</v>
      </c>
      <c r="T2" s="122"/>
      <c r="U2" s="123"/>
      <c r="V2" s="12" t="s">
        <v>59</v>
      </c>
      <c r="W2" s="135">
        <f>J2</f>
        <v>44095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177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30</v>
      </c>
      <c r="P7" s="99"/>
      <c r="Q7" s="12" t="str">
        <f>IF(ISNUMBER(SEARCH("roll",O8,1)),"Per Roll","Per Carton")</f>
        <v>Per Carton</v>
      </c>
      <c r="R7" s="98">
        <v>100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31</v>
      </c>
      <c r="Y7" s="99"/>
      <c r="AB7" s="14"/>
    </row>
    <row r="8" spans="1:28" ht="20.05" customHeight="1" x14ac:dyDescent="0.3">
      <c r="A8" s="15" t="s">
        <v>16</v>
      </c>
      <c r="B8" s="100">
        <f>R9</f>
        <v>600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(310+290)</v>
      </c>
      <c r="F8" s="101"/>
      <c r="G8" s="15" t="s">
        <v>52</v>
      </c>
      <c r="H8" s="100">
        <f>(IF(V9&lt;30,"30",V9))</f>
        <v>140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05" customHeight="1" x14ac:dyDescent="0.35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199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600</v>
      </c>
      <c r="S9" s="20" t="s">
        <v>78</v>
      </c>
      <c r="T9" s="35">
        <v>520</v>
      </c>
      <c r="U9" s="20" t="s">
        <v>78</v>
      </c>
      <c r="V9" s="35">
        <v>140</v>
      </c>
      <c r="W9" s="19"/>
      <c r="X9" s="151" t="s">
        <v>196</v>
      </c>
      <c r="Y9" s="152"/>
    </row>
    <row r="10" spans="1:28" ht="20.05" customHeight="1" x14ac:dyDescent="0.3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262.08</v>
      </c>
      <c r="F10" s="113"/>
      <c r="G10" s="12" t="s">
        <v>53</v>
      </c>
      <c r="H10" s="116">
        <f>IF(ISNUMBER(SEARCH("sheet",O8,1)),(U7*T9/2000*1.08),(U7*T9/1000*1.08))</f>
        <v>1684.8000000000002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140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200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32.76</v>
      </c>
      <c r="F11" s="115"/>
      <c r="G11" s="12" t="s">
        <v>15</v>
      </c>
      <c r="H11" s="114">
        <f>H10/B10</f>
        <v>210.60000000000002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30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37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>BLACK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 t="s">
        <v>197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44105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44095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3D4365-6A38-4B54-AF53-E5486E00850B}"/>
</file>

<file path=customXml/itemProps2.xml><?xml version="1.0" encoding="utf-8"?>
<ds:datastoreItem xmlns:ds="http://schemas.openxmlformats.org/officeDocument/2006/customXml" ds:itemID="{9A4BFCEC-3102-411F-A92F-16CBA37BBA4E}"/>
</file>

<file path=customXml/itemProps3.xml><?xml version="1.0" encoding="utf-8"?>
<ds:datastoreItem xmlns:ds="http://schemas.openxmlformats.org/officeDocument/2006/customXml" ds:itemID="{6A543C78-9952-4F06-BD6B-09A51123B1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2020-08-31T03:32:07Z</cp:lastPrinted>
  <dcterms:created xsi:type="dcterms:W3CDTF">2019-11-27T23:28:06Z</dcterms:created>
  <dcterms:modified xsi:type="dcterms:W3CDTF">2020-08-31T03:41:08Z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