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D3DF6CF-0A74-41F0-80D0-0F318A676EC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B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<sst xmlns="http://schemas.openxmlformats.org/spreadsheetml/2006/main" count="309" uniqueCount="205">
  <si>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</si>
  <si>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</si>
  <si>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</si>
  <si>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</si>
  <si>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</si>
  <si>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</si>
  <si>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</si>
  <si>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</si>
  <si>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</si>
  <si>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</si>
  <si>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</si>
  <si>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</si>
  <si>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</si>
  <si>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</si>
  <si>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</si>
  <si>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</si>
  <si>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</si>
  <si>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</si>
  <si>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</si>
  <si>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</si>
  <si>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</si>
  <si>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</si>
  <si>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</si>
  <si>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</si>
  <si>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</si>
  <si>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</si>
  <si>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</si>
  <si>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</si>
  <si>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</si>
  <si>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</si>
  <si>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</si>
  <si>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</si>
  <si>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</si>
  <si>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</si>
  <si>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</si>
  <si>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</si>
  <si>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</si>
  <si>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</si>
  <si>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</si>
  <si>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</si>
  <si>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</si>
  <si>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</si>
  <si>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</si>
  <si>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</si>
  <si>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</si>
  <si>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</si>
  <si>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</si>
  <si>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</si>
  <si>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</si>
  <si>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</si>
  <si>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</si>
  <si>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</si>
  <si>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</si>
  <si>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</si>
  <si>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</si>
  <si>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</si>
  <si>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</si>
  <si>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</si>
  <si>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</si>
  <si>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</si>
  <si>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</si>
  <si>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</si>
  <si>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</si>
  <si>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</si>
  <si>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</si>
  <si>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</si>
  <si>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</si>
  <si>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</si>
  <si>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</si>
  <si>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</si>
  <si>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</si>
  <si>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</si>
  <si>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</si>
  <si>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</si>
  <si>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</si>
  <si>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</si>
  <si>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</si>
  <si>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</si>
  <si>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</si>
  <si>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</si>
  <si>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</si>
  <si>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</si>
  <si>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</si>
  <si>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</si>
  <si>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</si>
  <si>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</si>
  <si>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</si>
  <si>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</si>
  <si>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</si>
  <si>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</si>
  <si>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</si>
  <si>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</si>
  <si>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</si>
  <si>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</si>
  <si>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</si>
  <si>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</si>
  <si>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</si>
  <si>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</si>
  <si>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</si>
  <si>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</si>
  <si>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</si>
  <si>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</si>
  <si>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</si>
  <si>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</si>
  <si>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</si>
  <si>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</si>
  <si>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</si>
  <si>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</si>
  <si>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</si>
  <si>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</si>
  <si>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</si>
  <si>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</si>
  <si>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</si>
  <si>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</si>
  <si>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</si>
  <si>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</si>
  <si>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</si>
  <si>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</si>
  <si>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</si>
  <si>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</si>
  <si>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</si>
  <si>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</si>
  <si>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</si>
  <si>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</si>
  <si>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</si>
  <si>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</si>
  <si>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</si>
  <si>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</si>
  <si>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</si>
  <si>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</si>
  <si>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</si>
  <si>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</si>
  <si>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</si>
  <si>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</si>
  <si>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</si>
  <si>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</si>
  <si>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</si>
  <si>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</si>
  <si>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</si>
  <si>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</si>
  <si>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</si>
  <si>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</si>
  <si>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</si>
  <si>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</si>
  <si>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</si>
  <si>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</si>
  <si>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</si>
  <si>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</si>
  <si>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</si>
  <si>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</si>
  <si>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</si>
  <si>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</si>
  <si>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</si>
  <si>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</si>
  <si>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</si>
  <si>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</si>
  <si>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</si>
  <si>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</si>
  <si>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</si>
  <si>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</si>
  <si>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</si>
  <si>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</si>
  <si>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</si>
  <si>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</si>
  <si>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</si>
  <si>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</si>
  <si>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</si>
  <si>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</si>
  <si>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</si>
  <si>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</si>
  <si>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</si>
  <si>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</si>
  <si>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</si>
  <si>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</si>
  <si>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</si>
  <si>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</si>
  <si>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</si>
  <si>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</si>
  <si>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</si>
  <si>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</si>
  <si>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</si>
  <si>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</si>
  <si>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</si>
  <si>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</si>
  <si>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</si>
  <si>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</si>
  <si>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</si>
  <si>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</si>
  <si>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</si>
  <si>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</si>
  <si>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</si>
  <si>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</si>
  <si>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</si>
  <si>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</si>
  <si>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</si>
  <si>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</si>
  <si>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(212+193)</t>
  </si>
  <si>
    <t>20L TALL PLANTER BAG</t>
  </si>
  <si>
    <t>ASAP</t>
  </si>
  <si>
    <t>RUN AT 140UM</t>
  </si>
  <si>
    <t>Centrefold Roll</t>
  </si>
  <si>
    <t>PERF</t>
  </si>
  <si>
    <t>130 Meat</t>
  </si>
  <si>
    <t>150 Meat</t>
  </si>
  <si>
    <r>
      <rPr>
        <b/>
        <sz val="18"/>
        <color rgb="FFFF0000"/>
        <rFont val="Calibri"/>
        <family val="2"/>
        <scheme val="minor"/>
      </rPr>
      <t>130 MEAT CARTONS ONLY</t>
    </r>
    <r>
      <rPr>
        <sz val="14"/>
        <color theme="1"/>
        <rFont val="Calibri"/>
        <family val="2"/>
        <scheme val="minor"/>
      </rPr>
      <t xml:space="preserve">
PUNCH: 50MM SPACING FROM BOTTOM SEAL, 60MM IN FROM OUTER EDGE - </t>
    </r>
    <r>
      <rPr>
        <b/>
        <sz val="18"/>
        <color rgb="FFFF0000"/>
        <rFont val="Calibri"/>
        <family val="2"/>
        <scheme val="minor"/>
      </rPr>
      <t>MUST PACK IN BUNDLES OF 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</si>
</sst>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19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 wrapText="1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6" sqref="A6:L6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PB405G480150BKUVV</v>
      </c>
      <c r="C1" s="111"/>
      <c r="D1" s="112"/>
      <c r="E1" s="11" t="s">
        <v>57</v>
      </c>
      <c r="F1" s="65" t="s">
        <v>193</v>
      </c>
      <c r="G1" s="65"/>
      <c r="H1" s="66"/>
      <c r="I1" s="12" t="s">
        <v>181</v>
      </c>
      <c r="J1" s="122">
        <f ca="1">TODAY()</f>
        <v>45775</v>
      </c>
      <c r="K1" s="122"/>
      <c r="L1" s="123"/>
      <c r="M1" s="30"/>
      <c r="N1" s="11" t="s">
        <v>56</v>
      </c>
      <c r="O1" s="111" t="str">
        <f>B1</f>
        <v>PB405G480150BKUVV</v>
      </c>
      <c r="P1" s="111"/>
      <c r="Q1" s="112"/>
      <c r="R1" s="11" t="s">
        <v>57</v>
      </c>
      <c r="S1" s="111" t="str">
        <f>F1</f>
        <v>HT CONCEPTS</v>
      </c>
      <c r="T1" s="111"/>
      <c r="U1" s="112"/>
      <c r="V1" s="11" t="s">
        <v>181</v>
      </c>
      <c r="W1" s="122">
        <f ca="1">J1</f>
        <v>45775</v>
      </c>
      <c r="X1" s="122"/>
      <c r="Y1" s="123"/>
    </row>
    <row r="2" spans="1:25" ht="20.149999999999999" customHeight="1" x14ac:dyDescent="0.8">
      <c r="A2" s="11" t="s">
        <v>100</v>
      </c>
      <c r="B2" s="111" t="str">
        <f>IF(U10="","",U10)</f>
        <v>20L TALL PLANTER BAG</v>
      </c>
      <c r="C2" s="111"/>
      <c r="D2" s="112"/>
      <c r="E2" s="11" t="s">
        <v>58</v>
      </c>
      <c r="F2" s="65">
        <v>949819</v>
      </c>
      <c r="G2" s="65"/>
      <c r="H2" s="66"/>
      <c r="I2" s="11" t="s">
        <v>59</v>
      </c>
      <c r="J2" s="125">
        <v>45796</v>
      </c>
      <c r="K2" s="125"/>
      <c r="L2" s="126"/>
      <c r="M2" s="30"/>
      <c r="N2" s="11" t="s">
        <v>100</v>
      </c>
      <c r="O2" s="111" t="str">
        <f>IF(B2="","",B2)</f>
        <v>20L TALL PLANTER BAG</v>
      </c>
      <c r="P2" s="111"/>
      <c r="Q2" s="112"/>
      <c r="R2" s="11" t="s">
        <v>58</v>
      </c>
      <c r="S2" s="111">
        <f>IF(F2="","",F2)</f>
        <v>949819</v>
      </c>
      <c r="T2" s="111"/>
      <c r="U2" s="112"/>
      <c r="V2" s="11" t="s">
        <v>59</v>
      </c>
      <c r="W2" s="124">
        <f>J2</f>
        <v>45796</v>
      </c>
      <c r="X2" s="111"/>
      <c r="Y2" s="112"/>
    </row>
    <row r="3" spans="1:25" ht="20.149999999999999" customHeight="1" x14ac:dyDescent="0.75">
      <c r="A3" s="113" t="s">
        <v>192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49999999999999" customHeight="1" x14ac:dyDescent="0.9">
      <c r="A7" s="11" t="s">
        <v>49</v>
      </c>
      <c r="B7" s="103" t="s">
        <v>177</v>
      </c>
      <c r="C7" s="103"/>
      <c r="D7" s="103"/>
      <c r="E7" s="103"/>
      <c r="F7" s="103"/>
      <c r="G7" s="103"/>
      <c r="H7" s="103"/>
      <c r="I7" s="104"/>
      <c r="J7" s="70" t="s">
        <v>179</v>
      </c>
      <c r="K7" s="70"/>
      <c r="L7" s="71"/>
      <c r="M7" s="30"/>
      <c r="N7" s="11" t="str">
        <f>IF(ISNUMBER(SEARCH("roll",O8,1)),"No. Rolls","No. Cartons")</f>
        <v>No. Cartons</v>
      </c>
      <c r="O7" s="65">
        <v>15</v>
      </c>
      <c r="P7" s="66"/>
      <c r="Q7" s="11" t="str">
        <f>IF(ISNUMBER(SEARCH("roll",O8,1)),"Per Roll","Per Carton")</f>
        <v>Per Carton</v>
      </c>
      <c r="R7" s="65">
        <v>250</v>
      </c>
      <c r="S7" s="66"/>
      <c r="T7" s="11" t="str">
        <f>IF(ISNUMBER(SEARCH("bag",O8,1)),"Total Bags","Total Sheets")</f>
        <v>Total Bags</v>
      </c>
      <c r="U7" s="111">
        <f>R7*O7</f>
        <v>3750</v>
      </c>
      <c r="V7" s="112"/>
      <c r="W7" s="11" t="s">
        <v>102</v>
      </c>
      <c r="X7" s="65" t="s">
        <v>23</v>
      </c>
      <c r="Y7" s="66"/>
    </row>
    <row r="8" spans="1:25" ht="20.149999999999999" customHeight="1" x14ac:dyDescent="0.8">
      <c r="A8" s="13" t="s">
        <v>16</v>
      </c>
      <c r="B8" s="99">
        <f>R9</f>
        <v>405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(212+193)</v>
      </c>
      <c r="F8" s="100"/>
      <c r="G8" s="13" t="s">
        <v>52</v>
      </c>
      <c r="H8" s="99">
        <f>(IF(V9&lt;30,"30",V9))</f>
        <v>150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49999999999999" customHeight="1" x14ac:dyDescent="0.9">
      <c r="A9" s="17" t="s">
        <v>48</v>
      </c>
      <c r="B9" s="129" t="s">
        <v>195</v>
      </c>
      <c r="C9" s="130"/>
      <c r="D9" s="137" t="str">
        <f>IF(K10="Middle","RUN 2 UP",IF(AND(O8="Centrefold Roll",B8=380),"RUN 2 UP",""))</f>
        <v/>
      </c>
      <c r="E9" s="103"/>
      <c r="F9" s="104"/>
      <c r="G9" s="17" t="s">
        <v>48</v>
      </c>
      <c r="H9" s="129" t="s">
        <v>199</v>
      </c>
      <c r="I9" s="130"/>
      <c r="J9" s="11" t="s">
        <v>55</v>
      </c>
      <c r="K9" s="65" t="s">
        <v>30</v>
      </c>
      <c r="L9" s="66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405</v>
      </c>
      <c r="S9" s="19" t="s">
        <v>78</v>
      </c>
      <c r="T9" s="31">
        <v>480</v>
      </c>
      <c r="U9" s="19" t="s">
        <v>78</v>
      </c>
      <c r="V9" s="31">
        <v>150</v>
      </c>
      <c r="W9" s="18"/>
      <c r="X9" s="91" t="s">
        <v>196</v>
      </c>
      <c r="Y9" s="92"/>
    </row>
    <row r="10" spans="1:25" ht="20.149999999999999" customHeight="1" x14ac:dyDescent="0.8">
      <c r="A10" s="11" t="s">
        <v>51</v>
      </c>
      <c r="B10" s="65">
        <v>7</v>
      </c>
      <c r="C10" s="66"/>
      <c r="D10" s="48" t="s">
        <v>134</v>
      </c>
      <c r="E10" s="131">
        <f>IF(ISNUMBER(SEARCH("sheet",O8,1)),((R9*T9*H8/540000)*U7/2000*1.3),((R9*T9*H8/540000)*U7/1000*1.08))</f>
        <v>218.70000000000002</v>
      </c>
      <c r="F10" s="132"/>
      <c r="G10" s="11" t="s">
        <v>53</v>
      </c>
      <c r="H10" s="135">
        <f>IF(ISNUMBER(SEARCH("sheet",O8,1)),(U7*T9/2000*1.08),(U7*T9/1000*1.08))</f>
        <v>1944.0000000000002</v>
      </c>
      <c r="I10" s="136"/>
      <c r="J10" s="11" t="s">
        <v>41</v>
      </c>
      <c r="K10" s="65" t="s">
        <v>44</v>
      </c>
      <c r="L10" s="66"/>
      <c r="M10" s="30"/>
      <c r="N10" s="14" t="s">
        <v>141</v>
      </c>
      <c r="O10" s="101" t="s">
        <v>188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197</v>
      </c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3">
        <f>E10/B10</f>
        <v>31.242857142857144</v>
      </c>
      <c r="F11" s="134"/>
      <c r="G11" s="11" t="s">
        <v>15</v>
      </c>
      <c r="H11" s="133">
        <f>H10/B10</f>
        <v>277.71428571428572</v>
      </c>
      <c r="I11" s="134"/>
      <c r="J11" s="11" t="s">
        <v>50</v>
      </c>
      <c r="K11" s="65" t="s">
        <v>44</v>
      </c>
      <c r="L11" s="66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49999999999999" customHeight="1" x14ac:dyDescent="0.8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77</v>
      </c>
      <c r="P13" s="11" t="s">
        <v>73</v>
      </c>
      <c r="Q13" s="21">
        <f>O7</f>
        <v>15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49999999999999" customHeight="1" x14ac:dyDescent="0.7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49999999999999" customHeight="1" x14ac:dyDescent="0.8">
      <c r="A16" s="69" t="s">
        <v>3</v>
      </c>
      <c r="B16" s="71"/>
      <c r="C16" s="69" t="s">
        <v>142</v>
      </c>
      <c r="D16" s="71"/>
      <c r="E16" s="150" t="s">
        <v>4</v>
      </c>
      <c r="F16" s="150"/>
      <c r="G16" s="150" t="s">
        <v>5</v>
      </c>
      <c r="H16" s="150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 t="s">
        <v>202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49999999999999" customHeight="1" x14ac:dyDescent="0.8">
      <c r="A17" s="64" t="s">
        <v>6</v>
      </c>
      <c r="B17" s="64"/>
      <c r="C17" s="95" t="s">
        <v>147</v>
      </c>
      <c r="D17" s="96"/>
      <c r="E17" s="62"/>
      <c r="F17" s="63"/>
      <c r="G17" s="49" t="s">
        <v>81</v>
      </c>
      <c r="H17" s="33"/>
      <c r="I17" s="62"/>
      <c r="J17" s="63"/>
      <c r="K17" s="62"/>
      <c r="L17" s="63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23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49999999999999" customHeight="1" x14ac:dyDescent="0.8">
      <c r="A18" s="64" t="s">
        <v>7</v>
      </c>
      <c r="B18" s="64"/>
      <c r="C18" s="95" t="s">
        <v>146</v>
      </c>
      <c r="D18" s="96"/>
      <c r="E18" s="62"/>
      <c r="F18" s="63"/>
      <c r="G18" s="49" t="s">
        <v>82</v>
      </c>
      <c r="H18" s="33"/>
      <c r="I18" s="62"/>
      <c r="J18" s="63"/>
      <c r="K18" s="62"/>
      <c r="L18" s="63"/>
      <c r="M18" s="30"/>
      <c r="N18" s="11" t="s">
        <v>101</v>
      </c>
      <c r="O18" s="65" t="s">
        <v>185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49999999999999" customHeight="1" x14ac:dyDescent="0.75">
      <c r="A19" s="64" t="s">
        <v>8</v>
      </c>
      <c r="B19" s="64"/>
      <c r="C19" s="95" t="s">
        <v>145</v>
      </c>
      <c r="D19" s="96"/>
      <c r="E19" s="62"/>
      <c r="F19" s="63"/>
      <c r="G19" s="49" t="s">
        <v>83</v>
      </c>
      <c r="H19" s="33"/>
      <c r="I19" s="62"/>
      <c r="J19" s="63"/>
      <c r="K19" s="62"/>
      <c r="L19" s="63"/>
      <c r="M19" s="30"/>
      <c r="N19" s="78" t="s">
        <v>204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64" t="s">
        <v>9</v>
      </c>
      <c r="B20" s="64"/>
      <c r="C20" s="95" t="s">
        <v>144</v>
      </c>
      <c r="D20" s="96"/>
      <c r="E20" s="62"/>
      <c r="F20" s="63"/>
      <c r="G20" s="49" t="s">
        <v>84</v>
      </c>
      <c r="H20" s="33"/>
      <c r="I20" s="62"/>
      <c r="J20" s="63"/>
      <c r="K20" s="62"/>
      <c r="L20" s="63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64" t="s">
        <v>10</v>
      </c>
      <c r="B21" s="64"/>
      <c r="C21" s="95" t="s">
        <v>143</v>
      </c>
      <c r="D21" s="96"/>
      <c r="E21" s="62"/>
      <c r="F21" s="63"/>
      <c r="G21" s="49" t="s">
        <v>85</v>
      </c>
      <c r="H21" s="33"/>
      <c r="I21" s="62"/>
      <c r="J21" s="63"/>
      <c r="K21" s="62"/>
      <c r="L21" s="63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64" t="str">
        <f>(IF(B7="NATURAL","",B7))</f>
        <v>BLACK</v>
      </c>
      <c r="B22" s="64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6"/>
      <c r="E22" s="62"/>
      <c r="F22" s="63"/>
      <c r="G22" s="49" t="s">
        <v>86</v>
      </c>
      <c r="H22" s="33"/>
      <c r="I22" s="62"/>
      <c r="J22" s="63"/>
      <c r="K22" s="62"/>
      <c r="L22" s="63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151" t="s">
        <v>194</v>
      </c>
      <c r="B23" s="151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62"/>
      <c r="F23" s="63"/>
      <c r="G23" s="49" t="s">
        <v>87</v>
      </c>
      <c r="H23" s="33"/>
      <c r="I23" s="62"/>
      <c r="J23" s="63"/>
      <c r="K23" s="62"/>
      <c r="L23" s="63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49999999999999" customHeight="1" x14ac:dyDescent="0.75">
      <c r="A24" s="152"/>
      <c r="B24" s="153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62"/>
      <c r="F24" s="63"/>
      <c r="G24" s="49" t="s">
        <v>88</v>
      </c>
      <c r="H24" s="33"/>
      <c r="I24" s="62"/>
      <c r="J24" s="63"/>
      <c r="K24" s="62"/>
      <c r="L24" s="63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201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8" t="s">
        <v>116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40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7" t="s">
        <v>136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9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45796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200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202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203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FDCD2A-65D3-4609-B27C-33BDB2B60A9C}"/>
</file>

<file path=customXml/itemProps2.xml><?xml version="1.0" encoding="utf-8"?>
<ds:datastoreItem xmlns:ds="http://schemas.openxmlformats.org/officeDocument/2006/customXml" ds:itemID="{C41098F5-17C2-413C-B5FD-94BEE4F2BF88}"/>
</file>

<file path=customXml/itemProps3.xml><?xml version="1.0" encoding="utf-8"?>
<ds:datastoreItem xmlns:ds="http://schemas.openxmlformats.org/officeDocument/2006/customXml" ds:itemID="{6C8E0DCF-1482-496E-AC81-0A2D490E7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2025-04-28T01:43:07Z</cp:lastPrinted>
  <dcterms:created xsi:type="dcterms:W3CDTF">2019-11-27T23:28:06Z</dcterms:created>
  <dcterms:modified xsi:type="dcterms:W3CDTF">2025-04-28T01:45:42Z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