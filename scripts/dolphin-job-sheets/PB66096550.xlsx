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35854C7-1003-4202-9321-A18F8F99DC8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<sst xmlns="http://schemas.openxmlformats.org/spreadsheetml/2006/main" count="305" uniqueCount="201">
  <si>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</si>
  <si>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</si>
  <si>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</si>
  <si>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</si>
  <si>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</si>
  <si>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</si>
  <si>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</si>
  <si>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</si>
  <si>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</si>
  <si>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</si>
  <si>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</si>
  <si>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</si>
  <si>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</si>
  <si>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</si>
  <si>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</si>
  <si>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</si>
  <si>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</si>
  <si>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</si>
  <si>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</si>
  <si>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</si>
  <si>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</si>
  <si>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</si>
  <si>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</si>
  <si>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</si>
  <si>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</si>
  <si>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</si>
  <si>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</si>
  <si>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</si>
  <si>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</si>
  <si>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</si>
  <si>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</si>
  <si>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</si>
  <si>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</si>
  <si>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</si>
  <si>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</si>
  <si>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</si>
  <si>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</si>
  <si>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</si>
  <si>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</si>
  <si>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</si>
  <si>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</si>
  <si>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</si>
  <si>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</si>
  <si>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</si>
  <si>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</si>
  <si>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</si>
  <si>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</si>
  <si>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</si>
  <si>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</si>
  <si>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</si>
  <si>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</si>
  <si>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</si>
  <si>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</si>
  <si>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</si>
  <si>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</si>
  <si>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</si>
  <si>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</si>
  <si>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</si>
  <si>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</si>
  <si>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</si>
  <si>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</si>
  <si>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</si>
  <si>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</si>
  <si>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</si>
  <si>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</si>
  <si>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</si>
  <si>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</si>
  <si>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</si>
  <si>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</si>
  <si>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</si>
  <si>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</si>
  <si>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</si>
  <si>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</si>
  <si>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</si>
  <si>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</si>
  <si>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</si>
  <si>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</si>
  <si>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</si>
  <si>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</si>
  <si>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</si>
  <si>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</si>
  <si>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</si>
  <si>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</si>
  <si>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</si>
  <si>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</si>
  <si>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</si>
  <si>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</si>
  <si>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</si>
  <si>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</si>
  <si>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</si>
  <si>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</si>
  <si>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</si>
  <si>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</si>
  <si>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</si>
  <si>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</si>
  <si>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</si>
  <si>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</si>
  <si>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</si>
  <si>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</si>
  <si>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</si>
  <si>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</si>
  <si>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</si>
  <si>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</si>
  <si>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</si>
  <si>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</si>
  <si>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</si>
  <si>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</si>
  <si>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</si>
  <si>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</si>
  <si>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</si>
  <si>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</si>
  <si>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</si>
  <si>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</si>
  <si>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</si>
  <si>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</si>
  <si>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</si>
  <si>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</si>
  <si>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</si>
  <si>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</si>
  <si>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</si>
  <si>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</si>
  <si>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</si>
  <si>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</si>
  <si>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</si>
  <si>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</si>
  <si>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</si>
  <si>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</si>
  <si>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</si>
  <si>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</si>
  <si>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</si>
  <si>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</si>
  <si>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</si>
  <si>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</si>
  <si>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</si>
  <si>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</si>
  <si>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</si>
  <si>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</si>
  <si>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</si>
  <si>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</si>
  <si>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</si>
  <si>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</si>
  <si>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</si>
  <si>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</si>
  <si>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</si>
  <si>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</si>
  <si>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</si>
  <si>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</si>
  <si>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</si>
  <si>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</si>
  <si>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</si>
  <si>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</si>
  <si>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</si>
  <si>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</si>
  <si>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</si>
  <si>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</si>
  <si>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</si>
  <si>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</si>
  <si>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</si>
  <si>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</si>
  <si>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</si>
  <si>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</si>
  <si>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</si>
  <si>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</si>
  <si>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</si>
  <si>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</si>
  <si>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</si>
  <si>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</si>
  <si>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</si>
  <si>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</si>
  <si>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</si>
  <si>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</si>
  <si>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</si>
  <si>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</si>
  <si>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</si>
  <si>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</si>
  <si>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</si>
  <si>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</si>
  <si>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</si>
  <si>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</si>
  <si>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</si>
  <si>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</si>
  <si>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</si>
  <si>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</si>
  <si>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</si>
  <si>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</si>
  <si>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</si>
  <si>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</si>
  <si>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</si>
  <si>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</si>
  <si>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</si>
  <si>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</si>
  <si>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</si>
  <si>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</si>
  <si>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</si>
  <si>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</si>
  <si>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LIMAX </t>
  </si>
  <si>
    <t>ANTISTATIC</t>
  </si>
  <si>
    <t>ANTISLIP</t>
  </si>
  <si>
    <t>BLACKWOODS</t>
  </si>
  <si>
    <t>NOT UNDER</t>
  </si>
  <si>
    <t>MUST NOT HAVE BURN UP - MATERIAL MUST NOT BE SPLITTY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</si>
</sst>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PB635900100AS0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45876</v>
      </c>
      <c r="K1" s="119"/>
      <c r="L1" s="120"/>
      <c r="M1" s="29"/>
      <c r="N1" s="11" t="s">
        <v>56</v>
      </c>
      <c r="O1" s="108" t="str">
        <f>B1</f>
        <v>PB635900100AS0</v>
      </c>
      <c r="P1" s="108"/>
      <c r="Q1" s="109"/>
      <c r="R1" s="11" t="s">
        <v>57</v>
      </c>
      <c r="S1" s="108" t="str">
        <f>F1</f>
        <v>BLACKWOODS</v>
      </c>
      <c r="T1" s="108"/>
      <c r="U1" s="109"/>
      <c r="V1" s="11" t="s">
        <v>181</v>
      </c>
      <c r="W1" s="119">
        <f ca="1">J1</f>
        <v>45876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950418</v>
      </c>
      <c r="G2" s="62"/>
      <c r="H2" s="63"/>
      <c r="I2" s="11" t="s">
        <v>59</v>
      </c>
      <c r="J2" s="122">
        <v>45905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950418</v>
      </c>
      <c r="T2" s="108"/>
      <c r="U2" s="109"/>
      <c r="V2" s="11" t="s">
        <v>59</v>
      </c>
      <c r="W2" s="121">
        <f>J2</f>
        <v>45905</v>
      </c>
      <c r="X2" s="108"/>
      <c r="Y2" s="109"/>
    </row>
    <row r="3" spans="1:25" ht="20.149999999999999" customHeight="1" x14ac:dyDescent="0.7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NOT HAVE BURN UP - MATERIAL MUST NOT BE SPLITTY -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08">
        <f>R7*O7</f>
        <v>2000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635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199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635</v>
      </c>
      <c r="S9" s="18" t="s">
        <v>78</v>
      </c>
      <c r="T9" s="30">
        <v>900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8</v>
      </c>
      <c r="C10" s="63"/>
      <c r="D10" s="47" t="s">
        <v>134</v>
      </c>
      <c r="E10" s="127">
        <f>IF(ISNUMBER(SEARCH("sheet",O8,1)),((R9*T9*H8/540000)*U7/2000*1.3),((R9*T9*H8/540000)*U7/1000*1.08))</f>
        <v>228.6</v>
      </c>
      <c r="F10" s="128"/>
      <c r="G10" s="11" t="s">
        <v>53</v>
      </c>
      <c r="H10" s="131">
        <f>IF(ISNUMBER(SEARCH("sheet",O8,1)),(U7*T9/2000*1.08),(U7*T9/1000*1.08))</f>
        <v>1944.0000000000002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28.574999999999999</v>
      </c>
      <c r="F11" s="130"/>
      <c r="G11" s="11" t="s">
        <v>15</v>
      </c>
      <c r="H11" s="129">
        <f>H10/B10</f>
        <v>243.00000000000003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2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196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 t="s">
        <v>197</v>
      </c>
      <c r="B24" s="14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45907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F087DA-0400-424C-91F4-05386EC0081E}"/>
</file>

<file path=customXml/itemProps2.xml><?xml version="1.0" encoding="utf-8"?>
<ds:datastoreItem xmlns:ds="http://schemas.openxmlformats.org/officeDocument/2006/customXml" ds:itemID="{20962C89-8026-4AF9-BE55-156EEAAE3DEB}"/>
</file>

<file path=customXml/itemProps3.xml><?xml version="1.0" encoding="utf-8"?>
<ds:datastoreItem xmlns:ds="http://schemas.openxmlformats.org/officeDocument/2006/customXml" ds:itemID="{6FAE9B3E-72EE-4A59-AAC5-2E244D0CC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2025-08-07T00:09:56Z</cp:lastPrinted>
  <dcterms:created xsi:type="dcterms:W3CDTF">2019-11-27T23:28:06Z</dcterms:created>
  <dcterms:modified xsi:type="dcterms:W3CDTF">2025-08-11T23:51:28Z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