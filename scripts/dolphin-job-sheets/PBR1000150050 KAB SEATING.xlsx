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656288-5D22-45D6-B44A-5536CD225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<sst xmlns="http://schemas.openxmlformats.org/spreadsheetml/2006/main" count="304" uniqueCount="202">
  <si>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</si>
  <si>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</si>
  <si>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</si>
  <si>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</si>
  <si>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</si>
  <si>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</si>
  <si>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</si>
  <si>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</si>
  <si>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</si>
  <si>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</si>
  <si>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</si>
  <si>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</si>
  <si>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</si>
  <si>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</si>
  <si>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</si>
  <si>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</si>
  <si>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</si>
  <si>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</si>
  <si>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</si>
  <si>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</si>
  <si>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</si>
  <si>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</si>
  <si>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</si>
  <si>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</si>
  <si>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</si>
  <si>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</si>
  <si>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</si>
  <si>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</si>
  <si>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</si>
  <si>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</si>
  <si>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</si>
  <si>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</si>
  <si>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</si>
  <si>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</si>
  <si>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</si>
  <si>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</si>
  <si>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</si>
  <si>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</si>
  <si>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</si>
  <si>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</si>
  <si>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</si>
  <si>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</si>
  <si>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</si>
  <si>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</si>
  <si>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</si>
  <si>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</si>
  <si>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</si>
  <si>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</si>
  <si>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</si>
  <si>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</si>
  <si>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</si>
  <si>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</si>
  <si>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</si>
  <si>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</si>
  <si>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</si>
  <si>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</si>
  <si>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</si>
  <si>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</si>
  <si>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</si>
  <si>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</si>
  <si>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</si>
  <si>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</si>
  <si>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</si>
  <si>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</si>
  <si>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</si>
  <si>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</si>
  <si>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</si>
  <si>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</si>
  <si>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</si>
  <si>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</si>
  <si>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</si>
  <si>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</si>
  <si>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</si>
  <si>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</si>
  <si>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</si>
  <si>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</si>
  <si>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</si>
  <si>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</si>
  <si>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</si>
  <si>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</si>
  <si>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</si>
  <si>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</si>
  <si>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</si>
  <si>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</si>
  <si>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</si>
  <si>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</si>
  <si>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</si>
  <si>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</si>
  <si>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</si>
  <si>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</si>
  <si>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</si>
  <si>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</si>
  <si>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</si>
  <si>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</si>
  <si>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</si>
  <si>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</si>
  <si>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</si>
  <si>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</si>
  <si>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</si>
  <si>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</si>
  <si>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</si>
  <si>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</si>
  <si>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</si>
  <si>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</si>
  <si>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</si>
  <si>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</si>
  <si>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</si>
  <si>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</si>
  <si>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</si>
  <si>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</si>
  <si>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</si>
  <si>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</si>
  <si>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</si>
  <si>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</si>
  <si>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</si>
  <si>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</si>
  <si>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</si>
  <si>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</si>
  <si>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</si>
  <si>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</si>
  <si>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</si>
  <si>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</si>
  <si>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</si>
  <si>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</si>
  <si>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</si>
  <si>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</si>
  <si>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</si>
  <si>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</si>
  <si>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</si>
  <si>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</si>
  <si>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</si>
  <si>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</si>
  <si>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</si>
  <si>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</si>
  <si>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</si>
  <si>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</si>
  <si>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</si>
  <si>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</si>
  <si>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</si>
  <si>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</si>
  <si>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</si>
  <si>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</si>
  <si>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</si>
  <si>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</si>
  <si>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</si>
  <si>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</si>
  <si>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</si>
  <si>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</si>
  <si>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</si>
  <si>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</si>
  <si>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</si>
  <si>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</si>
  <si>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</si>
  <si>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</si>
  <si>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</si>
  <si>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</si>
  <si>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</si>
  <si>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</si>
  <si>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</si>
  <si>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</si>
  <si>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</si>
  <si>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</si>
  <si>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</si>
  <si>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</si>
  <si>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</si>
  <si>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</si>
  <si>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</si>
  <si>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</si>
  <si>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</si>
  <si>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</si>
  <si>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</si>
  <si>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</si>
  <si>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</si>
  <si>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</si>
  <si>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</si>
  <si>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</si>
  <si>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</si>
  <si>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</si>
  <si>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</si>
  <si>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</si>
  <si>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</si>
  <si>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</si>
  <si>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PERF INLINE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</si>
  <si>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</si>
  <si>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</si>
  <si>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</si>
  <si>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</si>
  <si>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</si>
  <si>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</si>
  <si>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</si>
  <si>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</si>
  <si>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</si>
  <si>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</si>
  <si>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</si>
  <si>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</si>
  <si>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</si>
  <si>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KAB SEATING</t>
  </si>
  <si>
    <t xml:space="preserve"> +/- 5um</t>
  </si>
  <si>
    <t>12PM</t>
  </si>
  <si>
    <t>ANTIBLOCK</t>
  </si>
  <si>
    <t>%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</si>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</sst>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PBR10001500500</v>
      </c>
      <c r="C1" s="113"/>
      <c r="D1" s="114"/>
      <c r="E1" s="15" t="s">
        <v>56</v>
      </c>
      <c r="F1" s="94" t="s">
        <v>196</v>
      </c>
      <c r="G1" s="94"/>
      <c r="H1" s="95"/>
      <c r="I1" s="15" t="s">
        <v>180</v>
      </c>
      <c r="J1" s="130">
        <f ca="1">TODAY()</f>
        <v>45792</v>
      </c>
      <c r="K1" s="130"/>
      <c r="L1" s="131"/>
      <c r="M1" s="29"/>
      <c r="N1" s="15" t="s">
        <v>55</v>
      </c>
      <c r="O1" s="113" t="str">
        <f>B1</f>
        <v>PBR10001500500</v>
      </c>
      <c r="P1" s="113"/>
      <c r="Q1" s="114"/>
      <c r="R1" s="15" t="s">
        <v>56</v>
      </c>
      <c r="S1" s="113" t="str">
        <f>F1</f>
        <v>KAB SEATING</v>
      </c>
      <c r="T1" s="113"/>
      <c r="U1" s="114"/>
      <c r="V1" s="15" t="s">
        <v>180</v>
      </c>
      <c r="W1" s="130">
        <f ca="1">J1</f>
        <v>45792</v>
      </c>
      <c r="X1" s="130"/>
      <c r="Y1" s="131"/>
    </row>
    <row r="2" spans="1:25" ht="20.100000000000001" customHeight="1" x14ac:dyDescent="0.25">
      <c r="A2" s="15" t="s">
        <v>99</v>
      </c>
      <c r="B2" s="113" t="str">
        <f>IF(U10="","",U10)</f>
        <v/>
      </c>
      <c r="C2" s="113"/>
      <c r="D2" s="114"/>
      <c r="E2" s="15" t="s">
        <v>57</v>
      </c>
      <c r="F2" s="94">
        <v>947573</v>
      </c>
      <c r="G2" s="94"/>
      <c r="H2" s="95"/>
      <c r="I2" s="15" t="s">
        <v>58</v>
      </c>
      <c r="J2" s="93">
        <v>45394</v>
      </c>
      <c r="K2" s="94"/>
      <c r="L2" s="95"/>
      <c r="M2" s="29"/>
      <c r="N2" s="15" t="s">
        <v>99</v>
      </c>
      <c r="O2" s="113" t="str">
        <f>IF(B2="","",B2)</f>
        <v/>
      </c>
      <c r="P2" s="113"/>
      <c r="Q2" s="114"/>
      <c r="R2" s="15" t="s">
        <v>57</v>
      </c>
      <c r="S2" s="113">
        <f>IF(F2="","",F2)</f>
        <v>947573</v>
      </c>
      <c r="T2" s="113"/>
      <c r="U2" s="114"/>
      <c r="V2" s="15" t="s">
        <v>58</v>
      </c>
      <c r="W2" s="132">
        <f>J2</f>
        <v>45394</v>
      </c>
      <c r="X2" s="113"/>
      <c r="Y2" s="114"/>
    </row>
    <row r="3" spans="1:25" ht="20.100000000000001" customHeight="1" x14ac:dyDescent="0.25">
      <c r="A3" s="125" t="s">
        <v>182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29"/>
      <c r="N3" s="125" t="str">
        <f>A3</f>
        <v>PERF INLINE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29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40</v>
      </c>
      <c r="P7" s="95"/>
      <c r="Q7" s="15" t="str">
        <f>IF(ISNUMBER(SEARCH("roll",O8,1)),"Per Roll","Per Carton")</f>
        <v>Per Roll</v>
      </c>
      <c r="R7" s="94">
        <v>200</v>
      </c>
      <c r="S7" s="95"/>
      <c r="T7" s="15" t="str">
        <f>IF(ISNUMBER(SEARCH("bag",O8,1)),"Total Bags","Total Sheets")</f>
        <v>Total Bags</v>
      </c>
      <c r="U7" s="113">
        <f>R7*O7</f>
        <v>8000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1000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50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190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00000000000001" customHeight="1" x14ac:dyDescent="0.3">
      <c r="A9" s="20" t="s">
        <v>47</v>
      </c>
      <c r="B9" s="111" t="s">
        <v>195</v>
      </c>
      <c r="C9" s="112"/>
      <c r="D9" s="137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197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1000</v>
      </c>
      <c r="S9" s="22" t="s">
        <v>77</v>
      </c>
      <c r="T9" s="30">
        <v>1500</v>
      </c>
      <c r="U9" s="22" t="s">
        <v>77</v>
      </c>
      <c r="V9" s="30">
        <v>50</v>
      </c>
      <c r="W9" s="21"/>
      <c r="X9" s="100"/>
      <c r="Y9" s="101"/>
    </row>
    <row r="10" spans="1:25" ht="20.100000000000001" customHeight="1" x14ac:dyDescent="0.25">
      <c r="A10" s="15" t="s">
        <v>50</v>
      </c>
      <c r="B10" s="94">
        <v>40</v>
      </c>
      <c r="C10" s="95"/>
      <c r="D10" s="48" t="s">
        <v>133</v>
      </c>
      <c r="E10" s="115">
        <f>IF(ISNUMBER(SEARCH("sheet",O8,1)),((R9*T9*H8/540000)*U7/2000*1.3),((R9*T9*H8/540000)*U7/1000*1.08))</f>
        <v>1200</v>
      </c>
      <c r="F10" s="116"/>
      <c r="G10" s="15" t="s">
        <v>52</v>
      </c>
      <c r="H10" s="119">
        <f>IF(ISNUMBER(SEARCH("sheet",O8,1)),(U7*T9/2000*1.08),(U7*T9/1000*1.08))</f>
        <v>12960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30</v>
      </c>
      <c r="F11" s="118"/>
      <c r="G11" s="15" t="s">
        <v>14</v>
      </c>
      <c r="H11" s="117">
        <f>H10/B10</f>
        <v>324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40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1"/>
      <c r="M14" s="29"/>
      <c r="N14" s="142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22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30</v>
      </c>
      <c r="V17" s="95"/>
      <c r="W17" s="15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199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 t="s">
        <v>200</v>
      </c>
      <c r="F23" s="86"/>
      <c r="G23" s="33" t="s">
        <v>86</v>
      </c>
      <c r="H23" s="34"/>
      <c r="I23" s="62"/>
      <c r="J23" s="63"/>
      <c r="K23" s="62"/>
      <c r="L23" s="63"/>
      <c r="M23" s="29"/>
      <c r="N23" s="142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 t="s">
        <v>201</v>
      </c>
      <c r="P25" s="35"/>
      <c r="Q25" s="144">
        <v>12</v>
      </c>
      <c r="R25" s="9">
        <v>7.5</v>
      </c>
      <c r="S25" s="9"/>
      <c r="T25" s="9"/>
      <c r="U25" s="9"/>
      <c r="V25" s="9"/>
      <c r="W25" s="9">
        <v>125</v>
      </c>
      <c r="X25" s="9">
        <v>120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3" t="s">
        <v>131</v>
      </c>
      <c r="H26" s="143"/>
      <c r="I26" s="143" t="s">
        <v>130</v>
      </c>
      <c r="J26" s="143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>
        <v>65</v>
      </c>
      <c r="C27" s="7" t="s">
        <v>198</v>
      </c>
      <c r="D27" s="9">
        <v>68</v>
      </c>
      <c r="E27" s="60">
        <v>5</v>
      </c>
      <c r="F27" s="7"/>
      <c r="G27" s="61"/>
      <c r="H27" s="61"/>
      <c r="I27" s="61"/>
      <c r="J27" s="61"/>
      <c r="K27" s="7"/>
      <c r="L27" s="9"/>
      <c r="M27" s="29"/>
      <c r="N27" s="10" t="s">
        <v>183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191</v>
      </c>
      <c r="X27" s="10" t="s">
        <v>192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183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191</v>
      </c>
      <c r="X44" s="10" t="s">
        <v>192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45823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45813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0D97C4-DF51-483E-AA92-49602174C810}"/>
</file>

<file path=customXml/itemProps2.xml><?xml version="1.0" encoding="utf-8"?>
<ds:datastoreItem xmlns:ds="http://schemas.openxmlformats.org/officeDocument/2006/customXml" ds:itemID="{72355A17-2FB0-4D81-913A-12C9CBE08D5D}"/>
</file>

<file path=customXml/itemProps3.xml><?xml version="1.0" encoding="utf-8"?>
<ds:datastoreItem xmlns:ds="http://schemas.openxmlformats.org/officeDocument/2006/customXml" ds:itemID="{25827F12-238D-4DE1-92A0-FFE8936643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2024-03-22T01:06:21Z</cp:lastPrinted>
  <dcterms:created xsi:type="dcterms:W3CDTF">2019-11-27T23:28:06Z</dcterms:created>
  <dcterms:modified xsi:type="dcterms:W3CDTF">2025-05-15T02:01:36Z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