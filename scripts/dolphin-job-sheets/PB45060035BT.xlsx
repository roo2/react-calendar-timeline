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57AA117-5CD1-42A1-B930-2101A46C9D0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<sst xmlns="http://schemas.openxmlformats.org/spreadsheetml/2006/main" count="303" uniqueCount="198">
  <si>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</si>
  <si>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</si>
  <si>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</si>
  <si>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</si>
  <si>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</si>
  <si>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</si>
  <si>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</si>
  <si>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</si>
  <si>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</si>
  <si>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</si>
  <si>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</si>
  <si>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</si>
  <si>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</si>
  <si>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</si>
  <si>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</si>
  <si>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</si>
  <si>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</si>
  <si>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</si>
  <si>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</si>
  <si>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</si>
  <si>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</si>
  <si>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</si>
  <si>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</si>
  <si>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</si>
  <si>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</si>
  <si>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</si>
  <si>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</si>
  <si>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</si>
  <si>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</si>
  <si>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</si>
  <si>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</si>
  <si>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</si>
  <si>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</si>
  <si>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</si>
  <si>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</si>
  <si>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</si>
  <si>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</si>
  <si>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</si>
  <si>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</si>
  <si>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</si>
  <si>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</si>
  <si>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</si>
  <si>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</si>
  <si>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</si>
  <si>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</si>
  <si>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</si>
  <si>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</si>
  <si>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</si>
  <si>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</si>
  <si>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</si>
  <si>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</si>
  <si>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</si>
  <si>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</si>
  <si>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</si>
  <si>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</si>
  <si>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</si>
  <si>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</si>
  <si>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</si>
  <si>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</si>
  <si>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</si>
  <si>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</si>
  <si>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</si>
  <si>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</si>
  <si>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</si>
  <si>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</si>
  <si>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</si>
  <si>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</si>
  <si>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</si>
  <si>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</si>
  <si>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</si>
  <si>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</si>
  <si>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</si>
  <si>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</si>
  <si>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</si>
  <si>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</si>
  <si>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</si>
  <si>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</si>
  <si>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</si>
  <si>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</si>
  <si>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</si>
  <si>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</si>
  <si>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</si>
  <si>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</si>
  <si>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</si>
  <si>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</si>
  <si>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</si>
  <si>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</si>
  <si>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</si>
  <si>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</si>
  <si>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</si>
  <si>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</si>
  <si>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</si>
  <si>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</si>
  <si>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</si>
  <si>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</si>
  <si>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</si>
  <si>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</si>
  <si>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</si>
  <si>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</si>
  <si>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</si>
  <si>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</si>
  <si>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</si>
  <si>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</si>
  <si>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</si>
  <si>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</si>
  <si>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</si>
  <si>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</si>
  <si>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</si>
  <si>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</si>
  <si>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</si>
  <si>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</si>
  <si>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</si>
  <si>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</si>
  <si>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</si>
  <si>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</si>
  <si>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</si>
  <si>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</si>
  <si>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</si>
  <si>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</si>
  <si>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</si>
  <si>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</si>
  <si>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</si>
  <si>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</si>
  <si>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</si>
  <si>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</si>
  <si>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</si>
  <si>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</si>
  <si>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</si>
  <si>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</si>
  <si>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</si>
  <si>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</si>
  <si>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</si>
  <si>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</si>
  <si>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</si>
  <si>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</si>
  <si>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</si>
  <si>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</si>
  <si>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</si>
  <si>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</si>
  <si>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</si>
  <si>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</si>
  <si>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</si>
  <si>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</si>
  <si>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</si>
  <si>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</si>
  <si>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</si>
  <si>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</si>
  <si>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</si>
  <si>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</si>
  <si>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</si>
  <si>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</si>
  <si>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</si>
  <si>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</si>
  <si>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</si>
  <si>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</si>
  <si>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</si>
  <si>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</si>
  <si>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</si>
  <si>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</si>
  <si>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</si>
  <si>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</si>
  <si>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</si>
  <si>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</si>
  <si>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</si>
  <si>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</si>
  <si>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</si>
  <si>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</si>
  <si>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</si>
  <si>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</si>
  <si>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</si>
  <si>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</si>
  <si>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</si>
  <si>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</si>
  <si>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</si>
  <si>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</si>
  <si>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</si>
  <si>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</si>
  <si>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</si>
  <si>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</si>
  <si>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</si>
  <si>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</si>
  <si>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</si>
  <si>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</si>
  <si>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</si>
  <si>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</si>
  <si>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</si>
  <si>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</si>
  <si>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</si>
  <si>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</si>
  <si>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</si>
  <si>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</si>
  <si>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</si>
  <si>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</si>
  <si>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</si>
  <si>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ARVOR</t>
  </si>
  <si>
    <t>RUN AT 90 - 95um</t>
  </si>
  <si>
    <t xml:space="preserve"> +/- 10mm</t>
  </si>
  <si>
    <t>ABL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</si>
</sst>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65" fontId="10" fillId="7" borderId="2" xfId="0" applyNumberFormat="1" applyFont="1" applyFill="1" applyBorder="1" applyAlignment="1" applyProtection="1">
      <alignment horizontal="center"/>
    </xf>
    <xf numFmtId="165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PB45060035BT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44628</v>
      </c>
      <c r="K1" s="136"/>
      <c r="L1" s="137"/>
      <c r="M1" s="34"/>
      <c r="N1" s="12" t="s">
        <v>56</v>
      </c>
      <c r="O1" s="123" t="str">
        <f>B1</f>
        <v>PB45060035BT</v>
      </c>
      <c r="P1" s="123"/>
      <c r="Q1" s="124"/>
      <c r="R1" s="12" t="s">
        <v>57</v>
      </c>
      <c r="S1" s="123" t="str">
        <f>F1</f>
        <v>ABL DISTRIBUTION</v>
      </c>
      <c r="T1" s="123"/>
      <c r="U1" s="124"/>
      <c r="V1" s="12" t="s">
        <v>181</v>
      </c>
      <c r="W1" s="136">
        <f ca="1">J1</f>
        <v>44628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942751</v>
      </c>
      <c r="G2" s="73"/>
      <c r="H2" s="74"/>
      <c r="I2" s="12" t="s">
        <v>59</v>
      </c>
      <c r="J2" s="139">
        <v>44659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942751</v>
      </c>
      <c r="T2" s="123"/>
      <c r="U2" s="124"/>
      <c r="V2" s="12" t="s">
        <v>59</v>
      </c>
      <c r="W2" s="138">
        <f>J2</f>
        <v>44659</v>
      </c>
      <c r="X2" s="123"/>
      <c r="Y2" s="124"/>
    </row>
    <row r="3" spans="1:28" ht="20.100000000000001" customHeight="1" x14ac:dyDescent="0.2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>
        <f>A3</f>
        <v>0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159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30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3">
        <f>R7*O7</f>
        <v>15000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450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" t="s">
        <v>48</v>
      </c>
      <c r="B9" s="143" t="s">
        <v>196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195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450</v>
      </c>
      <c r="S9" s="20" t="s">
        <v>78</v>
      </c>
      <c r="T9" s="35">
        <v>600</v>
      </c>
      <c r="U9" s="20" t="s">
        <v>78</v>
      </c>
      <c r="V9" s="35">
        <v>35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8</v>
      </c>
      <c r="C10" s="74"/>
      <c r="D10" s="54" t="s">
        <v>134</v>
      </c>
      <c r="E10" s="145">
        <f>IF(ISNUMBER(SEARCH("sheet",O8,1)),((R9*T9*H8/540000)*U7/2000*1.3),((R9*T9*H8/540000)*U7/1000*1.08))</f>
        <v>283.5</v>
      </c>
      <c r="F10" s="146"/>
      <c r="G10" s="12" t="s">
        <v>53</v>
      </c>
      <c r="H10" s="149">
        <f>IF(ISNUMBER(SEARCH("sheet",O8,1)),(U7*T9/2000*1.08),(U7*T9/1000*1.08))</f>
        <v>9720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35.4375</v>
      </c>
      <c r="F11" s="148"/>
      <c r="G11" s="12" t="s">
        <v>15</v>
      </c>
      <c r="H11" s="147">
        <f>H10/B10</f>
        <v>1215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30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 t="s">
        <v>38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BLUE TINT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194</v>
      </c>
      <c r="P25" s="39"/>
      <c r="Q25" s="10">
        <v>26</v>
      </c>
      <c r="R25" s="10"/>
      <c r="S25" s="10"/>
      <c r="T25" s="10"/>
      <c r="U25" s="10"/>
      <c r="V25" s="10"/>
      <c r="W25" s="10"/>
      <c r="X25" s="10">
        <v>32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44659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44649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F55C33F-D384-4143-843B-DCB178C6A495}"/>
</file>

<file path=customXml/itemProps2.xml><?xml version="1.0" encoding="utf-8"?>
<ds:datastoreItem xmlns:ds="http://schemas.openxmlformats.org/officeDocument/2006/customXml" ds:itemID="{4179EED3-CDBA-47D8-9630-E7340865316D}"/>
</file>

<file path=customXml/itemProps3.xml><?xml version="1.0" encoding="utf-8"?>
<ds:datastoreItem xmlns:ds="http://schemas.openxmlformats.org/officeDocument/2006/customXml" ds:itemID="{A6163E40-5334-4AEA-986D-710089BD5B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2022-03-08T02:05:05Z</cp:lastPrinted>
  <dcterms:created xsi:type="dcterms:W3CDTF">2019-11-27T23:28:06Z</dcterms:created>
  <dcterms:modified xsi:type="dcterms:W3CDTF">2022-03-08T02:05:21Z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