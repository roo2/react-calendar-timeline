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30DBC8B-BEE6-47E3-BBE9-BF48E294A1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<sst xmlns="http://schemas.openxmlformats.org/spreadsheetml/2006/main" count="304" uniqueCount="202">
  <si>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</si>
  <si>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</si>
  <si>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</si>
  <si>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</si>
  <si>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</si>
  <si>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</si>
  <si>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</si>
  <si>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</si>
  <si>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</si>
  <si>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</si>
  <si>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</si>
  <si>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</si>
  <si>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</si>
  <si>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</si>
  <si>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</si>
  <si>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</si>
  <si>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</si>
  <si>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</si>
  <si>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</si>
  <si>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</si>
  <si>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</si>
  <si>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</si>
  <si>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</si>
  <si>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</si>
  <si>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</si>
  <si>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</si>
  <si>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</si>
  <si>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</si>
  <si>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</si>
  <si>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</si>
  <si>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</si>
  <si>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</si>
  <si>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</si>
  <si>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</si>
  <si>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</si>
  <si>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</si>
  <si>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</si>
  <si>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</si>
  <si>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</si>
  <si>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</si>
  <si>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</si>
  <si>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</si>
  <si>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</si>
  <si>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</si>
  <si>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</si>
  <si>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</si>
  <si>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</si>
  <si>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</si>
  <si>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</si>
  <si>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</si>
  <si>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</si>
  <si>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</si>
  <si>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</si>
  <si>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</si>
  <si>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</si>
  <si>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</si>
  <si>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</si>
  <si>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</si>
  <si>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</si>
  <si>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</si>
  <si>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</si>
  <si>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</si>
  <si>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</si>
  <si>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</si>
  <si>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</si>
  <si>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</si>
  <si>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</si>
  <si>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</si>
  <si>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</si>
  <si>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</si>
  <si>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</si>
  <si>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</si>
  <si>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</si>
  <si>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</si>
  <si>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</si>
  <si>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</si>
  <si>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</si>
  <si>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</si>
  <si>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</si>
  <si>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</si>
  <si>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</si>
  <si>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</si>
  <si>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</si>
  <si>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</si>
  <si>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</si>
  <si>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</si>
  <si>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</si>
  <si>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</si>
  <si>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</si>
  <si>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</si>
  <si>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</si>
  <si>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</si>
  <si>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</si>
  <si>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</si>
  <si>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</si>
  <si>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</si>
  <si>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</si>
  <si>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</si>
  <si>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</si>
  <si>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</si>
  <si>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</si>
  <si>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</si>
  <si>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</si>
  <si>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</si>
  <si>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</si>
  <si>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</si>
  <si>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</si>
  <si>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</si>
  <si>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</si>
  <si>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</si>
  <si>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</si>
  <si>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</si>
  <si>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</si>
  <si>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</si>
  <si>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</si>
  <si>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</si>
  <si>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</si>
  <si>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</si>
  <si>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</si>
  <si>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</si>
  <si>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</si>
  <si>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</si>
  <si>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</si>
  <si>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</si>
  <si>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</si>
  <si>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</si>
  <si>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</si>
  <si>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</si>
  <si>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</si>
  <si>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</si>
  <si>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</si>
  <si>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</si>
  <si>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</si>
  <si>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</si>
  <si>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</si>
  <si>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</si>
  <si>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</si>
  <si>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</si>
  <si>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</si>
  <si>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</si>
  <si>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</si>
  <si>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</si>
  <si>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</si>
  <si>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</si>
  <si>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</si>
  <si>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</si>
  <si>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</si>
  <si>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</si>
  <si>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</si>
  <si>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</si>
  <si>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</si>
  <si>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</si>
  <si>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</si>
  <si>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</si>
  <si>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</si>
  <si>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</si>
  <si>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</si>
  <si>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</si>
  <si>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</si>
  <si>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</si>
  <si>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</si>
  <si>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</si>
  <si>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</si>
  <si>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</si>
  <si>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</si>
  <si>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</si>
  <si>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</si>
  <si>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</si>
  <si>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</si>
  <si>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</si>
  <si>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</si>
  <si>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</si>
  <si>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</si>
  <si>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</si>
  <si>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</si>
  <si>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</si>
  <si>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</si>
  <si>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</si>
  <si>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</si>
  <si>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</si>
  <si>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</si>
  <si>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</si>
  <si>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</si>
  <si>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</si>
  <si>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</si>
  <si>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</si>
  <si>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</si>
  <si>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</si>
  <si>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</si>
  <si>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</si>
  <si>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</si>
  <si>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</si>
  <si>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</si>
  <si>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</si>
  <si>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</si>
  <si>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 xml:space="preserve"> +/- 5mm</t>
  </si>
  <si>
    <t>NOT UNDER</t>
  </si>
  <si>
    <t>(725+600)</t>
  </si>
  <si>
    <t>DEVICE TECHNOLOGIES</t>
  </si>
  <si>
    <t xml:space="preserve"> PERF INLINE</t>
  </si>
  <si>
    <t>ANTIBLOCK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</si>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</sst>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4" t="str">
        <f>O9&amp;R9&amp;IF(X8="G","G","")&amp;IF(O8="Centrefold Roll","("&amp;E8&amp;")","")&amp;T9&amp;V9&amp;C22&amp;C23&amp;C24&amp;O11&amp;R11</f>
        <v>PBR1325G1080750</v>
      </c>
      <c r="C1" s="94"/>
      <c r="D1" s="95"/>
      <c r="E1" s="15" t="s">
        <v>56</v>
      </c>
      <c r="F1" s="60" t="s">
        <v>198</v>
      </c>
      <c r="G1" s="60"/>
      <c r="H1" s="61"/>
      <c r="I1" s="15" t="s">
        <v>180</v>
      </c>
      <c r="J1" s="105">
        <f ca="1">TODAY()</f>
        <v>45474</v>
      </c>
      <c r="K1" s="105"/>
      <c r="L1" s="106"/>
      <c r="M1" s="29"/>
      <c r="N1" s="15" t="s">
        <v>55</v>
      </c>
      <c r="O1" s="94" t="str">
        <f>B1</f>
        <v>PBR1325G1080750</v>
      </c>
      <c r="P1" s="94"/>
      <c r="Q1" s="95"/>
      <c r="R1" s="15" t="s">
        <v>56</v>
      </c>
      <c r="S1" s="94" t="str">
        <f>F1</f>
        <v>DEVICE TECHNOLOGIES</v>
      </c>
      <c r="T1" s="94"/>
      <c r="U1" s="95"/>
      <c r="V1" s="15" t="s">
        <v>180</v>
      </c>
      <c r="W1" s="105">
        <f ca="1">J1</f>
        <v>45474</v>
      </c>
      <c r="X1" s="105"/>
      <c r="Y1" s="106"/>
    </row>
    <row r="2" spans="1:25" ht="20.100000000000001" customHeight="1" x14ac:dyDescent="0.25">
      <c r="A2" s="15" t="s">
        <v>99</v>
      </c>
      <c r="B2" s="94" t="str">
        <f>IF(U10="","",U10)</f>
        <v/>
      </c>
      <c r="C2" s="94"/>
      <c r="D2" s="95"/>
      <c r="E2" s="15" t="s">
        <v>57</v>
      </c>
      <c r="F2" s="60">
        <v>947871</v>
      </c>
      <c r="G2" s="60"/>
      <c r="H2" s="61"/>
      <c r="I2" s="15" t="s">
        <v>58</v>
      </c>
      <c r="J2" s="115">
        <v>45453</v>
      </c>
      <c r="K2" s="60"/>
      <c r="L2" s="61"/>
      <c r="M2" s="29"/>
      <c r="N2" s="15" t="s">
        <v>99</v>
      </c>
      <c r="O2" s="94" t="str">
        <f>IF(B2="","",B2)</f>
        <v/>
      </c>
      <c r="P2" s="94"/>
      <c r="Q2" s="95"/>
      <c r="R2" s="15" t="s">
        <v>57</v>
      </c>
      <c r="S2" s="94">
        <f>IF(F2="","",F2)</f>
        <v>947871</v>
      </c>
      <c r="T2" s="94"/>
      <c r="U2" s="95"/>
      <c r="V2" s="15" t="s">
        <v>58</v>
      </c>
      <c r="W2" s="107">
        <f>J2</f>
        <v>45453</v>
      </c>
      <c r="X2" s="94"/>
      <c r="Y2" s="95"/>
    </row>
    <row r="3" spans="1:25" ht="20.100000000000001" customHeight="1" x14ac:dyDescent="0.25">
      <c r="A3" s="96" t="s">
        <v>199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  <c r="M3" s="29"/>
      <c r="N3" s="96" t="str">
        <f>A3</f>
        <v xml:space="preserve"> PERF INLINE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</row>
    <row r="4" spans="1:25" ht="20.100000000000001" customHeight="1" x14ac:dyDescent="0.25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1"/>
      <c r="M4" s="29"/>
      <c r="N4" s="99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</row>
    <row r="5" spans="1:25" ht="20.100000000000001" customHeight="1" x14ac:dyDescent="0.25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4"/>
      <c r="M5" s="29"/>
      <c r="N5" s="102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4"/>
    </row>
    <row r="6" spans="1:25" ht="20.100000000000001" customHeight="1" x14ac:dyDescent="0.25">
      <c r="A6" s="126" t="s">
        <v>1</v>
      </c>
      <c r="B6" s="127"/>
      <c r="C6" s="127"/>
      <c r="D6" s="127"/>
      <c r="E6" s="127"/>
      <c r="F6" s="127"/>
      <c r="G6" s="127"/>
      <c r="H6" s="127"/>
      <c r="I6" s="127"/>
      <c r="J6" s="79"/>
      <c r="K6" s="79"/>
      <c r="L6" s="80"/>
      <c r="M6" s="29"/>
      <c r="N6" s="110" t="s">
        <v>1</v>
      </c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2"/>
    </row>
    <row r="7" spans="1:25" ht="20.100000000000001" customHeight="1" x14ac:dyDescent="0.3">
      <c r="A7" s="15" t="s">
        <v>48</v>
      </c>
      <c r="B7" s="67" t="s">
        <v>162</v>
      </c>
      <c r="C7" s="67"/>
      <c r="D7" s="67"/>
      <c r="E7" s="67"/>
      <c r="F7" s="67"/>
      <c r="G7" s="67"/>
      <c r="H7" s="67"/>
      <c r="I7" s="68"/>
      <c r="J7" s="88" t="s">
        <v>178</v>
      </c>
      <c r="K7" s="88"/>
      <c r="L7" s="89"/>
      <c r="M7" s="29"/>
      <c r="N7" s="15" t="str">
        <f>IF(ISNUMBER(SEARCH("roll",O8,1)),"No. Rolls","No. Cartons")</f>
        <v>No. Rolls</v>
      </c>
      <c r="O7" s="60">
        <v>10</v>
      </c>
      <c r="P7" s="61"/>
      <c r="Q7" s="15" t="str">
        <f>IF(ISNUMBER(SEARCH("roll",O8,1)),"Per Roll","Per Carton")</f>
        <v>Per Roll</v>
      </c>
      <c r="R7" s="60">
        <v>100</v>
      </c>
      <c r="S7" s="61"/>
      <c r="T7" s="15" t="str">
        <f>IF(ISNUMBER(SEARCH("bag",O8,1)),"Total Bags","Total Sheets")</f>
        <v>Total Bags</v>
      </c>
      <c r="U7" s="94">
        <f>R7*O7</f>
        <v>1000</v>
      </c>
      <c r="V7" s="95"/>
      <c r="W7" s="15" t="s">
        <v>101</v>
      </c>
      <c r="X7" s="60" t="s">
        <v>22</v>
      </c>
      <c r="Y7" s="61"/>
    </row>
    <row r="8" spans="1:25" ht="20.100000000000001" customHeight="1" x14ac:dyDescent="0.25">
      <c r="A8" s="16" t="s">
        <v>15</v>
      </c>
      <c r="B8" s="113">
        <f>R9</f>
        <v>1325</v>
      </c>
      <c r="C8" s="114"/>
      <c r="D8" s="19" t="str">
        <f>IF(ISNUMBER(SEARCH("bag",#REF!,1)),"Gusset","Centrefold")</f>
        <v>Centrefold</v>
      </c>
      <c r="E8" s="113" t="str">
        <f>IF(O8="Centrefold Roll",B8*2,IF(X9="","None",X9))</f>
        <v>(725+600)</v>
      </c>
      <c r="F8" s="114"/>
      <c r="G8" s="16" t="s">
        <v>51</v>
      </c>
      <c r="H8" s="113">
        <f>(IF(V9&lt;30,"30",V9))</f>
        <v>75</v>
      </c>
      <c r="I8" s="114"/>
      <c r="J8" s="15" t="s">
        <v>53</v>
      </c>
      <c r="K8" s="94" t="str">
        <f>IF(X8="None","Layflat Tube",IF(X8="","Layflat Tube",IF(X8="CF","Layflat Tube",IF(X8="G","Gusset Tube",IF(X9="","Layflat Tube",)))))</f>
        <v>Gusset Tube</v>
      </c>
      <c r="L8" s="95"/>
      <c r="M8" s="29"/>
      <c r="N8" s="17" t="s">
        <v>53</v>
      </c>
      <c r="O8" s="122" t="s">
        <v>164</v>
      </c>
      <c r="P8" s="123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8" t="str">
        <f>IF(AND(W8="Gusset",X9=""), "None",IF(AND(W8="Centrefold",X9=""),"None",IF(W8="Gusset","G",IF(W8="Centrefold","CF"))))</f>
        <v>G</v>
      </c>
      <c r="Y8" s="109"/>
    </row>
    <row r="9" spans="1:25" ht="20.100000000000001" customHeight="1" x14ac:dyDescent="0.3">
      <c r="A9" s="20" t="s">
        <v>47</v>
      </c>
      <c r="B9" s="128" t="s">
        <v>195</v>
      </c>
      <c r="C9" s="129"/>
      <c r="D9" s="93" t="str">
        <f>IF(K10="Middle","RUN 2 UP",IF(AND(O8="Centrefold Roll",B8=380),"RUN 2 UP",""))</f>
        <v/>
      </c>
      <c r="E9" s="67"/>
      <c r="F9" s="68"/>
      <c r="G9" s="20" t="s">
        <v>47</v>
      </c>
      <c r="H9" s="128" t="s">
        <v>196</v>
      </c>
      <c r="I9" s="129"/>
      <c r="J9" s="15" t="s">
        <v>54</v>
      </c>
      <c r="K9" s="60" t="s">
        <v>33</v>
      </c>
      <c r="L9" s="61"/>
      <c r="M9" s="29"/>
      <c r="N9" s="21"/>
      <c r="O9" s="136" t="str">
        <f>IF(O8="Poly Bag","PB",IF(O8="Poly Bag Roll","PBR",IF(O8="Centrefold Roll","CFR",IF(O8="Sheet","S",IF(O8="Sheet Roll","SR")))))</f>
        <v>PBR</v>
      </c>
      <c r="P9" s="137"/>
      <c r="Q9" s="21"/>
      <c r="R9" s="30">
        <v>1325</v>
      </c>
      <c r="S9" s="22" t="s">
        <v>77</v>
      </c>
      <c r="T9" s="30">
        <v>1080</v>
      </c>
      <c r="U9" s="22" t="s">
        <v>77</v>
      </c>
      <c r="V9" s="30">
        <v>75</v>
      </c>
      <c r="W9" s="21"/>
      <c r="X9" s="120" t="s">
        <v>197</v>
      </c>
      <c r="Y9" s="121"/>
    </row>
    <row r="10" spans="1:25" ht="20.100000000000001" customHeight="1" x14ac:dyDescent="0.25">
      <c r="A10" s="15" t="s">
        <v>50</v>
      </c>
      <c r="B10" s="60">
        <v>10</v>
      </c>
      <c r="C10" s="61"/>
      <c r="D10" s="48" t="s">
        <v>133</v>
      </c>
      <c r="E10" s="130">
        <f>IF(ISNUMBER(SEARCH("sheet",O8,1)),((R9*T9*H8/540000)*U7/2000*1.3),((R9*T9*H8/540000)*U7/1000*1.08))</f>
        <v>214.65</v>
      </c>
      <c r="F10" s="131"/>
      <c r="G10" s="15" t="s">
        <v>52</v>
      </c>
      <c r="H10" s="134">
        <f>IF(ISNUMBER(SEARCH("sheet",O8,1)),(U7*T9/2000*1.08),(U7*T9/1000*1.08))</f>
        <v>1166.4000000000001</v>
      </c>
      <c r="I10" s="135"/>
      <c r="J10" s="15" t="s">
        <v>40</v>
      </c>
      <c r="K10" s="60" t="s">
        <v>43</v>
      </c>
      <c r="L10" s="61"/>
      <c r="M10" s="29"/>
      <c r="N10" s="17" t="s">
        <v>140</v>
      </c>
      <c r="O10" s="122" t="s">
        <v>43</v>
      </c>
      <c r="P10" s="123"/>
      <c r="Q10" s="17" t="s">
        <v>49</v>
      </c>
      <c r="R10" s="108" t="str">
        <f>IF(K11="NONE","None",IF(K11="INLINE","Yes",IF(K11="OUT OF LINE","Yes")))</f>
        <v>None</v>
      </c>
      <c r="S10" s="108"/>
      <c r="T10" s="17" t="s">
        <v>99</v>
      </c>
      <c r="U10" s="116"/>
      <c r="V10" s="116"/>
      <c r="W10" s="116"/>
      <c r="X10" s="116"/>
      <c r="Y10" s="11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4" t="str">
        <f>IF(AND(O8="Centrefold Roll",D9="RUN 2 UP"),B10*2,IF(ISNUMBER(SEARCH("sheet",O8,1)),B10*2,""))</f>
        <v/>
      </c>
      <c r="C11" s="95"/>
      <c r="D11" s="15" t="s">
        <v>134</v>
      </c>
      <c r="E11" s="132">
        <f>E10/B10</f>
        <v>21.465</v>
      </c>
      <c r="F11" s="133"/>
      <c r="G11" s="15" t="s">
        <v>14</v>
      </c>
      <c r="H11" s="132">
        <f>H10/B10</f>
        <v>116.64000000000001</v>
      </c>
      <c r="I11" s="133"/>
      <c r="J11" s="15" t="s">
        <v>49</v>
      </c>
      <c r="K11" s="60" t="s">
        <v>43</v>
      </c>
      <c r="L11" s="61"/>
      <c r="M11" s="29"/>
      <c r="N11" s="16"/>
      <c r="O11" s="113" t="str">
        <f>IF(O10="NONE","","V")</f>
        <v/>
      </c>
      <c r="P11" s="114"/>
      <c r="Q11" s="16"/>
      <c r="R11" s="113" t="str">
        <f>IF(R10="None","","P")</f>
        <v/>
      </c>
      <c r="S11" s="113"/>
      <c r="T11" s="16"/>
      <c r="U11" s="118"/>
      <c r="V11" s="118"/>
      <c r="W11" s="118"/>
      <c r="X11" s="118"/>
      <c r="Y11" s="119"/>
    </row>
    <row r="12" spans="1:25" ht="20.100000000000001" customHeight="1" x14ac:dyDescent="0.25">
      <c r="A12" s="124" t="s">
        <v>12</v>
      </c>
      <c r="B12" s="125"/>
      <c r="C12" s="125"/>
      <c r="D12" s="125"/>
      <c r="E12" s="65"/>
      <c r="F12" s="65"/>
      <c r="G12" s="65"/>
      <c r="H12" s="65"/>
      <c r="I12" s="65"/>
      <c r="J12" s="65"/>
      <c r="K12" s="65"/>
      <c r="L12" s="66"/>
      <c r="M12" s="29"/>
      <c r="N12" s="90" t="s">
        <v>70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/>
    </row>
    <row r="13" spans="1:25" ht="20.100000000000001" customHeight="1" x14ac:dyDescent="0.25">
      <c r="A13" s="15" t="s">
        <v>67</v>
      </c>
      <c r="B13" s="60" t="s">
        <v>43</v>
      </c>
      <c r="C13" s="60"/>
      <c r="D13" s="61"/>
      <c r="E13" s="23" t="s">
        <v>60</v>
      </c>
      <c r="F13" s="60" t="s">
        <v>43</v>
      </c>
      <c r="G13" s="60"/>
      <c r="H13" s="61"/>
      <c r="I13" s="15" t="s">
        <v>61</v>
      </c>
      <c r="J13" s="60" t="s">
        <v>43</v>
      </c>
      <c r="K13" s="60"/>
      <c r="L13" s="61"/>
      <c r="M13" s="29"/>
      <c r="N13" s="15" t="s">
        <v>71</v>
      </c>
      <c r="O13" s="31" t="s">
        <v>76</v>
      </c>
      <c r="P13" s="15" t="s">
        <v>72</v>
      </c>
      <c r="Q13" s="24">
        <f>O7</f>
        <v>10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9"/>
      <c r="N14" s="78" t="s">
        <v>109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0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29"/>
      <c r="N15" s="87" t="s">
        <v>107</v>
      </c>
      <c r="O15" s="88"/>
      <c r="P15" s="89"/>
      <c r="Q15" s="87" t="s">
        <v>106</v>
      </c>
      <c r="R15" s="88"/>
      <c r="S15" s="89"/>
      <c r="T15" s="87" t="s">
        <v>117</v>
      </c>
      <c r="U15" s="88"/>
      <c r="V15" s="89"/>
      <c r="W15" s="87" t="s">
        <v>116</v>
      </c>
      <c r="X15" s="88"/>
      <c r="Y15" s="89"/>
    </row>
    <row r="16" spans="1:25" ht="20.100000000000001" customHeight="1" x14ac:dyDescent="0.25">
      <c r="A16" s="87" t="s">
        <v>2</v>
      </c>
      <c r="B16" s="89"/>
      <c r="C16" s="87" t="s">
        <v>141</v>
      </c>
      <c r="D16" s="89"/>
      <c r="E16" s="87" t="s">
        <v>3</v>
      </c>
      <c r="F16" s="89"/>
      <c r="G16" s="87" t="s">
        <v>4</v>
      </c>
      <c r="H16" s="89"/>
      <c r="I16" s="87" t="s">
        <v>10</v>
      </c>
      <c r="J16" s="89"/>
      <c r="K16" s="88" t="s">
        <v>11</v>
      </c>
      <c r="L16" s="89"/>
      <c r="M16" s="29"/>
      <c r="N16" s="15" t="s">
        <v>27</v>
      </c>
      <c r="O16" s="60"/>
      <c r="P16" s="61"/>
      <c r="Q16" s="15" t="s">
        <v>104</v>
      </c>
      <c r="R16" s="60" t="s">
        <v>22</v>
      </c>
      <c r="S16" s="61"/>
      <c r="T16" s="15" t="s">
        <v>102</v>
      </c>
      <c r="U16" s="60" t="s">
        <v>30</v>
      </c>
      <c r="V16" s="61"/>
      <c r="W16" s="15" t="str">
        <f>IF(ISNUMBER(SEARCH("bag",O8,1)),"Total Bags","Total Sheets")</f>
        <v>Total Bags</v>
      </c>
      <c r="X16" s="62"/>
      <c r="Y16" s="63"/>
    </row>
    <row r="17" spans="1:25" ht="20.100000000000001" customHeight="1" x14ac:dyDescent="0.25">
      <c r="A17" s="81" t="s">
        <v>5</v>
      </c>
      <c r="B17" s="81"/>
      <c r="C17" s="85" t="s">
        <v>146</v>
      </c>
      <c r="D17" s="86"/>
      <c r="E17" s="82"/>
      <c r="F17" s="83"/>
      <c r="G17" s="33" t="s">
        <v>80</v>
      </c>
      <c r="H17" s="34"/>
      <c r="I17" s="143"/>
      <c r="J17" s="144"/>
      <c r="K17" s="143"/>
      <c r="L17" s="144"/>
      <c r="M17" s="29"/>
      <c r="N17" s="15" t="s">
        <v>25</v>
      </c>
      <c r="O17" s="60"/>
      <c r="P17" s="61"/>
      <c r="Q17" s="15" t="s">
        <v>103</v>
      </c>
      <c r="R17" s="60" t="s">
        <v>30</v>
      </c>
      <c r="S17" s="61"/>
      <c r="T17" s="25" t="str">
        <f>IF(ISNUMBER(SEARCH("roll",O8,1)),"Part Rolls","Part Ctns")</f>
        <v>Part Rolls</v>
      </c>
      <c r="U17" s="60" t="s">
        <v>30</v>
      </c>
      <c r="V17" s="61"/>
      <c r="W17" s="15" t="str">
        <f>IF(ISNUMBER(SEARCH("roll",O8,1)),"Total Rolls","Total Ctns")</f>
        <v>Total Rolls</v>
      </c>
      <c r="X17" s="62"/>
      <c r="Y17" s="63"/>
    </row>
    <row r="18" spans="1:25" ht="20.100000000000001" customHeight="1" x14ac:dyDescent="0.25">
      <c r="A18" s="81" t="s">
        <v>6</v>
      </c>
      <c r="B18" s="81"/>
      <c r="C18" s="85" t="s">
        <v>145</v>
      </c>
      <c r="D18" s="86"/>
      <c r="E18" s="82"/>
      <c r="F18" s="83"/>
      <c r="G18" s="33" t="s">
        <v>81</v>
      </c>
      <c r="H18" s="34"/>
      <c r="I18" s="143"/>
      <c r="J18" s="144"/>
      <c r="K18" s="143"/>
      <c r="L18" s="144"/>
      <c r="M18" s="29"/>
      <c r="N18" s="15" t="s">
        <v>100</v>
      </c>
      <c r="O18" s="60"/>
      <c r="P18" s="61"/>
      <c r="Q18" s="15" t="s">
        <v>105</v>
      </c>
      <c r="R18" s="60" t="s">
        <v>30</v>
      </c>
      <c r="S18" s="61"/>
      <c r="T18" s="1" t="s">
        <v>26</v>
      </c>
      <c r="U18" s="60" t="s">
        <v>35</v>
      </c>
      <c r="V18" s="61"/>
      <c r="W18" s="15" t="s">
        <v>108</v>
      </c>
      <c r="X18" s="62"/>
      <c r="Y18" s="63"/>
    </row>
    <row r="19" spans="1:25" ht="20.100000000000001" customHeight="1" x14ac:dyDescent="0.25">
      <c r="A19" s="81" t="s">
        <v>7</v>
      </c>
      <c r="B19" s="81"/>
      <c r="C19" s="85" t="s">
        <v>144</v>
      </c>
      <c r="D19" s="86"/>
      <c r="E19" s="82"/>
      <c r="F19" s="83"/>
      <c r="G19" s="33" t="s">
        <v>82</v>
      </c>
      <c r="H19" s="34"/>
      <c r="I19" s="143"/>
      <c r="J19" s="144"/>
      <c r="K19" s="143"/>
      <c r="L19" s="144"/>
      <c r="M19" s="29"/>
      <c r="N19" s="69" t="s">
        <v>115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</row>
    <row r="20" spans="1:25" ht="20.100000000000001" customHeight="1" x14ac:dyDescent="0.25">
      <c r="A20" s="81" t="s">
        <v>8</v>
      </c>
      <c r="B20" s="81"/>
      <c r="C20" s="85" t="s">
        <v>143</v>
      </c>
      <c r="D20" s="86"/>
      <c r="E20" s="82"/>
      <c r="F20" s="83"/>
      <c r="G20" s="33" t="s">
        <v>83</v>
      </c>
      <c r="H20" s="34"/>
      <c r="I20" s="143"/>
      <c r="J20" s="144"/>
      <c r="K20" s="143"/>
      <c r="L20" s="144"/>
      <c r="M20" s="29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</row>
    <row r="21" spans="1:25" ht="20.100000000000001" customHeight="1" x14ac:dyDescent="0.25">
      <c r="A21" s="81" t="s">
        <v>9</v>
      </c>
      <c r="B21" s="81"/>
      <c r="C21" s="85" t="s">
        <v>142</v>
      </c>
      <c r="D21" s="86"/>
      <c r="E21" s="82"/>
      <c r="F21" s="83"/>
      <c r="G21" s="33" t="s">
        <v>84</v>
      </c>
      <c r="H21" s="34"/>
      <c r="I21" s="143"/>
      <c r="J21" s="144"/>
      <c r="K21" s="143"/>
      <c r="L21" s="144"/>
      <c r="M21" s="29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</row>
    <row r="22" spans="1:25" ht="20.100000000000001" customHeight="1" x14ac:dyDescent="0.25">
      <c r="A22" s="81" t="str">
        <f>(IF(B7="NATURAL","",B7))</f>
        <v/>
      </c>
      <c r="B22" s="81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6"/>
      <c r="E22" s="82"/>
      <c r="F22" s="83"/>
      <c r="G22" s="33" t="s">
        <v>85</v>
      </c>
      <c r="H22" s="34"/>
      <c r="I22" s="143"/>
      <c r="J22" s="144"/>
      <c r="K22" s="143"/>
      <c r="L22" s="144"/>
      <c r="M22" s="29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1:25" ht="20.100000000000001" customHeight="1" x14ac:dyDescent="0.25">
      <c r="A23" s="138" t="s">
        <v>200</v>
      </c>
      <c r="B23" s="138"/>
      <c r="C23" s="85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6"/>
      <c r="E23" s="82"/>
      <c r="F23" s="83"/>
      <c r="G23" s="33" t="s">
        <v>86</v>
      </c>
      <c r="H23" s="34"/>
      <c r="I23" s="143"/>
      <c r="J23" s="144"/>
      <c r="K23" s="143"/>
      <c r="L23" s="144"/>
      <c r="M23" s="29"/>
      <c r="N23" s="78" t="s">
        <v>132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80"/>
    </row>
    <row r="24" spans="1:25" ht="20.100000000000001" customHeight="1" x14ac:dyDescent="0.25">
      <c r="A24" s="139"/>
      <c r="B24" s="140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2"/>
      <c r="F24" s="83"/>
      <c r="G24" s="33" t="s">
        <v>87</v>
      </c>
      <c r="H24" s="34"/>
      <c r="I24" s="143"/>
      <c r="J24" s="144"/>
      <c r="K24" s="143"/>
      <c r="L24" s="144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4" t="s">
        <v>131</v>
      </c>
      <c r="H26" s="84"/>
      <c r="I26" s="84" t="s">
        <v>130</v>
      </c>
      <c r="J26" s="84"/>
      <c r="K26" s="10" t="s">
        <v>93</v>
      </c>
      <c r="L26" s="10" t="s">
        <v>94</v>
      </c>
      <c r="M26" s="29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13" t="s">
        <v>95</v>
      </c>
      <c r="B27" s="7" t="s">
        <v>201</v>
      </c>
      <c r="C27" s="7"/>
      <c r="D27" s="145">
        <v>98</v>
      </c>
      <c r="E27" s="146">
        <v>4.0999999999999996</v>
      </c>
      <c r="F27" s="7"/>
      <c r="G27" s="142"/>
      <c r="H27" s="142"/>
      <c r="I27" s="142"/>
      <c r="J27" s="142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42"/>
      <c r="H28" s="142"/>
      <c r="I28" s="142"/>
      <c r="J28" s="142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24" t="s">
        <v>98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41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9" t="s">
        <v>115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0" t="s">
        <v>135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2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45505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45495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194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155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156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157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158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159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161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174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8" t="s">
        <v>183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6" t="s">
        <v>45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29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 t="s">
        <v>33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6" t="s">
        <v>46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43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" t="s">
        <v>44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4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6" t="s">
        <v>62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43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64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" t="s">
        <v>63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6" t="s">
        <v>67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43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69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" t="s">
        <v>68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4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6" t="s">
        <v>60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43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65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" t="s">
        <v>66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4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5" t="s">
        <v>61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4" t="s">
        <v>43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7" t="s">
        <v>176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154</v>
      </c>
    </row>
    <row r="60" spans="1:20" x14ac:dyDescent="0.25">
      <c r="A60" s="58" t="s">
        <v>147</v>
      </c>
      <c r="O60" s="1"/>
      <c r="Q60" s="1"/>
      <c r="R60" s="3"/>
      <c r="S60" s="1"/>
    </row>
    <row r="61" spans="1:20" x14ac:dyDescent="0.25">
      <c r="A61" s="58" t="s">
        <v>148</v>
      </c>
      <c r="O61" s="1"/>
      <c r="Q61" s="1"/>
      <c r="R61" s="1"/>
      <c r="S61" s="1"/>
    </row>
    <row r="62" spans="1:20" x14ac:dyDescent="0.25">
      <c r="A62" s="58" t="s">
        <v>149</v>
      </c>
      <c r="O62" s="1"/>
      <c r="Q62" s="1"/>
      <c r="R62" s="1"/>
      <c r="S62" s="1"/>
    </row>
    <row r="63" spans="1:20" x14ac:dyDescent="0.25">
      <c r="A63" s="58" t="s">
        <v>150</v>
      </c>
      <c r="O63" s="1"/>
      <c r="Q63" s="1"/>
      <c r="R63" s="1"/>
      <c r="S63" s="1"/>
      <c r="T63" s="1"/>
    </row>
    <row r="64" spans="1:20" x14ac:dyDescent="0.25">
      <c r="A64" s="58" t="s">
        <v>151</v>
      </c>
      <c r="O64" s="1"/>
      <c r="Q64" s="1"/>
      <c r="R64" s="1"/>
      <c r="S64" s="1"/>
      <c r="T64" s="1"/>
    </row>
    <row r="65" spans="1:20" x14ac:dyDescent="0.25">
      <c r="A65" s="58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58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8C6A954-E8F0-41A1-9567-605B2F9B8D44}"/>
</file>

<file path=customXml/itemProps2.xml><?xml version="1.0" encoding="utf-8"?>
<ds:datastoreItem xmlns:ds="http://schemas.openxmlformats.org/officeDocument/2006/customXml" ds:itemID="{528C4EA5-366A-434D-914D-39A98CF52063}"/>
</file>

<file path=customXml/itemProps3.xml><?xml version="1.0" encoding="utf-8"?>
<ds:datastoreItem xmlns:ds="http://schemas.openxmlformats.org/officeDocument/2006/customXml" ds:itemID="{CFAC77A3-E7B0-4966-81D2-8F48D2199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2024-05-20T01:25:38Z</cp:lastPrinted>
  <dcterms:created xsi:type="dcterms:W3CDTF">2019-11-27T23:28:06Z</dcterms:created>
  <dcterms:modified xsi:type="dcterms:W3CDTF">2024-07-01T05:20:56Z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