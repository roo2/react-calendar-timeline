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25D3A69-B7A5-4A46-B821-A9577F5305C5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<sst xmlns="http://schemas.openxmlformats.org/spreadsheetml/2006/main" count="305" uniqueCount="199">
  <si>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</si>
  <si>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</si>
  <si>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</si>
  <si>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</si>
  <si>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</si>
  <si>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</si>
  <si>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</si>
  <si>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</si>
  <si>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</si>
  <si>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</si>
  <si>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</si>
  <si>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</si>
  <si>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</si>
  <si>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</si>
  <si>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</si>
  <si>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</si>
  <si>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</si>
  <si>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</si>
  <si>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</si>
  <si>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</si>
  <si>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</si>
  <si>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</si>
  <si>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</si>
  <si>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</si>
  <si>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</si>
  <si>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</si>
  <si>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</si>
  <si>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</si>
  <si>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</si>
  <si>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</si>
  <si>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</si>
  <si>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</si>
  <si>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</si>
  <si>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</si>
  <si>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</si>
  <si>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</si>
  <si>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</si>
  <si>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</si>
  <si>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</si>
  <si>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</si>
  <si>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</si>
  <si>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</si>
  <si>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</si>
  <si>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</si>
  <si>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</si>
  <si>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</si>
  <si>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</si>
  <si>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</si>
  <si>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</si>
  <si>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</si>
  <si>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</si>
  <si>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</si>
  <si>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</si>
  <si>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</si>
  <si>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</si>
  <si>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</si>
  <si>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</si>
  <si>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</si>
  <si>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</si>
  <si>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</si>
  <si>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</si>
  <si>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</si>
  <si>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</si>
  <si>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</si>
  <si>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</si>
  <si>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</si>
  <si>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</si>
  <si>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</si>
  <si>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</si>
  <si>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</si>
  <si>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</si>
  <si>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</si>
  <si>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</si>
  <si>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</si>
  <si>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</si>
  <si>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</si>
  <si>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</si>
  <si>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</si>
  <si>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</si>
  <si>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</si>
  <si>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</si>
  <si>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</si>
  <si>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</si>
  <si>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</si>
  <si>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</si>
  <si>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</si>
  <si>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</si>
  <si>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</si>
  <si>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</si>
  <si>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</si>
  <si>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</si>
  <si>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</si>
  <si>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</si>
  <si>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</si>
  <si>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</si>
  <si>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</si>
  <si>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</si>
  <si>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</si>
  <si>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</si>
  <si>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</si>
  <si>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</si>
  <si>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</si>
  <si>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</si>
  <si>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</si>
  <si>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</si>
  <si>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</si>
  <si>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</si>
  <si>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</si>
  <si>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</si>
  <si>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</si>
  <si>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</si>
  <si>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</si>
  <si>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</si>
  <si>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</si>
  <si>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</si>
  <si>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</si>
  <si>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</si>
  <si>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</si>
  <si>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</si>
  <si>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</si>
  <si>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</si>
  <si>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</si>
  <si>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</si>
  <si>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</si>
  <si>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</si>
  <si>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</si>
  <si>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</si>
  <si>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</si>
  <si>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</si>
  <si>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</si>
  <si>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</si>
  <si>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</si>
  <si>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</si>
  <si>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</si>
  <si>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</si>
  <si>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</si>
  <si>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</si>
  <si>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</si>
  <si>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</si>
  <si>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</si>
  <si>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</si>
  <si>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</si>
  <si>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</si>
  <si>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</si>
  <si>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</si>
  <si>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</si>
  <si>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</si>
  <si>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</si>
  <si>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</si>
  <si>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</si>
  <si>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</si>
  <si>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</si>
  <si>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</si>
  <si>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</si>
  <si>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</si>
  <si>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</si>
  <si>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</si>
  <si>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</si>
  <si>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</si>
  <si>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</si>
  <si>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</si>
  <si>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</si>
  <si>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</si>
  <si>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</si>
  <si>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</si>
  <si>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</si>
  <si>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</si>
  <si>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</si>
  <si>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</si>
  <si>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</si>
  <si>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</si>
  <si>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</si>
  <si>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</si>
  <si>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</si>
  <si>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</si>
  <si>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</si>
  <si>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</si>
  <si>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</si>
  <si>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</si>
  <si>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</si>
  <si>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</si>
  <si>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</si>
  <si>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</si>
  <si>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</si>
  <si>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</si>
  <si>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</si>
  <si>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</si>
  <si>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</si>
  <si>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</si>
  <si>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</si>
  <si>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</si>
  <si>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</si>
  <si>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</si>
  <si>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</si>
  <si>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</si>
  <si>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PROPAC</t>
  </si>
  <si>
    <t>RUN AT 95UM</t>
  </si>
  <si>
    <t>SPECIALISED PACKAGING - MUST KEEP CLEAN</t>
  </si>
  <si>
    <t>20.02.2023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</si>
</sst>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W18" sqref="W18"/>
    </sheetView>
  </sheetViews>
  <sheetFormatPr defaultRowHeight="14.75" x14ac:dyDescent="0.75"/>
  <sheetData>
    <row r="1" spans="1:25" ht="20.100000000000001" customHeight="1" x14ac:dyDescent="0.8">
      <c r="A1" s="27" t="s">
        <v>55</v>
      </c>
      <c r="B1" s="88" t="str">
        <f>O9&amp;R9&amp;IF(X8="G","G","")&amp;IF(O8="Centrefold Roll","("&amp;E8&amp;")","")&amp;T9&amp;V9&amp;C22&amp;C23&amp;C24&amp;O11&amp;R11</f>
        <v>SR6001800100WH</v>
      </c>
      <c r="C1" s="88"/>
      <c r="D1" s="89"/>
      <c r="E1" s="27" t="s">
        <v>56</v>
      </c>
      <c r="F1" s="86" t="s">
        <v>195</v>
      </c>
      <c r="G1" s="86"/>
      <c r="H1" s="87"/>
      <c r="I1" s="27" t="s">
        <v>181</v>
      </c>
      <c r="J1" s="101">
        <f ca="1">TODAY()</f>
        <v>44938</v>
      </c>
      <c r="K1" s="101"/>
      <c r="L1" s="102"/>
      <c r="M1" s="11"/>
      <c r="N1" s="27" t="s">
        <v>55</v>
      </c>
      <c r="O1" s="88" t="str">
        <f>B1</f>
        <v>SR6001800100WH</v>
      </c>
      <c r="P1" s="88"/>
      <c r="Q1" s="89"/>
      <c r="R1" s="27" t="s">
        <v>56</v>
      </c>
      <c r="S1" s="88" t="str">
        <f>F1</f>
        <v>PROPAC</v>
      </c>
      <c r="T1" s="88"/>
      <c r="U1" s="89"/>
      <c r="V1" s="27" t="s">
        <v>181</v>
      </c>
      <c r="W1" s="101">
        <f ca="1">J1</f>
        <v>44938</v>
      </c>
      <c r="X1" s="101"/>
      <c r="Y1" s="102"/>
    </row>
    <row r="2" spans="1:25" ht="20.100000000000001" customHeight="1" x14ac:dyDescent="0.8">
      <c r="A2" s="27" t="s">
        <v>99</v>
      </c>
      <c r="B2" s="88" t="str">
        <f>IF(U10="","",U10)</f>
        <v/>
      </c>
      <c r="C2" s="88"/>
      <c r="D2" s="89"/>
      <c r="E2" s="27" t="s">
        <v>57</v>
      </c>
      <c r="F2" s="86">
        <v>944749</v>
      </c>
      <c r="G2" s="86"/>
      <c r="H2" s="87"/>
      <c r="I2" s="27" t="s">
        <v>58</v>
      </c>
      <c r="J2" s="106" t="s">
        <v>198</v>
      </c>
      <c r="K2" s="86"/>
      <c r="L2" s="87"/>
      <c r="M2" s="11"/>
      <c r="N2" s="27" t="s">
        <v>99</v>
      </c>
      <c r="O2" s="88" t="str">
        <f>IF(B2="","",B2)</f>
        <v/>
      </c>
      <c r="P2" s="88"/>
      <c r="Q2" s="89"/>
      <c r="R2" s="27" t="s">
        <v>57</v>
      </c>
      <c r="S2" s="88">
        <f>IF(F2="","",F2)</f>
        <v>944749</v>
      </c>
      <c r="T2" s="88"/>
      <c r="U2" s="89"/>
      <c r="V2" s="27" t="s">
        <v>58</v>
      </c>
      <c r="W2" s="103" t="str">
        <f>J2</f>
        <v>20.02.2023</v>
      </c>
      <c r="X2" s="88"/>
      <c r="Y2" s="89"/>
    </row>
    <row r="3" spans="1:25" ht="20.100000000000001" customHeight="1" x14ac:dyDescent="0.75">
      <c r="A3" s="92" t="s">
        <v>197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 t="str">
        <f>A3</f>
        <v>SPECIALISED PACKAGING - MUST KEEP CLEAN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00000000000001" customHeight="1" x14ac:dyDescent="0.7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00000000000001" customHeight="1" x14ac:dyDescent="0.7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00000000000001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00000000000001" customHeight="1" x14ac:dyDescent="0.9">
      <c r="A7" s="27" t="s">
        <v>48</v>
      </c>
      <c r="B7" s="90" t="s">
        <v>154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5</v>
      </c>
      <c r="P7" s="87"/>
      <c r="Q7" s="27" t="str">
        <f>IF(ISNUMBER(SEARCH("roll",O8,1)),"Per Roll","Per Carton")</f>
        <v>Per Roll</v>
      </c>
      <c r="R7" s="86">
        <v>200</v>
      </c>
      <c r="S7" s="87"/>
      <c r="T7" s="27" t="str">
        <f>IF(ISNUMBER(SEARCH("bag",O8,1)),"Total Bags","Total Sheets")</f>
        <v>Total Sheets</v>
      </c>
      <c r="U7" s="88">
        <f>R7*O7</f>
        <v>1000</v>
      </c>
      <c r="V7" s="89"/>
      <c r="W7" s="27" t="s">
        <v>101</v>
      </c>
      <c r="X7" s="86" t="s">
        <v>22</v>
      </c>
      <c r="Y7" s="87"/>
    </row>
    <row r="8" spans="1:25" ht="20.100000000000001" customHeight="1" x14ac:dyDescent="0.8">
      <c r="A8" s="30" t="s">
        <v>15</v>
      </c>
      <c r="B8" s="104">
        <f>R9</f>
        <v>600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f>(IF(V9&lt;30,"30",V9))</f>
        <v>100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190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00000000000001" customHeight="1" x14ac:dyDescent="0.9">
      <c r="A9" s="42" t="s">
        <v>47</v>
      </c>
      <c r="B9" s="111" t="s">
        <v>179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196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600</v>
      </c>
      <c r="S9" s="33" t="s">
        <v>77</v>
      </c>
      <c r="T9" s="12">
        <v>1800</v>
      </c>
      <c r="U9" s="33" t="s">
        <v>77</v>
      </c>
      <c r="V9" s="12">
        <v>100</v>
      </c>
      <c r="W9" s="29"/>
      <c r="X9" s="128"/>
      <c r="Y9" s="129"/>
    </row>
    <row r="10" spans="1:25" ht="20.100000000000001" customHeight="1" x14ac:dyDescent="0.8">
      <c r="A10" s="27" t="s">
        <v>50</v>
      </c>
      <c r="B10" s="86">
        <v>2</v>
      </c>
      <c r="C10" s="87"/>
      <c r="D10" s="48" t="s">
        <v>133</v>
      </c>
      <c r="E10" s="113">
        <f>IF(ISNUMBER(SEARCH("sheet",O8,1)),((R9*T9*H8/540000)*U7/2000*1.3),((R9*T9*H8/540000)*U7/1000*1.08))</f>
        <v>130</v>
      </c>
      <c r="F10" s="114"/>
      <c r="G10" s="27" t="s">
        <v>52</v>
      </c>
      <c r="H10" s="117">
        <f>IF(ISNUMBER(SEARCH("sheet",O8,1)),(U7*T9/2000*1.08),(U7*T9/1000*1.08))</f>
        <v>972.00000000000011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/>
      <c r="V10" s="120"/>
      <c r="W10" s="120"/>
      <c r="X10" s="120"/>
      <c r="Y10" s="121"/>
    </row>
    <row r="11" spans="1:25" ht="20.100000000000001" customHeight="1" x14ac:dyDescent="0.8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4</v>
      </c>
      <c r="C11" s="89"/>
      <c r="D11" s="27" t="s">
        <v>134</v>
      </c>
      <c r="E11" s="115">
        <f>E10/B10</f>
        <v>65</v>
      </c>
      <c r="F11" s="116"/>
      <c r="G11" s="27" t="s">
        <v>14</v>
      </c>
      <c r="H11" s="115">
        <f>H10/B10</f>
        <v>486.00000000000006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00000000000001" customHeight="1" x14ac:dyDescent="0.7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00000000000001" customHeight="1" x14ac:dyDescent="0.8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5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50</v>
      </c>
      <c r="X13" s="27" t="s">
        <v>75</v>
      </c>
      <c r="Y13" s="14"/>
    </row>
    <row r="14" spans="1:25" ht="20.100000000000001" customHeight="1" x14ac:dyDescent="0.9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75">
      <c r="A15" s="60" t="s">
        <v>182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00000000000001" customHeight="1" x14ac:dyDescent="0.8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30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00000000000001" customHeight="1" x14ac:dyDescent="0.8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00000000000001" customHeight="1" x14ac:dyDescent="0.7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7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7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75">
      <c r="A22" s="77" t="str">
        <f>(IF(B7="NATURAL","",B7))</f>
        <v>WHITE</v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0"/>
      <c r="E22" s="84">
        <v>0.04</v>
      </c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7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7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7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/>
      <c r="P25" s="17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38"/>
      <c r="B26" s="34" t="s">
        <v>180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00000000000001" customHeight="1" x14ac:dyDescent="0.7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183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191</v>
      </c>
      <c r="X27" s="35" t="s">
        <v>192</v>
      </c>
      <c r="Y27" s="35" t="s">
        <v>21</v>
      </c>
    </row>
    <row r="28" spans="1:25" ht="20.100000000000001" customHeight="1" x14ac:dyDescent="0.7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7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75">
      <c r="N43" s="53"/>
    </row>
    <row r="44" spans="1:25" ht="20.100000000000001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183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191</v>
      </c>
      <c r="X44" s="35" t="s">
        <v>192</v>
      </c>
      <c r="Y44" s="35" t="s">
        <v>21</v>
      </c>
    </row>
    <row r="45" spans="1:25" ht="20.100000000000001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2656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44969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44959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F1F611C-C135-4267-A2BD-92998457D18B}"/>
</file>

<file path=customXml/itemProps2.xml><?xml version="1.0" encoding="utf-8"?>
<ds:datastoreItem xmlns:ds="http://schemas.openxmlformats.org/officeDocument/2006/customXml" ds:itemID="{54DD9BF6-B052-477C-9F67-C3F458F3AF86}"/>
</file>

<file path=customXml/itemProps3.xml><?xml version="1.0" encoding="utf-8"?>
<ds:datastoreItem xmlns:ds="http://schemas.openxmlformats.org/officeDocument/2006/customXml" ds:itemID="{24DD8165-661A-431E-8699-4A0166DAD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2023-01-12T04:00:09Z</cp:lastPrinted>
  <dcterms:created xsi:type="dcterms:W3CDTF">2019-11-27T23:28:06Z</dcterms:created>
  <dcterms:modified xsi:type="dcterms:W3CDTF">2023-01-12T04:25:00Z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