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A0773FB-F1FE-441B-97EB-BB82574FDE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<sst xmlns="http://schemas.openxmlformats.org/spreadsheetml/2006/main" count="307" uniqueCount="202">
  <si>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</si>
  <si>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</si>
  <si>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</si>
  <si>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</si>
  <si>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</si>
  <si>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</si>
  <si>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</si>
  <si>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</si>
  <si>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</si>
  <si>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</si>
  <si>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</si>
  <si>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</si>
  <si>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</si>
  <si>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</si>
  <si>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</si>
  <si>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</si>
  <si>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</si>
  <si>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</si>
  <si>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</si>
  <si>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</si>
  <si>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</si>
  <si>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</si>
  <si>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</si>
  <si>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</si>
  <si>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</si>
  <si>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</si>
  <si>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</si>
  <si>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</si>
  <si>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</si>
  <si>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</si>
  <si>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</si>
  <si>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</si>
  <si>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</si>
  <si>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</si>
  <si>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</si>
  <si>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</si>
  <si>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</si>
  <si>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</si>
  <si>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</si>
  <si>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</si>
  <si>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</si>
  <si>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</si>
  <si>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</si>
  <si>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</si>
  <si>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</si>
  <si>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</si>
  <si>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</si>
  <si>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</si>
  <si>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</si>
  <si>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</si>
  <si>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</si>
  <si>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</si>
  <si>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</si>
  <si>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</si>
  <si>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</si>
  <si>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</si>
  <si>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</si>
  <si>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</si>
  <si>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</si>
  <si>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</si>
  <si>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</si>
  <si>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</si>
  <si>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</si>
  <si>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</si>
  <si>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</si>
  <si>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</si>
  <si>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</si>
  <si>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</si>
  <si>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</si>
  <si>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</si>
  <si>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</si>
  <si>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</si>
  <si>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</si>
  <si>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</si>
  <si>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</si>
  <si>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</si>
  <si>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</si>
  <si>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</si>
  <si>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</si>
  <si>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</si>
  <si>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</si>
  <si>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</si>
  <si>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</si>
  <si>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</si>
  <si>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</si>
  <si>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</si>
  <si>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</si>
  <si>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</si>
  <si>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</si>
  <si>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</si>
  <si>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</si>
  <si>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</si>
  <si>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</si>
  <si>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</si>
  <si>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</si>
  <si>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</si>
  <si>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</si>
  <si>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</si>
  <si>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</si>
  <si>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</si>
  <si>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</si>
  <si>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</si>
  <si>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</si>
  <si>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</si>
  <si>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</si>
  <si>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</si>
  <si>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</si>
  <si>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</si>
  <si>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</si>
  <si>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</si>
  <si>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</si>
  <si>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</si>
  <si>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</si>
  <si>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</si>
  <si>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</si>
  <si>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</si>
  <si>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</si>
  <si>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</si>
  <si>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</si>
  <si>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</si>
  <si>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</si>
  <si>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</si>
  <si>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</si>
  <si>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</si>
  <si>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</si>
  <si>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</si>
  <si>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</si>
  <si>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</si>
  <si>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</si>
  <si>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</si>
  <si>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</si>
  <si>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</si>
  <si>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</si>
  <si>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</si>
  <si>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</si>
  <si>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</si>
  <si>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</si>
  <si>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</si>
  <si>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</si>
  <si>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</si>
  <si>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</si>
  <si>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</si>
  <si>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</si>
  <si>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</si>
  <si>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</si>
  <si>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</si>
  <si>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</si>
  <si>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</si>
  <si>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</si>
  <si>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</si>
  <si>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</si>
  <si>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</si>
  <si>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</si>
  <si>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</si>
  <si>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</si>
  <si>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</si>
  <si>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</si>
  <si>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</si>
  <si>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</si>
  <si>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</si>
  <si>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</si>
  <si>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</si>
  <si>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</si>
  <si>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</si>
  <si>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</si>
  <si>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</si>
  <si>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</si>
  <si>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</si>
  <si>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</si>
  <si>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</si>
  <si>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</si>
  <si>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</si>
  <si>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</si>
  <si>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</si>
  <si>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</si>
  <si>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</si>
  <si>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</si>
  <si>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</si>
  <si>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</si>
  <si>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</si>
  <si>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</si>
  <si>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</si>
  <si>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</si>
  <si>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</si>
  <si>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</si>
  <si>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</si>
  <si>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</si>
  <si>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</si>
  <si>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</si>
  <si>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</si>
  <si>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</si>
  <si>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</si>
  <si>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</si>
  <si>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</si>
  <si>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UV</t>
  </si>
  <si>
    <t>(130+120)</t>
  </si>
  <si>
    <t xml:space="preserve"> +0mm/-5mm</t>
  </si>
  <si>
    <t>RUN AT 140UM</t>
  </si>
  <si>
    <t>PERF</t>
  </si>
  <si>
    <t>FORREST NURSERIES</t>
  </si>
  <si>
    <r>
      <t xml:space="preserve">KEEP TO TOLERANCE 0MM TO -5MM, MUST BE CORRECT GUSSET SIZE. DO NOT RUN OVER 140UM - </t>
    </r>
    <r>
      <rPr>
        <b/>
        <sz val="16"/>
        <color rgb="FFFF0000"/>
        <rFont val="Calibri"/>
        <family val="2"/>
        <scheme val="minor"/>
      </rPr>
      <t>SHIP FULL PALLETS WHEN COMPLETE CUSTOMER IS URGENT</t>
    </r>
  </si>
  <si>
    <t>5.5LT PLANTER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</si>
</sst>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A15" sqref="AA1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PB250G330150BKUVV</v>
      </c>
      <c r="C1" s="122"/>
      <c r="D1" s="123"/>
      <c r="E1" s="12" t="s">
        <v>57</v>
      </c>
      <c r="F1" s="133" t="s">
        <v>199</v>
      </c>
      <c r="G1" s="133"/>
      <c r="H1" s="134"/>
      <c r="I1" s="13" t="s">
        <v>181</v>
      </c>
      <c r="J1" s="95">
        <f ca="1">TODAY()</f>
        <v>44407</v>
      </c>
      <c r="K1" s="95"/>
      <c r="L1" s="96"/>
      <c r="M1" s="34"/>
      <c r="N1" s="12" t="s">
        <v>56</v>
      </c>
      <c r="O1" s="122" t="str">
        <f>B1</f>
        <v>PB250G330150BKUVV</v>
      </c>
      <c r="P1" s="122"/>
      <c r="Q1" s="123"/>
      <c r="R1" s="12" t="s">
        <v>57</v>
      </c>
      <c r="S1" s="122" t="str">
        <f>F1</f>
        <v>FORREST NURSERIES</v>
      </c>
      <c r="T1" s="122"/>
      <c r="U1" s="123"/>
      <c r="V1" s="12" t="s">
        <v>181</v>
      </c>
      <c r="W1" s="95">
        <f ca="1">J1</f>
        <v>44407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5.5LT PLANTER BAG</v>
      </c>
      <c r="C2" s="122"/>
      <c r="D2" s="123"/>
      <c r="E2" s="12" t="s">
        <v>58</v>
      </c>
      <c r="F2" s="98">
        <v>940945</v>
      </c>
      <c r="G2" s="98"/>
      <c r="H2" s="99"/>
      <c r="I2" s="12" t="s">
        <v>59</v>
      </c>
      <c r="J2" s="97">
        <v>44438</v>
      </c>
      <c r="K2" s="98"/>
      <c r="L2" s="99"/>
      <c r="M2" s="34"/>
      <c r="N2" s="12" t="s">
        <v>100</v>
      </c>
      <c r="O2" s="122" t="str">
        <f>IF(B2="","",B2)</f>
        <v>5.5LT PLANTER BAG</v>
      </c>
      <c r="P2" s="122"/>
      <c r="Q2" s="123"/>
      <c r="R2" s="12" t="s">
        <v>58</v>
      </c>
      <c r="S2" s="122">
        <v>940945</v>
      </c>
      <c r="T2" s="122"/>
      <c r="U2" s="123"/>
      <c r="V2" s="12" t="s">
        <v>59</v>
      </c>
      <c r="W2" s="135">
        <f>J2</f>
        <v>44438</v>
      </c>
      <c r="X2" s="122"/>
      <c r="Y2" s="123"/>
    </row>
    <row r="3" spans="1:28" ht="20.100000000000001" customHeight="1" x14ac:dyDescent="0.2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">
        <v>200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177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300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150000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(130+120)</v>
      </c>
      <c r="F8" s="101"/>
      <c r="G8" s="15" t="s">
        <v>52</v>
      </c>
      <c r="H8" s="100">
        <f>(IF(V9&lt;30,"30",V9))</f>
        <v>150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196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250</v>
      </c>
      <c r="S9" s="20" t="s">
        <v>78</v>
      </c>
      <c r="T9" s="35">
        <v>330</v>
      </c>
      <c r="U9" s="20" t="s">
        <v>78</v>
      </c>
      <c r="V9" s="35">
        <v>150</v>
      </c>
      <c r="W9" s="19"/>
      <c r="X9" s="151" t="s">
        <v>195</v>
      </c>
      <c r="Y9" s="152"/>
    </row>
    <row r="10" spans="1:28" ht="20.100000000000001" customHeight="1" x14ac:dyDescent="0.25">
      <c r="A10" s="12" t="s">
        <v>51</v>
      </c>
      <c r="B10" s="98">
        <v>170</v>
      </c>
      <c r="C10" s="99"/>
      <c r="D10" s="54" t="s">
        <v>134</v>
      </c>
      <c r="E10" s="112">
        <f>IF(ISNUMBER(SEARCH("sheet",O8,1)),((R9*T9*H8/540000)*U7/2000*1.3),((R9*T9*H8/540000)*U7/1000*1.08))</f>
        <v>3712.5000000000005</v>
      </c>
      <c r="F10" s="113"/>
      <c r="G10" s="12" t="s">
        <v>53</v>
      </c>
      <c r="H10" s="116">
        <f>IF(ISNUMBER(SEARCH("sheet",O8,1)),(U7*T9/2000*1.08),(U7*T9/1000*1.08))</f>
        <v>53460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188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201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21.838235294117649</v>
      </c>
      <c r="F11" s="115"/>
      <c r="G11" s="12" t="s">
        <v>15</v>
      </c>
      <c r="H11" s="114">
        <f>H10/B10</f>
        <v>314.47058823529414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300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0"/>
      <c r="Y16" s="161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58"/>
      <c r="J17" s="159"/>
      <c r="K17" s="158"/>
      <c r="L17" s="159"/>
      <c r="M17" s="34"/>
      <c r="N17" s="12" t="s">
        <v>26</v>
      </c>
      <c r="O17" s="98" t="s">
        <v>37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0"/>
      <c r="Y17" s="161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58"/>
      <c r="J18" s="159"/>
      <c r="K18" s="158"/>
      <c r="L18" s="159"/>
      <c r="M18" s="34"/>
      <c r="N18" s="12" t="s">
        <v>101</v>
      </c>
      <c r="O18" s="98" t="s">
        <v>185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0"/>
      <c r="Y18" s="161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58"/>
      <c r="J19" s="159"/>
      <c r="K19" s="158"/>
      <c r="L19" s="159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58"/>
      <c r="J20" s="159"/>
      <c r="K20" s="158"/>
      <c r="L20" s="159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58"/>
      <c r="J21" s="159"/>
      <c r="K21" s="158"/>
      <c r="L21" s="159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BLACK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9"/>
      <c r="E22" s="93"/>
      <c r="F22" s="94"/>
      <c r="G22" s="56" t="s">
        <v>86</v>
      </c>
      <c r="H22" s="37"/>
      <c r="I22" s="158"/>
      <c r="J22" s="159"/>
      <c r="K22" s="158"/>
      <c r="L22" s="159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 t="s">
        <v>194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153">
        <v>0.02</v>
      </c>
      <c r="F23" s="94"/>
      <c r="G23" s="56" t="s">
        <v>87</v>
      </c>
      <c r="H23" s="37"/>
      <c r="I23" s="158"/>
      <c r="J23" s="159"/>
      <c r="K23" s="158"/>
      <c r="L23" s="159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158"/>
      <c r="J24" s="159"/>
      <c r="K24" s="158"/>
      <c r="L24" s="159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21</v>
      </c>
      <c r="R25" s="10">
        <v>6</v>
      </c>
      <c r="S25" s="10"/>
      <c r="T25" s="10">
        <v>10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44438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44428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DD93E87-CF0F-426A-9942-A0905531BB6B}"/>
</file>

<file path=customXml/itemProps2.xml><?xml version="1.0" encoding="utf-8"?>
<ds:datastoreItem xmlns:ds="http://schemas.openxmlformats.org/officeDocument/2006/customXml" ds:itemID="{9F81BAF0-5A0F-405D-ADA7-2D989A732150}"/>
</file>

<file path=customXml/itemProps3.xml><?xml version="1.0" encoding="utf-8"?>
<ds:datastoreItem xmlns:ds="http://schemas.openxmlformats.org/officeDocument/2006/customXml" ds:itemID="{A413853D-D7A9-494E-8AA3-548AA7CA4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2021-07-30T03:41:56Z</cp:lastPrinted>
  <dcterms:created xsi:type="dcterms:W3CDTF">2019-11-27T23:28:06Z</dcterms:created>
  <dcterms:modified xsi:type="dcterms:W3CDTF">2021-07-30T04:02:55Z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