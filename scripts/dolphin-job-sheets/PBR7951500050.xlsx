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FB6C6AA0-D04A-4977-9991-7E934F1D68F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C22" i="1" l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<sst xmlns="http://schemas.openxmlformats.org/spreadsheetml/2006/main" count="306" uniqueCount="203">
  <si>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</si>
  <si>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</si>
  <si>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</si>
  <si>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</si>
  <si>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</si>
  <si>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</si>
  <si>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</si>
  <si>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</si>
  <si>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</si>
  <si>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</si>
  <si>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</si>
  <si>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</si>
  <si>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</si>
  <si>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</si>
  <si>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</si>
  <si>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</si>
  <si>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</si>
  <si>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</si>
  <si>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</si>
  <si>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</si>
  <si>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</si>
  <si>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</si>
  <si>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</si>
  <si>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</si>
  <si>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</si>
  <si>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</si>
  <si>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</si>
  <si>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</si>
  <si>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</si>
  <si>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</si>
  <si>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</si>
  <si>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</si>
  <si>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</si>
  <si>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</si>
  <si>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</si>
  <si>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</si>
  <si>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</si>
  <si>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</si>
  <si>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</si>
  <si>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</si>
  <si>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</si>
  <si>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</si>
  <si>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</si>
  <si>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</si>
  <si>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</si>
  <si>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</si>
  <si>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</si>
  <si>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</si>
  <si>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</si>
  <si>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</si>
  <si>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</si>
  <si>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</si>
  <si>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</si>
  <si>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</si>
  <si>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</si>
  <si>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</si>
  <si>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</si>
  <si>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</si>
  <si>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</si>
  <si>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</si>
  <si>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</si>
  <si>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</si>
  <si>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</si>
  <si>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</si>
  <si>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</si>
  <si>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</si>
  <si>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</si>
  <si>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</si>
  <si>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</si>
  <si>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</si>
  <si>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</si>
  <si>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</si>
  <si>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</si>
  <si>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</si>
  <si>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</si>
  <si>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</si>
  <si>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</si>
  <si>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</si>
  <si>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</si>
  <si>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</si>
  <si>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</si>
  <si>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</si>
  <si>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</si>
  <si>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</si>
  <si>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</si>
  <si>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</si>
  <si>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</si>
  <si>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</si>
  <si>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</si>
  <si>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</si>
  <si>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</si>
  <si>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</si>
  <si>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</si>
  <si>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</si>
  <si>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</si>
  <si>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</si>
  <si>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</si>
  <si>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</si>
  <si>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</si>
  <si>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</si>
  <si>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</si>
  <si>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</si>
  <si>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</si>
  <si>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</si>
  <si>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</si>
  <si>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</si>
  <si>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</si>
  <si>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</si>
  <si>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</si>
  <si>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</si>
  <si>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</si>
  <si>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</si>
  <si>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</si>
  <si>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</si>
  <si>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</si>
  <si>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</si>
  <si>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</si>
  <si>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</si>
  <si>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</si>
  <si>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</si>
  <si>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</si>
  <si>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</si>
  <si>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</si>
  <si>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</si>
  <si>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</si>
  <si>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</si>
  <si>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</si>
  <si>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</si>
  <si>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</si>
  <si>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</si>
  <si>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</si>
  <si>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</si>
  <si>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</si>
  <si>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</si>
  <si>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</si>
  <si>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</si>
  <si>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</si>
  <si>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</si>
  <si>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</si>
  <si>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</si>
  <si>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</si>
  <si>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</si>
  <si>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</si>
  <si>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</si>
  <si>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</si>
  <si>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</si>
  <si>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</si>
  <si>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</si>
  <si>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</si>
  <si>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</si>
  <si>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</si>
  <si>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</si>
  <si>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</si>
  <si>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</si>
  <si>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</si>
  <si>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</si>
  <si>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</si>
  <si>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</si>
  <si>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</si>
  <si>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</si>
  <si>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</si>
  <si>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</si>
  <si>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</si>
  <si>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</si>
  <si>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</si>
  <si>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</si>
  <si>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</si>
  <si>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</si>
  <si>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</si>
  <si>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</si>
  <si>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</si>
  <si>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</si>
  <si>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</si>
  <si>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</si>
  <si>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</si>
  <si>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</si>
  <si>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</si>
  <si>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</si>
  <si>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</si>
  <si>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</si>
  <si>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</si>
  <si>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</si>
  <si>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</si>
  <si>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</si>
  <si>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</si>
  <si>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</si>
  <si>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</si>
  <si>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</si>
  <si>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</si>
  <si>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</si>
  <si>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</si>
  <si>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</si>
  <si>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</si>
  <si>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</si>
  <si>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ANTISTATIC</t>
  </si>
  <si>
    <t xml:space="preserve"> +/- 5mm</t>
  </si>
  <si>
    <t>PERF</t>
  </si>
  <si>
    <t>BEANS GALORE</t>
  </si>
  <si>
    <t>945368 - 2</t>
  </si>
  <si>
    <t>495+295</t>
  </si>
  <si>
    <t>ANTIBLAOCK</t>
  </si>
  <si>
    <t>NOT UNDER</t>
  </si>
  <si>
    <t>THIS IS RE-RUN TO REPLACE FAULTY STOCK - FILM MUST NOT BE SPLITTY -              MUST NOT BE UNDER 50UM  - ONLY RUN ON 55 EXTRUDER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</si>
</sst>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0" fillId="5" borderId="6" xfId="0" applyFont="1" applyFill="1" applyBorder="1" applyAlignment="1">
      <alignment horizontal="left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10" fontId="15" fillId="5" borderId="4" xfId="0" applyNumberFormat="1" applyFont="1" applyFill="1" applyBorder="1" applyAlignment="1" applyProtection="1">
      <alignment horizontal="center"/>
      <protection locked="0"/>
    </xf>
    <xf numFmtId="10" fontId="15" fillId="5" borderId="5" xfId="0" applyNumberFormat="1" applyFont="1" applyFill="1" applyBorder="1" applyAlignment="1" applyProtection="1">
      <alignment horizontal="center"/>
      <protection locked="0"/>
    </xf>
    <xf numFmtId="0" fontId="0" fillId="5" borderId="6" xfId="0" applyFont="1" applyFill="1" applyBorder="1" applyAlignment="1" applyProtection="1">
      <alignment horizontal="left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7" t="str">
        <f>O9&amp;R9&amp;IF(X8="G","G","")&amp;IF(O8="Centrefold Roll","("&amp;E8&amp;")","")&amp;T9&amp;V9&amp;C22&amp;C23&amp;C24&amp;O11&amp;R11</f>
        <v>PBR790G1500500AS</v>
      </c>
      <c r="C1" s="97"/>
      <c r="D1" s="98"/>
      <c r="E1" s="16" t="s">
        <v>56</v>
      </c>
      <c r="F1" s="61" t="s">
        <v>197</v>
      </c>
      <c r="G1" s="61"/>
      <c r="H1" s="62"/>
      <c r="I1" s="16" t="s">
        <v>180</v>
      </c>
      <c r="J1" s="99">
        <f ca="1">TODAY()</f>
        <v>45085</v>
      </c>
      <c r="K1" s="99"/>
      <c r="L1" s="100"/>
      <c r="M1" s="30"/>
      <c r="N1" s="16" t="s">
        <v>55</v>
      </c>
      <c r="O1" s="97" t="str">
        <f>B1</f>
        <v>PBR790G1500500AS</v>
      </c>
      <c r="P1" s="97"/>
      <c r="Q1" s="98"/>
      <c r="R1" s="16" t="s">
        <v>56</v>
      </c>
      <c r="S1" s="97" t="str">
        <f>F1</f>
        <v>BEANS GALORE</v>
      </c>
      <c r="T1" s="97"/>
      <c r="U1" s="98"/>
      <c r="V1" s="16" t="s">
        <v>180</v>
      </c>
      <c r="W1" s="99">
        <f ca="1">J1</f>
        <v>45085</v>
      </c>
      <c r="X1" s="99"/>
      <c r="Y1" s="100"/>
    </row>
    <row r="2" spans="1:25" ht="20.149999999999999" customHeight="1" x14ac:dyDescent="0.8">
      <c r="A2" s="16" t="s">
        <v>99</v>
      </c>
      <c r="B2" s="97" t="str">
        <f>IF(U10="","",U10)</f>
        <v/>
      </c>
      <c r="C2" s="97"/>
      <c r="D2" s="98"/>
      <c r="E2" s="16" t="s">
        <v>57</v>
      </c>
      <c r="F2" s="61" t="s">
        <v>198</v>
      </c>
      <c r="G2" s="61"/>
      <c r="H2" s="62"/>
      <c r="I2" s="16" t="s">
        <v>58</v>
      </c>
      <c r="J2" s="109" t="s">
        <v>192</v>
      </c>
      <c r="K2" s="61"/>
      <c r="L2" s="62"/>
      <c r="M2" s="30"/>
      <c r="N2" s="16" t="s">
        <v>99</v>
      </c>
      <c r="O2" s="97" t="str">
        <f>IF(B2="","",B2)</f>
        <v/>
      </c>
      <c r="P2" s="97"/>
      <c r="Q2" s="98"/>
      <c r="R2" s="16" t="s">
        <v>57</v>
      </c>
      <c r="S2" s="97" t="str">
        <f>IF(F2="","",F2)</f>
        <v>945368 - 2</v>
      </c>
      <c r="T2" s="97"/>
      <c r="U2" s="98"/>
      <c r="V2" s="16" t="s">
        <v>58</v>
      </c>
      <c r="W2" s="101" t="str">
        <f>J2</f>
        <v>ASAP</v>
      </c>
      <c r="X2" s="97"/>
      <c r="Y2" s="98"/>
    </row>
    <row r="3" spans="1:25" ht="20.149999999999999" customHeight="1" x14ac:dyDescent="0.75">
      <c r="A3" s="144" t="s">
        <v>202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6"/>
      <c r="M3" s="30"/>
      <c r="N3" s="144" t="str">
        <f>A3</f>
        <v>THIS IS RE-RUN TO REPLACE FAULTY STOCK - FILM MUST NOT BE SPLITTY -              MUST NOT BE UNDER 50UM  - ONLY RUN ON 55 EXTRUDER</v>
      </c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6"/>
    </row>
    <row r="4" spans="1:25" ht="20.149999999999999" customHeight="1" x14ac:dyDescent="0.75">
      <c r="A4" s="147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9"/>
      <c r="M4" s="30"/>
      <c r="N4" s="147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9"/>
    </row>
    <row r="5" spans="1:25" ht="20.149999999999999" customHeight="1" x14ac:dyDescent="0.75">
      <c r="A5" s="150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2"/>
      <c r="M5" s="30"/>
      <c r="N5" s="150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2"/>
    </row>
    <row r="6" spans="1:25" ht="20.149999999999999" customHeight="1" x14ac:dyDescent="0.75">
      <c r="A6" s="120" t="s">
        <v>1</v>
      </c>
      <c r="B6" s="121"/>
      <c r="C6" s="121"/>
      <c r="D6" s="121"/>
      <c r="E6" s="121"/>
      <c r="F6" s="121"/>
      <c r="G6" s="121"/>
      <c r="H6" s="121"/>
      <c r="I6" s="121"/>
      <c r="J6" s="80"/>
      <c r="K6" s="80"/>
      <c r="L6" s="81"/>
      <c r="M6" s="30"/>
      <c r="N6" s="104" t="s">
        <v>1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1">
        <v>8</v>
      </c>
      <c r="P7" s="62"/>
      <c r="Q7" s="16" t="str">
        <f>IF(ISNUMBER(SEARCH("roll",O8,1)),"Per Roll","Per Carton")</f>
        <v>Per Roll</v>
      </c>
      <c r="R7" s="61">
        <v>100</v>
      </c>
      <c r="S7" s="62"/>
      <c r="T7" s="16" t="str">
        <f>IF(ISNUMBER(SEARCH("bag",O8,1)),"Total Bags","Total Sheets")</f>
        <v>Total Bags</v>
      </c>
      <c r="U7" s="97">
        <f>R7*O7</f>
        <v>800</v>
      </c>
      <c r="V7" s="98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07">
        <f>R9</f>
        <v>790</v>
      </c>
      <c r="C8" s="108"/>
      <c r="D8" s="20" t="str">
        <f>IF(ISNUMBER(SEARCH("bag",#REF!,1)),"Gusset","Centrefold")</f>
        <v>Centrefold</v>
      </c>
      <c r="E8" s="107" t="str">
        <f>IF(O8="Centrefold Roll",B8*2,IF(X9="","None",X9))</f>
        <v>495+295</v>
      </c>
      <c r="F8" s="108"/>
      <c r="G8" s="17" t="s">
        <v>51</v>
      </c>
      <c r="H8" s="107">
        <f>(IF(V9&lt;30,"30",V9))</f>
        <v>50</v>
      </c>
      <c r="I8" s="108"/>
      <c r="J8" s="16" t="s">
        <v>53</v>
      </c>
      <c r="K8" s="97" t="str">
        <f>IF(X8="None","Layflat Tube",IF(X8="","Layflat Tube",IF(X8="CF","Layflat Tube",IF(X8="G","Gusset Tube",IF(X9="","Layflat Tube",)))))</f>
        <v>Gusset Tube</v>
      </c>
      <c r="L8" s="98"/>
      <c r="M8" s="30"/>
      <c r="N8" s="18" t="s">
        <v>53</v>
      </c>
      <c r="O8" s="116" t="s">
        <v>164</v>
      </c>
      <c r="P8" s="117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03"/>
    </row>
    <row r="9" spans="1:25" ht="20.149999999999999" customHeight="1" x14ac:dyDescent="0.9">
      <c r="A9" s="21" t="s">
        <v>47</v>
      </c>
      <c r="B9" s="122" t="s">
        <v>195</v>
      </c>
      <c r="C9" s="123"/>
      <c r="D9" s="96" t="str">
        <f>IF(K10="Middle","RUN 2 UP",IF(AND(O8="Centrefold Roll",B8=380),"RUN 2 UP",""))</f>
        <v/>
      </c>
      <c r="E9" s="68"/>
      <c r="F9" s="69"/>
      <c r="G9" s="21" t="s">
        <v>47</v>
      </c>
      <c r="H9" s="122" t="s">
        <v>201</v>
      </c>
      <c r="I9" s="123"/>
      <c r="J9" s="16" t="s">
        <v>54</v>
      </c>
      <c r="K9" s="61" t="s">
        <v>29</v>
      </c>
      <c r="L9" s="62"/>
      <c r="M9" s="30"/>
      <c r="N9" s="22"/>
      <c r="O9" s="130" t="str">
        <f>IF(O8="Poly Bag","PB",IF(O8="Poly Bag Roll","PBR",IF(O8="Centrefold Roll","CFR",IF(O8="Sheet","S",IF(O8="Sheet Roll","SR")))))</f>
        <v>PBR</v>
      </c>
      <c r="P9" s="131"/>
      <c r="Q9" s="22"/>
      <c r="R9" s="31">
        <v>790</v>
      </c>
      <c r="S9" s="23" t="s">
        <v>77</v>
      </c>
      <c r="T9" s="31">
        <v>1500</v>
      </c>
      <c r="U9" s="23" t="s">
        <v>77</v>
      </c>
      <c r="V9" s="31">
        <v>50</v>
      </c>
      <c r="W9" s="22"/>
      <c r="X9" s="114" t="s">
        <v>199</v>
      </c>
      <c r="Y9" s="115"/>
    </row>
    <row r="10" spans="1:25" ht="20.149999999999999" customHeight="1" x14ac:dyDescent="0.8">
      <c r="A10" s="16" t="s">
        <v>50</v>
      </c>
      <c r="B10" s="61">
        <v>8</v>
      </c>
      <c r="C10" s="62"/>
      <c r="D10" s="49" t="s">
        <v>133</v>
      </c>
      <c r="E10" s="124">
        <f>IF(ISNUMBER(SEARCH("sheet",O8,1)),((R9*T9*H8/540000)*U7/2000*1.3),((R9*T9*H8/540000)*U7/1000*1.08))</f>
        <v>94.800000000000011</v>
      </c>
      <c r="F10" s="125"/>
      <c r="G10" s="16" t="s">
        <v>52</v>
      </c>
      <c r="H10" s="128">
        <f>IF(ISNUMBER(SEARCH("sheet",O8,1)),(U7*T9/2000*1.08),(U7*T9/1000*1.08))</f>
        <v>1296</v>
      </c>
      <c r="I10" s="129"/>
      <c r="J10" s="16" t="s">
        <v>40</v>
      </c>
      <c r="K10" s="61" t="s">
        <v>43</v>
      </c>
      <c r="L10" s="62"/>
      <c r="M10" s="30"/>
      <c r="N10" s="18" t="s">
        <v>140</v>
      </c>
      <c r="O10" s="116" t="s">
        <v>43</v>
      </c>
      <c r="P10" s="117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110"/>
      <c r="V10" s="110"/>
      <c r="W10" s="110"/>
      <c r="X10" s="110"/>
      <c r="Y10" s="111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7" t="str">
        <f>IF(AND(O8="Centrefold Roll",D9="RUN 2 UP"),B10*2,IF(ISNUMBER(SEARCH("sheet",O8,1)),B10*2,""))</f>
        <v/>
      </c>
      <c r="C11" s="98"/>
      <c r="D11" s="16" t="s">
        <v>134</v>
      </c>
      <c r="E11" s="126">
        <f>E10/B10</f>
        <v>11.850000000000001</v>
      </c>
      <c r="F11" s="127"/>
      <c r="G11" s="16" t="s">
        <v>14</v>
      </c>
      <c r="H11" s="126">
        <f>H10/B10</f>
        <v>162</v>
      </c>
      <c r="I11" s="127"/>
      <c r="J11" s="16" t="s">
        <v>49</v>
      </c>
      <c r="K11" s="61" t="s">
        <v>43</v>
      </c>
      <c r="L11" s="62"/>
      <c r="M11" s="30"/>
      <c r="N11" s="17"/>
      <c r="O11" s="107" t="str">
        <f>IF(O10="NONE","","V")</f>
        <v/>
      </c>
      <c r="P11" s="108"/>
      <c r="Q11" s="17"/>
      <c r="R11" s="107" t="str">
        <f>IF(R10="None","","P")</f>
        <v/>
      </c>
      <c r="S11" s="107"/>
      <c r="T11" s="17"/>
      <c r="U11" s="112"/>
      <c r="V11" s="112"/>
      <c r="W11" s="112"/>
      <c r="X11" s="112"/>
      <c r="Y11" s="113"/>
    </row>
    <row r="12" spans="1:25" ht="20.149999999999999" customHeight="1" x14ac:dyDescent="0.75">
      <c r="A12" s="118" t="s">
        <v>12</v>
      </c>
      <c r="B12" s="119"/>
      <c r="C12" s="119"/>
      <c r="D12" s="119"/>
      <c r="E12" s="66"/>
      <c r="F12" s="66"/>
      <c r="G12" s="66"/>
      <c r="H12" s="66"/>
      <c r="I12" s="66"/>
      <c r="J12" s="66"/>
      <c r="K12" s="66"/>
      <c r="L12" s="67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8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36"/>
      <c r="J17" s="137"/>
      <c r="K17" s="136"/>
      <c r="L17" s="137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36"/>
      <c r="J18" s="137"/>
      <c r="K18" s="136"/>
      <c r="L18" s="137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36"/>
      <c r="J19" s="137"/>
      <c r="K19" s="136"/>
      <c r="L19" s="137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36"/>
      <c r="J20" s="137"/>
      <c r="K20" s="136"/>
      <c r="L20" s="137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36"/>
      <c r="J21" s="137"/>
      <c r="K21" s="136"/>
      <c r="L21" s="137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138" t="s">
        <v>200</v>
      </c>
      <c r="B22" s="138"/>
      <c r="C22" s="139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140"/>
      <c r="E22" s="141">
        <v>0.02</v>
      </c>
      <c r="F22" s="142"/>
      <c r="G22" s="34" t="s">
        <v>85</v>
      </c>
      <c r="H22" s="35"/>
      <c r="I22" s="136"/>
      <c r="J22" s="137"/>
      <c r="K22" s="136"/>
      <c r="L22" s="137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3" t="s">
        <v>194</v>
      </c>
      <c r="B23" s="143"/>
      <c r="C23" s="13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40"/>
      <c r="E23" s="141">
        <v>0.02</v>
      </c>
      <c r="F23" s="142"/>
      <c r="G23" s="34" t="s">
        <v>86</v>
      </c>
      <c r="H23" s="35"/>
      <c r="I23" s="136"/>
      <c r="J23" s="137"/>
      <c r="K23" s="136"/>
      <c r="L23" s="137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32"/>
      <c r="B24" s="133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8"/>
      <c r="F24" s="89"/>
      <c r="G24" s="34" t="s">
        <v>87</v>
      </c>
      <c r="H24" s="35"/>
      <c r="I24" s="136"/>
      <c r="J24" s="137"/>
      <c r="K24" s="136"/>
      <c r="L24" s="137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196</v>
      </c>
      <c r="P25" s="36"/>
      <c r="Q25" s="10">
        <v>30</v>
      </c>
      <c r="R25" s="10">
        <v>9</v>
      </c>
      <c r="S25" s="10"/>
      <c r="T25" s="10">
        <v>6</v>
      </c>
      <c r="U25" s="10">
        <v>2</v>
      </c>
      <c r="V25" s="10">
        <v>3</v>
      </c>
      <c r="W25" s="10">
        <v>150</v>
      </c>
      <c r="X25" s="10">
        <v>150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35"/>
      <c r="H27" s="135"/>
      <c r="I27" s="135"/>
      <c r="J27" s="135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35"/>
      <c r="H28" s="135"/>
      <c r="I28" s="135"/>
      <c r="J28" s="13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18" t="s">
        <v>98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34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04" t="s">
        <v>135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6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45115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45106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87A64E-325D-46BA-AF99-1F91A340C7D1}"/>
</file>

<file path=customXml/itemProps2.xml><?xml version="1.0" encoding="utf-8"?>
<ds:datastoreItem xmlns:ds="http://schemas.openxmlformats.org/officeDocument/2006/customXml" ds:itemID="{26906389-ED33-4B5D-8DB0-B07CD4926FDD}"/>
</file>

<file path=customXml/itemProps3.xml><?xml version="1.0" encoding="utf-8"?>
<ds:datastoreItem xmlns:ds="http://schemas.openxmlformats.org/officeDocument/2006/customXml" ds:itemID="{7BE6546C-9AB8-4DF7-A056-56861451B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2023-06-06T02:28:35Z</cp:lastPrinted>
  <dcterms:created xsi:type="dcterms:W3CDTF">2019-11-27T23:28:06Z</dcterms:created>
  <dcterms:modified xsi:type="dcterms:W3CDTF">2023-06-08T03:52:51Z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