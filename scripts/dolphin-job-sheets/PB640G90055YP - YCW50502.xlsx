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92B1FAA-C90D-49D3-AE7B-5AB1B4E63AAB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<sst xmlns="http://schemas.openxmlformats.org/spreadsheetml/2006/main" count="305" uniqueCount="201">
  <si>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</si>
  <si>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</si>
  <si>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</si>
  <si>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</si>
  <si>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</si>
  <si>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</si>
  <si>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</si>
  <si>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</si>
  <si>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</si>
  <si>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</si>
  <si>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</si>
  <si>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</si>
  <si>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</si>
  <si>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</si>
  <si>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</si>
  <si>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</si>
  <si>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</si>
  <si>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</si>
  <si>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</si>
  <si>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</si>
  <si>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</si>
  <si>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</si>
  <si>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</si>
  <si>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</si>
  <si>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</si>
  <si>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</si>
  <si>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</si>
  <si>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</si>
  <si>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</si>
  <si>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</si>
  <si>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</si>
  <si>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</si>
  <si>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</si>
  <si>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</si>
  <si>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</si>
  <si>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</si>
  <si>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</si>
  <si>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</si>
  <si>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</si>
  <si>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</si>
  <si>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</si>
  <si>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</si>
  <si>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</si>
  <si>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</si>
  <si>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</si>
  <si>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</si>
  <si>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</si>
  <si>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</si>
  <si>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</si>
  <si>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</si>
  <si>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</si>
  <si>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</si>
  <si>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</si>
  <si>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</si>
  <si>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</si>
  <si>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</si>
  <si>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</si>
  <si>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</si>
  <si>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</si>
  <si>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</si>
  <si>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</si>
  <si>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</si>
  <si>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</si>
  <si>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</si>
  <si>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</si>
  <si>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</si>
  <si>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</si>
  <si>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</si>
  <si>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</si>
  <si>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</si>
  <si>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</si>
  <si>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</si>
  <si>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</si>
  <si>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</si>
  <si>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</si>
  <si>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</si>
  <si>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</si>
  <si>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</si>
  <si>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</si>
  <si>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</si>
  <si>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</si>
  <si>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</si>
  <si>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</si>
  <si>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</si>
  <si>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</si>
  <si>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</si>
  <si>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</si>
  <si>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</si>
  <si>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</si>
  <si>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</si>
  <si>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</si>
  <si>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</si>
  <si>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</si>
  <si>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</si>
  <si>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</si>
  <si>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</si>
  <si>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</si>
  <si>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</si>
  <si>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</si>
  <si>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</si>
  <si>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</si>
  <si>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</si>
  <si>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</si>
  <si>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</si>
  <si>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</si>
  <si>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</si>
  <si>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</si>
  <si>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</si>
  <si>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</si>
  <si>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</si>
  <si>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</si>
  <si>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</si>
  <si>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</si>
  <si>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</si>
  <si>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</si>
  <si>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</si>
  <si>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</si>
  <si>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</si>
  <si>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</si>
  <si>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</si>
  <si>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</si>
  <si>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</si>
  <si>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</si>
  <si>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</si>
  <si>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</si>
  <si>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</si>
  <si>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</si>
  <si>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</si>
  <si>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</si>
  <si>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</si>
  <si>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</si>
  <si>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</si>
  <si>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</si>
  <si>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</si>
  <si>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</si>
  <si>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</si>
  <si>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</si>
  <si>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</si>
  <si>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</si>
  <si>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</si>
  <si>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</si>
  <si>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</si>
  <si>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</si>
  <si>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</si>
  <si>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</si>
  <si>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</si>
  <si>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</si>
  <si>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</si>
  <si>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</si>
  <si>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</si>
  <si>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</si>
  <si>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</si>
  <si>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</si>
  <si>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</si>
  <si>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</si>
  <si>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</si>
  <si>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</si>
  <si>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</si>
  <si>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</si>
  <si>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</si>
  <si>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</si>
  <si>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</si>
  <si>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</si>
  <si>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</si>
  <si>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</si>
  <si>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</si>
  <si>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</si>
  <si>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</si>
  <si>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</si>
  <si>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</si>
  <si>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</si>
  <si>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</si>
  <si>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</si>
  <si>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</si>
  <si>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</si>
  <si>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</si>
  <si>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</si>
  <si>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</si>
  <si>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</si>
  <si>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</si>
  <si>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</si>
  <si>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</si>
  <si>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</si>
  <si>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</si>
  <si>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</si>
  <si>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</si>
  <si>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</si>
  <si>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</si>
  <si>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</si>
  <si>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</si>
  <si>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</si>
  <si>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</si>
  <si>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</si>
  <si>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</si>
  <si>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(320+320)</t>
  </si>
  <si>
    <t>YCW50502</t>
  </si>
  <si>
    <t>"CLINICAL WASTE"</t>
  </si>
  <si>
    <t>RUN AT 45 - 50UM</t>
  </si>
  <si>
    <t xml:space="preserve"> +/- 10mm</t>
  </si>
  <si>
    <t>J J RICHARDS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</si>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</sst>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8" ht="20.149999999999999" customHeight="1" x14ac:dyDescent="0.8">
      <c r="A1" s="12" t="s">
        <v>56</v>
      </c>
      <c r="B1" s="122" t="str">
        <f>O9&amp;R9&amp;IF(X8="G","G","")&amp;IF(O8="Centrefold Roll","("&amp;E8&amp;")","")&amp;T9&amp;V9&amp;C22&amp;C23&amp;C24&amp;O11&amp;R11</f>
        <v>PB640G90045YP</v>
      </c>
      <c r="C1" s="122"/>
      <c r="D1" s="123"/>
      <c r="E1" s="12" t="s">
        <v>57</v>
      </c>
      <c r="F1" s="133" t="s">
        <v>199</v>
      </c>
      <c r="G1" s="133"/>
      <c r="H1" s="134"/>
      <c r="I1" s="13" t="s">
        <v>181</v>
      </c>
      <c r="J1" s="95">
        <f ca="1">TODAY()</f>
        <v>44720</v>
      </c>
      <c r="K1" s="95"/>
      <c r="L1" s="96"/>
      <c r="M1" s="34"/>
      <c r="N1" s="12" t="s">
        <v>56</v>
      </c>
      <c r="O1" s="122" t="str">
        <f>B1</f>
        <v>PB640G90045YP</v>
      </c>
      <c r="P1" s="122"/>
      <c r="Q1" s="123"/>
      <c r="R1" s="12" t="s">
        <v>57</v>
      </c>
      <c r="S1" s="122" t="str">
        <f>F1</f>
        <v>J J RICHARDS</v>
      </c>
      <c r="T1" s="122"/>
      <c r="U1" s="123"/>
      <c r="V1" s="12" t="s">
        <v>181</v>
      </c>
      <c r="W1" s="95">
        <f ca="1">J1</f>
        <v>44720</v>
      </c>
      <c r="X1" s="95"/>
      <c r="Y1" s="96"/>
    </row>
    <row r="2" spans="1:28" ht="20.149999999999999" customHeight="1" x14ac:dyDescent="0.8">
      <c r="A2" s="12" t="s">
        <v>100</v>
      </c>
      <c r="B2" s="122" t="str">
        <f>IF(U10="","",U10)</f>
        <v>YCW50502</v>
      </c>
      <c r="C2" s="122"/>
      <c r="D2" s="123"/>
      <c r="E2" s="12" t="s">
        <v>58</v>
      </c>
      <c r="F2" s="98">
        <v>943501</v>
      </c>
      <c r="G2" s="98"/>
      <c r="H2" s="99"/>
      <c r="I2" s="12" t="s">
        <v>59</v>
      </c>
      <c r="J2" s="97">
        <v>44748</v>
      </c>
      <c r="K2" s="98"/>
      <c r="L2" s="99"/>
      <c r="M2" s="34"/>
      <c r="N2" s="12" t="s">
        <v>100</v>
      </c>
      <c r="O2" s="122" t="str">
        <f>IF(B2="","",B2)</f>
        <v>YCW50502</v>
      </c>
      <c r="P2" s="122"/>
      <c r="Q2" s="123"/>
      <c r="R2" s="12" t="s">
        <v>58</v>
      </c>
      <c r="S2" s="122">
        <f>IF(F2="","",F2)</f>
        <v>943501</v>
      </c>
      <c r="T2" s="122"/>
      <c r="U2" s="123"/>
      <c r="V2" s="12" t="s">
        <v>59</v>
      </c>
      <c r="W2" s="135">
        <f>J2</f>
        <v>44748</v>
      </c>
      <c r="X2" s="122"/>
      <c r="Y2" s="123"/>
    </row>
    <row r="3" spans="1:28" ht="20.149999999999999" customHeight="1" x14ac:dyDescent="0.75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>
        <f>A3</f>
        <v>0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49999999999999" customHeight="1" x14ac:dyDescent="0.7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49999999999999" customHeight="1" x14ac:dyDescent="0.7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49999999999999" customHeight="1" x14ac:dyDescent="0.7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49999999999999" customHeight="1" x14ac:dyDescent="0.9">
      <c r="A7" s="12" t="s">
        <v>49</v>
      </c>
      <c r="B7" s="119" t="s">
        <v>148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100</v>
      </c>
      <c r="P7" s="99"/>
      <c r="Q7" s="12" t="str">
        <f>IF(ISNUMBER(SEARCH("roll",O8,1)),"Per Roll","Per Carton")</f>
        <v>Per Carton</v>
      </c>
      <c r="R7" s="98">
        <v>250</v>
      </c>
      <c r="S7" s="99"/>
      <c r="T7" s="12" t="str">
        <f>IF(ISNUMBER(SEARCH("bag",O8,1)),"Total Bags","Total Sheets")</f>
        <v>Total Bags</v>
      </c>
      <c r="U7" s="122">
        <f>R7*O7</f>
        <v>25000</v>
      </c>
      <c r="V7" s="123"/>
      <c r="W7" s="12" t="s">
        <v>102</v>
      </c>
      <c r="X7" s="98" t="s">
        <v>31</v>
      </c>
      <c r="Y7" s="99"/>
      <c r="AB7" s="14"/>
    </row>
    <row r="8" spans="1:28" ht="20.149999999999999" customHeight="1" x14ac:dyDescent="0.8">
      <c r="A8" s="15" t="s">
        <v>16</v>
      </c>
      <c r="B8" s="100">
        <f>R9</f>
        <v>640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(320+320)</v>
      </c>
      <c r="F8" s="101"/>
      <c r="G8" s="15" t="s">
        <v>52</v>
      </c>
      <c r="H8" s="100">
        <f>(IF(V9&lt;30,"30",V9))</f>
        <v>45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Gusset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G</v>
      </c>
      <c r="Y8" s="137"/>
    </row>
    <row r="9" spans="1:28" ht="20.149999999999999" customHeight="1" x14ac:dyDescent="0.9">
      <c r="A9" s="18" t="s">
        <v>48</v>
      </c>
      <c r="B9" s="110" t="s">
        <v>198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197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640</v>
      </c>
      <c r="S9" s="20" t="s">
        <v>78</v>
      </c>
      <c r="T9" s="35">
        <v>900</v>
      </c>
      <c r="U9" s="20" t="s">
        <v>78</v>
      </c>
      <c r="V9" s="35">
        <v>45</v>
      </c>
      <c r="W9" s="19"/>
      <c r="X9" s="151" t="s">
        <v>194</v>
      </c>
      <c r="Y9" s="152"/>
    </row>
    <row r="10" spans="1:28" ht="20.149999999999999" customHeight="1" x14ac:dyDescent="0.8">
      <c r="A10" s="12" t="s">
        <v>51</v>
      </c>
      <c r="B10" s="98">
        <v>40</v>
      </c>
      <c r="C10" s="99"/>
      <c r="D10" s="54" t="s">
        <v>134</v>
      </c>
      <c r="E10" s="112">
        <f>IF(ISNUMBER(SEARCH("sheet",O8,1)),((R9*T9*H8/540000)*U7/2000*1.3),((R9*T9*H8/540000)*U7/1000*1.08))</f>
        <v>1296</v>
      </c>
      <c r="F10" s="113"/>
      <c r="G10" s="12" t="s">
        <v>53</v>
      </c>
      <c r="H10" s="116">
        <f>IF(ISNUMBER(SEARCH("sheet",O8,1)),(U7*T9/2000*1.08),(U7*T9/1000*1.08))</f>
        <v>24300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Yes</v>
      </c>
      <c r="S10" s="136"/>
      <c r="T10" s="16" t="s">
        <v>100</v>
      </c>
      <c r="U10" s="143" t="s">
        <v>195</v>
      </c>
      <c r="V10" s="143"/>
      <c r="W10" s="143"/>
      <c r="X10" s="143"/>
      <c r="Y10" s="144"/>
    </row>
    <row r="11" spans="1:28" ht="20.149999999999999" customHeight="1" x14ac:dyDescent="0.8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32.4</v>
      </c>
      <c r="F11" s="115"/>
      <c r="G11" s="12" t="s">
        <v>15</v>
      </c>
      <c r="H11" s="114">
        <f>H10/B10</f>
        <v>607.5</v>
      </c>
      <c r="I11" s="115"/>
      <c r="J11" s="12" t="s">
        <v>50</v>
      </c>
      <c r="K11" s="98" t="s">
        <v>65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>P</v>
      </c>
      <c r="S11" s="101"/>
      <c r="T11" s="15"/>
      <c r="U11" s="145"/>
      <c r="V11" s="145"/>
      <c r="W11" s="145"/>
      <c r="X11" s="145"/>
      <c r="Y11" s="146"/>
    </row>
    <row r="12" spans="1:28" ht="20.149999999999999" customHeight="1" x14ac:dyDescent="0.7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49999999999999" customHeight="1" x14ac:dyDescent="0.8">
      <c r="A13" s="12" t="s">
        <v>68</v>
      </c>
      <c r="B13" s="98" t="s">
        <v>70</v>
      </c>
      <c r="C13" s="98"/>
      <c r="D13" s="99"/>
      <c r="E13" s="22" t="s">
        <v>61</v>
      </c>
      <c r="F13" s="98" t="s">
        <v>66</v>
      </c>
      <c r="G13" s="98"/>
      <c r="H13" s="99"/>
      <c r="I13" s="23" t="s">
        <v>62</v>
      </c>
      <c r="J13" s="98" t="s">
        <v>177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100</v>
      </c>
      <c r="R13" s="12" t="s">
        <v>74</v>
      </c>
      <c r="S13" s="36" t="s">
        <v>138</v>
      </c>
      <c r="T13" s="12" t="s">
        <v>178</v>
      </c>
      <c r="U13" s="24">
        <f>IF(S13="No","",(ROUNDUP(U7/W13/24,0)))</f>
        <v>21</v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49999999999999" customHeight="1" x14ac:dyDescent="0.9">
      <c r="A14" s="15" t="s">
        <v>60</v>
      </c>
      <c r="B14" s="119" t="s">
        <v>196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49999999999999" customHeight="1" x14ac:dyDescent="0.7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49999999999999" customHeight="1" x14ac:dyDescent="0.8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150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49999999999999" customHeight="1" x14ac:dyDescent="0.8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23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49999999999999" customHeight="1" x14ac:dyDescent="0.8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49999999999999" customHeight="1" x14ac:dyDescent="0.7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49999999999999" customHeight="1" x14ac:dyDescent="0.7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49999999999999" customHeight="1" x14ac:dyDescent="0.7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49999999999999" customHeight="1" x14ac:dyDescent="0.75">
      <c r="A22" s="85" t="str">
        <f>(IF(B7="NATURAL","",B7))</f>
        <v>YELLOW</v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</v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49999999999999" customHeight="1" x14ac:dyDescent="0.7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49999999999999" customHeight="1" x14ac:dyDescent="0.7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49999999999999" customHeight="1" x14ac:dyDescent="0.7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200</v>
      </c>
      <c r="P25" s="39"/>
      <c r="Q25" s="10">
        <v>22</v>
      </c>
      <c r="R25" s="10"/>
      <c r="S25" s="10"/>
      <c r="T25" s="10"/>
      <c r="U25" s="10"/>
      <c r="V25" s="10"/>
      <c r="W25" s="10">
        <v>17</v>
      </c>
      <c r="X25" s="10">
        <v>13</v>
      </c>
      <c r="Y25" s="10"/>
    </row>
    <row r="26" spans="1:25" ht="20.149999999999999" customHeight="1" x14ac:dyDescent="0.7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49999999999999" customHeight="1" x14ac:dyDescent="0.7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49999999999999" customHeight="1" x14ac:dyDescent="0.7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49999999999999" customHeight="1" x14ac:dyDescent="0.7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49999999999999" customHeight="1" x14ac:dyDescent="0.7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49999999999999" customHeight="1" x14ac:dyDescent="0.7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49999999999999" customHeight="1" x14ac:dyDescent="0.7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49999999999999" customHeight="1" x14ac:dyDescent="0.7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49999999999999" customHeight="1" x14ac:dyDescent="0.7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49999999999999" customHeight="1" x14ac:dyDescent="0.7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49999999999999" customHeight="1" x14ac:dyDescent="0.7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49999999999999" customHeight="1" x14ac:dyDescent="0.7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49999999999999" customHeight="1" x14ac:dyDescent="0.7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49999999999999" customHeight="1" x14ac:dyDescent="0.7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49999999999999" customHeight="1" x14ac:dyDescent="0.7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49999999999999" customHeight="1" x14ac:dyDescent="0.7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49999999999999" customHeight="1" x14ac:dyDescent="0.7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49999999999999" customHeight="1" x14ac:dyDescent="0.75">
      <c r="N43" s="59"/>
    </row>
    <row r="44" spans="1:25" ht="20.149999999999999" customHeight="1" x14ac:dyDescent="0.7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49999999999999" customHeight="1" x14ac:dyDescent="0.7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49999999999999" customHeight="1" x14ac:dyDescent="0.7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49999999999999" customHeight="1" x14ac:dyDescent="0.7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49999999999999" customHeight="1" x14ac:dyDescent="0.7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49999999999999" customHeight="1" x14ac:dyDescent="0.7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49999999999999" customHeight="1" x14ac:dyDescent="0.7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49999999999999" customHeight="1" x14ac:dyDescent="0.7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49999999999999" customHeight="1" x14ac:dyDescent="0.7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49999999999999" customHeight="1" x14ac:dyDescent="0.7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49999999999999" customHeight="1" x14ac:dyDescent="0.7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49999999999999" customHeight="1" x14ac:dyDescent="0.7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49999999999999" customHeight="1" x14ac:dyDescent="0.7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49999999999999" customHeight="1" x14ac:dyDescent="0.7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49999999999999" customHeight="1" x14ac:dyDescent="0.7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49999999999999" customHeight="1" x14ac:dyDescent="0.7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49999999999999" customHeight="1" x14ac:dyDescent="0.7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49999999999999" customHeight="1" x14ac:dyDescent="0.7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49999999999999" customHeight="1" x14ac:dyDescent="0.7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49999999999999" customHeight="1" x14ac:dyDescent="0.7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49999999999999" customHeight="1" x14ac:dyDescent="0.7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49999999999999" customHeight="1" x14ac:dyDescent="0.7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49999999999999" customHeight="1" x14ac:dyDescent="0.7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49999999999999" customHeight="1" x14ac:dyDescent="0.7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49999999999999" customHeight="1" x14ac:dyDescent="0.7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49999999999999" customHeight="1" x14ac:dyDescent="0.7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49999999999999" customHeight="1" x14ac:dyDescent="0.7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49999999999999" customHeight="1" x14ac:dyDescent="0.7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49999999999999" customHeight="1" x14ac:dyDescent="0.7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49999999999999" customHeight="1" x14ac:dyDescent="0.7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49999999999999" customHeight="1" x14ac:dyDescent="0.7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49999999999999" customHeight="1" x14ac:dyDescent="0.7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49999999999999" customHeight="1" x14ac:dyDescent="0.7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49999999999999" customHeight="1" x14ac:dyDescent="0.7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49999999999999" customHeight="1" x14ac:dyDescent="0.7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49999999999999" customHeight="1" x14ac:dyDescent="0.7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49999999999999" customHeight="1" x14ac:dyDescent="0.7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49999999999999" customHeight="1" x14ac:dyDescent="0.7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49999999999999" customHeight="1" x14ac:dyDescent="0.7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49999999999999" customHeight="1" x14ac:dyDescent="0.7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49999999999999" customHeight="1" x14ac:dyDescent="0.7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49999999999999" customHeight="1" x14ac:dyDescent="0.7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7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8">
        <f ca="1">DATE(YEAR(Sheet1!J1),MONTH(Sheet1!J1)+1,DAY(Sheet1!J1))</f>
        <v>44750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8">
        <f ca="1">DATE(YEAR(Sheet1!J1),MONTH(Sheet1!J1),DAY(Sheet1!J1)+21)</f>
        <v>44741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7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7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7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7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7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7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7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7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7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7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7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7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7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7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7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7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7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7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7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7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7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7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7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7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7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7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7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7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7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7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7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7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7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7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7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7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75">
      <c r="A59" s="64" t="s">
        <v>148</v>
      </c>
    </row>
    <row r="60" spans="1:20" x14ac:dyDescent="0.75">
      <c r="A60" s="64" t="s">
        <v>149</v>
      </c>
      <c r="O60" s="1"/>
      <c r="Q60" s="1"/>
      <c r="R60" s="3"/>
      <c r="S60" s="1"/>
    </row>
    <row r="61" spans="1:20" x14ac:dyDescent="0.75">
      <c r="A61" s="64" t="s">
        <v>150</v>
      </c>
      <c r="O61" s="1"/>
      <c r="Q61" s="1"/>
      <c r="R61" s="1"/>
      <c r="S61" s="1"/>
    </row>
    <row r="62" spans="1:20" x14ac:dyDescent="0.75">
      <c r="A62" s="64" t="s">
        <v>151</v>
      </c>
      <c r="O62" s="1"/>
      <c r="Q62" s="1"/>
      <c r="R62" s="1"/>
      <c r="S62" s="1"/>
    </row>
    <row r="63" spans="1:20" x14ac:dyDescent="0.75">
      <c r="A63" s="64" t="s">
        <v>152</v>
      </c>
      <c r="O63" s="1"/>
      <c r="Q63" s="1"/>
      <c r="R63" s="1"/>
      <c r="S63" s="1"/>
      <c r="T63" s="1"/>
    </row>
    <row r="64" spans="1:20" x14ac:dyDescent="0.75">
      <c r="A64" s="64" t="s">
        <v>153</v>
      </c>
      <c r="O64" s="1"/>
      <c r="Q64" s="1"/>
      <c r="R64" s="1"/>
      <c r="S64" s="1"/>
      <c r="T64" s="1"/>
    </row>
    <row r="65" spans="1:20" x14ac:dyDescent="0.7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0BAEC65-0A29-46E4-8EA9-E87E4D2B8DDE}"/>
</file>

<file path=customXml/itemProps2.xml><?xml version="1.0" encoding="utf-8"?>
<ds:datastoreItem xmlns:ds="http://schemas.openxmlformats.org/officeDocument/2006/customXml" ds:itemID="{66AAD092-F910-4C49-B1E8-BAF964569BA2}"/>
</file>

<file path=customXml/itemProps3.xml><?xml version="1.0" encoding="utf-8"?>
<ds:datastoreItem xmlns:ds="http://schemas.openxmlformats.org/officeDocument/2006/customXml" ds:itemID="{47E89005-74CC-4047-B534-1BDEDF403C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2022-06-06T03:37:52Z</cp:lastPrinted>
  <dcterms:created xsi:type="dcterms:W3CDTF">2019-11-27T23:28:06Z</dcterms:created>
  <dcterms:modified xsi:type="dcterms:W3CDTF">2022-06-08T04:12:35Z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