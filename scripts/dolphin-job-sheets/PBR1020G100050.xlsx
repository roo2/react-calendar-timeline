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D998E84-1432-4053-8780-5FDB8DF3B3C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<sst xmlns="http://schemas.openxmlformats.org/spreadsheetml/2006/main" count="303" uniqueCount="201">
  <si>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</si>
  <si>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</si>
  <si>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</si>
  <si>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</si>
  <si>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</si>
  <si>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</si>
  <si>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</si>
  <si>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</si>
  <si>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</si>
  <si>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</si>
  <si>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</si>
  <si>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</si>
  <si>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</si>
  <si>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</si>
  <si>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</si>
  <si>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</si>
  <si>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</si>
  <si>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</si>
  <si>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</si>
  <si>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</si>
  <si>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</si>
  <si>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</si>
  <si>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</si>
  <si>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</si>
  <si>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</si>
  <si>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</si>
  <si>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</si>
  <si>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</si>
  <si>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</si>
  <si>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</si>
  <si>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</si>
  <si>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</si>
  <si>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</si>
  <si>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</si>
  <si>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</si>
  <si>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</si>
  <si>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</si>
  <si>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</si>
  <si>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</si>
  <si>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</si>
  <si>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</si>
  <si>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</si>
  <si>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</si>
  <si>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</si>
  <si>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</si>
  <si>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</si>
  <si>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</si>
  <si>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</si>
  <si>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</si>
  <si>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</si>
  <si>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</si>
  <si>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</si>
  <si>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</si>
  <si>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</si>
  <si>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</si>
  <si>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</si>
  <si>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</si>
  <si>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</si>
  <si>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</si>
  <si>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</si>
  <si>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</si>
  <si>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</si>
  <si>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</si>
  <si>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</si>
  <si>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</si>
  <si>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</si>
  <si>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</si>
  <si>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</si>
  <si>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</si>
  <si>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</si>
  <si>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</si>
  <si>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</si>
  <si>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</si>
  <si>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</si>
  <si>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</si>
  <si>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</si>
  <si>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</si>
  <si>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</si>
  <si>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</si>
  <si>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</si>
  <si>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</si>
  <si>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</si>
  <si>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</si>
  <si>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</si>
  <si>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</si>
  <si>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</si>
  <si>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</si>
  <si>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</si>
  <si>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</si>
  <si>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</si>
  <si>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</si>
  <si>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</si>
  <si>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</si>
  <si>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</si>
  <si>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</si>
  <si>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</si>
  <si>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</si>
  <si>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</si>
  <si>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</si>
  <si>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</si>
  <si>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</si>
  <si>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</si>
  <si>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</si>
  <si>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</si>
  <si>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</si>
  <si>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</si>
  <si>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</si>
  <si>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</si>
  <si>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</si>
  <si>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</si>
  <si>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</si>
  <si>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</si>
  <si>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</si>
  <si>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</si>
  <si>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</si>
  <si>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</si>
  <si>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</si>
  <si>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</si>
  <si>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</si>
  <si>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</si>
  <si>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</si>
  <si>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</si>
  <si>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</si>
  <si>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</si>
  <si>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</si>
  <si>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</si>
  <si>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</si>
  <si>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</si>
  <si>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</si>
  <si>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</si>
  <si>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</si>
  <si>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</si>
  <si>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</si>
  <si>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</si>
  <si>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</si>
  <si>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</si>
  <si>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</si>
  <si>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</si>
  <si>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</si>
  <si>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</si>
  <si>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</si>
  <si>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</si>
  <si>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</si>
  <si>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</si>
  <si>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</si>
  <si>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</si>
  <si>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</si>
  <si>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</si>
  <si>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</si>
  <si>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</si>
  <si>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</si>
  <si>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</si>
  <si>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</si>
  <si>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</si>
  <si>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</si>
  <si>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</si>
  <si>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</si>
  <si>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</si>
  <si>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</si>
  <si>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</si>
  <si>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</si>
  <si>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</si>
  <si>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</si>
  <si>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</si>
  <si>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</si>
  <si>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</si>
  <si>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</si>
  <si>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</si>
  <si>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</si>
  <si>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</si>
  <si>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</si>
  <si>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</si>
  <si>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</si>
  <si>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</si>
  <si>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</si>
  <si>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</si>
  <si>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</si>
  <si>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</si>
  <si>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</si>
  <si>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</si>
  <si>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</si>
  <si>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</si>
  <si>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</si>
  <si>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</si>
  <si>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</si>
  <si>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</si>
  <si>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</si>
  <si>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</si>
  <si>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</si>
  <si>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</si>
  <si>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</si>
  <si>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</si>
  <si>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</si>
  <si>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</si>
  <si>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</si>
  <si>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</si>
  <si>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NEAT ROLLS - MUST HAVE WATER TIGHT SEALS - NO LEAKS</t>
  </si>
  <si>
    <t>(600+420)</t>
  </si>
  <si>
    <t>ANTIBLOCK</t>
  </si>
  <si>
    <t>#55</t>
  </si>
  <si>
    <t>OCEAN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</si>
</sst>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95" t="str">
        <f>O9&amp;R9&amp;IF(X8="G","G","")&amp;IF(O8="Centrefold Roll","("&amp;E8&amp;")","")&amp;T9&amp;V9&amp;C22&amp;C23&amp;C24&amp;O11&amp;R11</f>
        <v>PBR1020G1000500</v>
      </c>
      <c r="C1" s="95"/>
      <c r="D1" s="96"/>
      <c r="E1" s="15" t="s">
        <v>56</v>
      </c>
      <c r="F1" s="61" t="s">
        <v>200</v>
      </c>
      <c r="G1" s="61"/>
      <c r="H1" s="62"/>
      <c r="I1" s="15" t="s">
        <v>180</v>
      </c>
      <c r="J1" s="106">
        <f ca="1">TODAY()</f>
        <v>45887</v>
      </c>
      <c r="K1" s="106"/>
      <c r="L1" s="107"/>
      <c r="M1" s="29"/>
      <c r="N1" s="15" t="s">
        <v>55</v>
      </c>
      <c r="O1" s="95" t="str">
        <f>B1</f>
        <v>PBR1020G1000500</v>
      </c>
      <c r="P1" s="95"/>
      <c r="Q1" s="96"/>
      <c r="R1" s="15" t="s">
        <v>56</v>
      </c>
      <c r="S1" s="95" t="str">
        <f>F1</f>
        <v>OCEAN PETS</v>
      </c>
      <c r="T1" s="95"/>
      <c r="U1" s="96"/>
      <c r="V1" s="15" t="s">
        <v>180</v>
      </c>
      <c r="W1" s="106">
        <f ca="1">J1</f>
        <v>45887</v>
      </c>
      <c r="X1" s="106"/>
      <c r="Y1" s="107"/>
    </row>
    <row r="2" spans="1:25" ht="20.149999999999999" customHeight="1" x14ac:dyDescent="0.8">
      <c r="A2" s="15" t="s">
        <v>99</v>
      </c>
      <c r="B2" s="95" t="str">
        <f>IF(U10="","",U10)</f>
        <v/>
      </c>
      <c r="C2" s="95"/>
      <c r="D2" s="96"/>
      <c r="E2" s="15" t="s">
        <v>57</v>
      </c>
      <c r="F2" s="61">
        <v>947761</v>
      </c>
      <c r="G2" s="61"/>
      <c r="H2" s="62"/>
      <c r="I2" s="15" t="s">
        <v>58</v>
      </c>
      <c r="J2" s="116">
        <v>45434</v>
      </c>
      <c r="K2" s="61"/>
      <c r="L2" s="62"/>
      <c r="M2" s="29"/>
      <c r="N2" s="15" t="s">
        <v>99</v>
      </c>
      <c r="O2" s="95" t="str">
        <f>IF(B2="","",B2)</f>
        <v/>
      </c>
      <c r="P2" s="95"/>
      <c r="Q2" s="96"/>
      <c r="R2" s="15" t="s">
        <v>57</v>
      </c>
      <c r="S2" s="95">
        <f>IF(F2="","",F2)</f>
        <v>947761</v>
      </c>
      <c r="T2" s="95"/>
      <c r="U2" s="96"/>
      <c r="V2" s="15" t="s">
        <v>58</v>
      </c>
      <c r="W2" s="108">
        <f>J2</f>
        <v>45434</v>
      </c>
      <c r="X2" s="95"/>
      <c r="Y2" s="96"/>
    </row>
    <row r="3" spans="1:25" ht="20.149999999999999" customHeight="1" x14ac:dyDescent="0.75">
      <c r="A3" s="97" t="s">
        <v>196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29"/>
      <c r="N3" s="97" t="str">
        <f>A3</f>
        <v>NEAT ROLLS - MUST HAVE WATER TIGHT SEALS - NO LEAKS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29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29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29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5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29"/>
      <c r="N7" s="15" t="str">
        <f>IF(ISNUMBER(SEARCH("roll",O8,1)),"No. Rolls","No. Cartons")</f>
        <v>No. Rolls</v>
      </c>
      <c r="O7" s="61">
        <v>10</v>
      </c>
      <c r="P7" s="62"/>
      <c r="Q7" s="15" t="str">
        <f>IF(ISNUMBER(SEARCH("roll",O8,1)),"Per Roll","Per Carton")</f>
        <v>Per Roll</v>
      </c>
      <c r="R7" s="61">
        <v>250</v>
      </c>
      <c r="S7" s="62"/>
      <c r="T7" s="15" t="str">
        <f>IF(ISNUMBER(SEARCH("bag",O8,1)),"Total Bags","Total Sheets")</f>
        <v>Total Bags</v>
      </c>
      <c r="U7" s="95">
        <f>R7*O7</f>
        <v>2500</v>
      </c>
      <c r="V7" s="96"/>
      <c r="W7" s="15" t="s">
        <v>101</v>
      </c>
      <c r="X7" s="61" t="s">
        <v>30</v>
      </c>
      <c r="Y7" s="62"/>
    </row>
    <row r="8" spans="1:25" ht="20.149999999999999" customHeight="1" x14ac:dyDescent="0.8">
      <c r="A8" s="16" t="s">
        <v>15</v>
      </c>
      <c r="B8" s="114">
        <f>R9</f>
        <v>1020</v>
      </c>
      <c r="C8" s="115"/>
      <c r="D8" s="19" t="str">
        <f>IF(ISNUMBER(SEARCH("bag",#REF!,1)),"Gusset","Centrefold")</f>
        <v>Centrefold</v>
      </c>
      <c r="E8" s="114" t="str">
        <f>IF(O8="Centrefold Roll",B8*2,IF(X9="","None",X9))</f>
        <v>(600+420)</v>
      </c>
      <c r="F8" s="115"/>
      <c r="G8" s="16" t="s">
        <v>51</v>
      </c>
      <c r="H8" s="114">
        <f>(IF(V9&lt;30,"30",V9))</f>
        <v>50</v>
      </c>
      <c r="I8" s="115"/>
      <c r="J8" s="15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29"/>
      <c r="N8" s="17" t="s">
        <v>53</v>
      </c>
      <c r="O8" s="123" t="s">
        <v>164</v>
      </c>
      <c r="P8" s="124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0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0" t="s">
        <v>47</v>
      </c>
      <c r="H9" s="129" t="s">
        <v>195</v>
      </c>
      <c r="I9" s="130"/>
      <c r="J9" s="15" t="s">
        <v>54</v>
      </c>
      <c r="K9" s="61" t="s">
        <v>33</v>
      </c>
      <c r="L9" s="62"/>
      <c r="M9" s="29"/>
      <c r="N9" s="21"/>
      <c r="O9" s="137" t="str">
        <f>IF(O8="Poly Bag","PB",IF(O8="Poly Bag Roll","PBR",IF(O8="Centrefold Roll","CFR",IF(O8="Sheet","S",IF(O8="Sheet Roll","SR")))))</f>
        <v>PBR</v>
      </c>
      <c r="P9" s="138"/>
      <c r="Q9" s="21"/>
      <c r="R9" s="30">
        <v>1020</v>
      </c>
      <c r="S9" s="22" t="s">
        <v>77</v>
      </c>
      <c r="T9" s="30">
        <v>1000</v>
      </c>
      <c r="U9" s="22" t="s">
        <v>77</v>
      </c>
      <c r="V9" s="30">
        <v>50</v>
      </c>
      <c r="W9" s="21"/>
      <c r="X9" s="121" t="s">
        <v>197</v>
      </c>
      <c r="Y9" s="122"/>
    </row>
    <row r="10" spans="1:25" ht="20.149999999999999" customHeight="1" x14ac:dyDescent="0.8">
      <c r="A10" s="15" t="s">
        <v>50</v>
      </c>
      <c r="B10" s="61">
        <v>10</v>
      </c>
      <c r="C10" s="62"/>
      <c r="D10" s="48" t="s">
        <v>133</v>
      </c>
      <c r="E10" s="131">
        <f>IF(ISNUMBER(SEARCH("sheet",O8,1)),((R9*T9*H8/540000)*U7/2000*1.3),((R9*T9*H8/540000)*U7/1000*1.08))</f>
        <v>255</v>
      </c>
      <c r="F10" s="132"/>
      <c r="G10" s="15" t="s">
        <v>52</v>
      </c>
      <c r="H10" s="135">
        <f>IF(ISNUMBER(SEARCH("sheet",O8,1)),(U7*T9/2000*1.08),(U7*T9/1000*1.08))</f>
        <v>2700</v>
      </c>
      <c r="I10" s="136"/>
      <c r="J10" s="15" t="s">
        <v>40</v>
      </c>
      <c r="K10" s="61" t="s">
        <v>43</v>
      </c>
      <c r="L10" s="62"/>
      <c r="M10" s="29"/>
      <c r="N10" s="17" t="s">
        <v>140</v>
      </c>
      <c r="O10" s="123" t="s">
        <v>43</v>
      </c>
      <c r="P10" s="124"/>
      <c r="Q10" s="17" t="s">
        <v>49</v>
      </c>
      <c r="R10" s="109" t="str">
        <f>IF(K11="NONE","None",IF(K11="INLINE","Yes",IF(K11="OUT OF LINE","Yes")))</f>
        <v>None</v>
      </c>
      <c r="S10" s="109"/>
      <c r="T10" s="17" t="s">
        <v>99</v>
      </c>
      <c r="U10" s="117"/>
      <c r="V10" s="117"/>
      <c r="W10" s="117"/>
      <c r="X10" s="117"/>
      <c r="Y10" s="118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5" t="s">
        <v>134</v>
      </c>
      <c r="E11" s="133">
        <f>E10/B10</f>
        <v>25.5</v>
      </c>
      <c r="F11" s="134"/>
      <c r="G11" s="15" t="s">
        <v>14</v>
      </c>
      <c r="H11" s="133">
        <f>H10/B10</f>
        <v>270</v>
      </c>
      <c r="I11" s="134"/>
      <c r="J11" s="15" t="s">
        <v>49</v>
      </c>
      <c r="K11" s="61" t="s">
        <v>43</v>
      </c>
      <c r="L11" s="62"/>
      <c r="M11" s="29"/>
      <c r="N11" s="16"/>
      <c r="O11" s="114" t="str">
        <f>IF(O10="NONE","","V")</f>
        <v/>
      </c>
      <c r="P11" s="115"/>
      <c r="Q11" s="16"/>
      <c r="R11" s="114" t="str">
        <f>IF(R10="None","","P")</f>
        <v/>
      </c>
      <c r="S11" s="114"/>
      <c r="T11" s="16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29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5" t="s">
        <v>67</v>
      </c>
      <c r="B13" s="61" t="s">
        <v>43</v>
      </c>
      <c r="C13" s="61"/>
      <c r="D13" s="62"/>
      <c r="E13" s="23" t="s">
        <v>60</v>
      </c>
      <c r="F13" s="61" t="s">
        <v>43</v>
      </c>
      <c r="G13" s="61"/>
      <c r="H13" s="62"/>
      <c r="I13" s="15" t="s">
        <v>61</v>
      </c>
      <c r="J13" s="61" t="s">
        <v>43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10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49999999999999" customHeight="1" x14ac:dyDescent="0.9">
      <c r="A14" s="16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44"/>
      <c r="J17" s="145"/>
      <c r="K17" s="144"/>
      <c r="L17" s="145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44"/>
      <c r="J18" s="145"/>
      <c r="K18" s="144"/>
      <c r="L18" s="145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44"/>
      <c r="J19" s="145"/>
      <c r="K19" s="144"/>
      <c r="L19" s="145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44"/>
      <c r="J20" s="145"/>
      <c r="K20" s="144"/>
      <c r="L20" s="145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44"/>
      <c r="J21" s="145"/>
      <c r="K21" s="144"/>
      <c r="L21" s="145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3" t="s">
        <v>85</v>
      </c>
      <c r="H22" s="34"/>
      <c r="I22" s="144"/>
      <c r="J22" s="145"/>
      <c r="K22" s="144"/>
      <c r="L22" s="145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 t="s">
        <v>198</v>
      </c>
      <c r="B23" s="139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/>
      <c r="F23" s="84"/>
      <c r="G23" s="33" t="s">
        <v>86</v>
      </c>
      <c r="H23" s="34"/>
      <c r="I23" s="144"/>
      <c r="J23" s="145"/>
      <c r="K23" s="144"/>
      <c r="L23" s="145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3" t="s">
        <v>87</v>
      </c>
      <c r="H24" s="34"/>
      <c r="I24" s="144"/>
      <c r="J24" s="145"/>
      <c r="K24" s="144"/>
      <c r="L24" s="145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3" t="s">
        <v>95</v>
      </c>
      <c r="B27" s="7" t="s">
        <v>199</v>
      </c>
      <c r="C27" s="7"/>
      <c r="D27" s="9">
        <v>28.6</v>
      </c>
      <c r="E27" s="60">
        <v>6.6</v>
      </c>
      <c r="F27" s="7"/>
      <c r="G27" s="143"/>
      <c r="H27" s="143"/>
      <c r="I27" s="143"/>
      <c r="J27" s="143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143"/>
      <c r="H28" s="143"/>
      <c r="I28" s="143"/>
      <c r="J28" s="143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45918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45908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91A6C81-9E00-4462-AC8E-A4E453C6694D}"/>
</file>

<file path=customXml/itemProps2.xml><?xml version="1.0" encoding="utf-8"?>
<ds:datastoreItem xmlns:ds="http://schemas.openxmlformats.org/officeDocument/2006/customXml" ds:itemID="{99258EC9-4021-4B7D-97B6-74EB7C655909}"/>
</file>

<file path=customXml/itemProps3.xml><?xml version="1.0" encoding="utf-8"?>
<ds:datastoreItem xmlns:ds="http://schemas.openxmlformats.org/officeDocument/2006/customXml" ds:itemID="{606B60D3-2DC7-49B6-BA18-D0AD5B268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2025-08-18T02:45:48Z</cp:lastPrinted>
  <dcterms:created xsi:type="dcterms:W3CDTF">2019-11-27T23:28:06Z</dcterms:created>
  <dcterms:modified xsi:type="dcterms:W3CDTF">2025-08-25T01:42:08Z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