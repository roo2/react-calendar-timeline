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bookViews>
    <workbookView xWindow="0" yWindow="0" windowWidth="24042" windowHeight="9942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E8" i="1"/>
  <c r="D9" i="1"/>
  <c r="B1" i="1"/>
  <c r="B2" i="1" l="1"/>
  <c r="B11" i="1" l="1"/>
  <c r="C25" i="1"/>
  <c r="C24" i="1"/>
  <c r="A11" i="1" l="1"/>
  <c r="D8" i="1" l="1"/>
  <c r="K8" i="1" l="1"/>
  <c r="A24" i="1" l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<sst xmlns="http://schemas.openxmlformats.org/spreadsheetml/2006/main" count="226" uniqueCount="167">
  <si>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</si>
  <si>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</si>
  <si>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</si>
  <si>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</si>
  <si>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</si>
  <si>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</si>
  <si>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</si>
  <si>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</si>
  <si>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</si>
  <si>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</si>
  <si>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</si>
  <si>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</si>
  <si>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</si>
  <si>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</si>
  <si>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</si>
  <si>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</si>
  <si>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</si>
  <si>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</si>
  <si>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</si>
  <si>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</si>
  <si>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</si>
  <si>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</si>
  <si>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</si>
  <si>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</si>
  <si>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</si>
  <si>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</si>
  <si>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</si>
  <si>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</si>
  <si>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</si>
  <si>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</si>
  <si>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</si>
  <si>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</si>
  <si>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</si>
  <si>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</si>
  <si>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</si>
  <si>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</si>
  <si>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</si>
  <si>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</si>
  <si>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</si>
  <si>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</si>
  <si>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</si>
  <si>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</si>
  <si>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</si>
  <si>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</si>
  <si>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</si>
  <si>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</si>
  <si>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</si>
  <si>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</si>
  <si>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</si>
  <si>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</si>
  <si>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</si>
  <si>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</si>
  <si>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</si>
  <si>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</si>
  <si>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</si>
  <si>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</si>
  <si>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</si>
  <si>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</si>
  <si>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</si>
  <si>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</si>
  <si>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</si>
  <si>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</si>
  <si>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</si>
  <si>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</si>
  <si>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</si>
  <si>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</si>
  <si>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</si>
  <si>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</si>
  <si>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</si>
  <si>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</si>
  <si>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</si>
  <si>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</si>
  <si>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</si>
  <si>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</si>
  <si>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</si>
  <si>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</si>
  <si>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</si>
  <si>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</si>
  <si>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</si>
  <si>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</si>
  <si>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</si>
  <si>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</si>
  <si>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</si>
  <si>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</si>
  <si>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</si>
  <si>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</si>
  <si>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</si>
  <si>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</si>
  <si>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</si>
  <si>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</si>
  <si>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</si>
  <si>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</si>
  <si>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</si>
  <si>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</si>
  <si>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</si>
  <si>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</si>
  <si>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</si>
  <si>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</si>
  <si>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</si>
  <si>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</si>
  <si>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</si>
  <si>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</si>
  <si>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</si>
  <si>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</si>
  <si>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</si>
  <si>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</si>
  <si>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</si>
  <si>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</si>
  <si>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</si>
  <si>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</si>
  <si>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</si>
  <si>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</si>
  <si>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</si>
  <si>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</si>
  <si>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</si>
  <si>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</si>
  <si>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</si>
  <si>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</si>
  <si>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</si>
  <si>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</si>
  <si>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</si>
  <si>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</si>
  <si>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</si>
  <si>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</si>
  <si>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</si>
  <si>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</si>
  <si>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</si>
  <si>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</si>
  <si>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</si>
  <si>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</si>
  <si>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</si>
  <si>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</si>
  <si>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</si>
  <si>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</si>
  <si>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</si>
  <si>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</si>
  <si>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</si>
  <si>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</si>
  <si>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</si>
  <si>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</si>
  <si>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</si>
  <si>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</si>
  <si>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</si>
  <si>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</si>
  <si>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</si>
  <si>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</si>
  <si>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</si>
  <si>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</si>
  <si>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</si>
  <si>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</si>
  <si>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</si>
  <si>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</si>
  <si>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</si>
  <si>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</si>
  <si>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</si>
  <si>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</si>
  <si>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</si>
  <si>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</si>
  <si>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</si>
  <si>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</si>
  <si>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</si>
  <si>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</si>
  <si>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 xml:space="preserve"> +/- 3mm</t>
  </si>
  <si>
    <t>RUN AT 70UM</t>
  </si>
  <si>
    <t>PROSEGUR AUST</t>
  </si>
  <si>
    <t>SHRINK FILM (2 WAY) - MICRO VENT WITH PIN HOLES - BLOW 580 X 70UM SLIT UP MIDDLE</t>
  </si>
  <si>
    <t>Centrefold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</si>
</sst>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86"/>
  <sheetViews>
    <sheetView tabSelected="1" zoomScale="80" zoomScaleNormal="80" workbookViewId="0">
      <selection activeCell="D8" sqref="D8"/>
    </sheetView>
  </sheetViews>
  <sheetFormatPr defaultRowHeight="15.05" x14ac:dyDescent="0.3"/>
  <sheetData>
    <row r="1" spans="1:14" ht="20.05" customHeight="1" x14ac:dyDescent="0.3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CFR290(580)70</v>
      </c>
      <c r="C1" s="70"/>
      <c r="D1" s="71"/>
      <c r="E1" s="12" t="s">
        <v>55</v>
      </c>
      <c r="F1" s="85" t="s">
        <v>164</v>
      </c>
      <c r="G1" s="85"/>
      <c r="H1" s="86"/>
      <c r="I1" s="12" t="s">
        <v>147</v>
      </c>
      <c r="J1" s="87">
        <f ca="1">TODAY()</f>
        <v>43854</v>
      </c>
      <c r="K1" s="87"/>
      <c r="L1" s="88"/>
    </row>
    <row r="2" spans="1:14" ht="20.05" customHeight="1" x14ac:dyDescent="0.3">
      <c r="A2" s="12" t="s">
        <v>94</v>
      </c>
      <c r="B2" s="74" t="str">
        <f>IF(B7="Tube",(ROUNDUP(E11,0)&amp;"KG"),(ROUNDUP(H11,0)&amp;"M"))</f>
        <v>343M</v>
      </c>
      <c r="C2" s="74"/>
      <c r="D2" s="75"/>
      <c r="E2" s="12" t="s">
        <v>56</v>
      </c>
      <c r="F2" s="60">
        <v>936209</v>
      </c>
      <c r="G2" s="60"/>
      <c r="H2" s="61"/>
      <c r="I2" s="12" t="s">
        <v>57</v>
      </c>
      <c r="J2" s="89" t="s">
        <v>161</v>
      </c>
      <c r="K2" s="60"/>
      <c r="L2" s="61"/>
    </row>
    <row r="3" spans="1:14" ht="20.05" customHeight="1" x14ac:dyDescent="0.3">
      <c r="A3" s="76" t="s">
        <v>165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05" customHeight="1" x14ac:dyDescent="0.3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05" customHeight="1" x14ac:dyDescent="0.3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05" customHeight="1" x14ac:dyDescent="0.3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05" customHeight="1" x14ac:dyDescent="0.35">
      <c r="A7" s="12" t="s">
        <v>157</v>
      </c>
      <c r="B7" s="60" t="s">
        <v>160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05" customHeight="1" x14ac:dyDescent="0.3">
      <c r="A8" s="13" t="s">
        <v>14</v>
      </c>
      <c r="B8" s="108">
        <v>290</v>
      </c>
      <c r="C8" s="109"/>
      <c r="D8" s="13" t="str">
        <f>IF(B7="Tube","Gusset","Centrefold")</f>
        <v>Centrefold</v>
      </c>
      <c r="E8" s="104">
        <f>IF(B7="Cont Centrefold",B8*2,"")</f>
        <v>580</v>
      </c>
      <c r="F8" s="105"/>
      <c r="G8" s="13" t="s">
        <v>50</v>
      </c>
      <c r="H8" s="108">
        <v>70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05" customHeight="1" x14ac:dyDescent="0.35">
      <c r="A9" s="14" t="s">
        <v>46</v>
      </c>
      <c r="B9" s="92" t="s">
        <v>162</v>
      </c>
      <c r="C9" s="93"/>
      <c r="D9" s="55" t="str">
        <f>IF(K10="Middle","RUN 2 UP",IF(AND(B7="Cont Centrefold",B8=380),"RUN 2 UP",""))</f>
        <v>RUN 2 UP</v>
      </c>
      <c r="E9" s="56"/>
      <c r="F9" s="57"/>
      <c r="G9" s="14" t="s">
        <v>46</v>
      </c>
      <c r="H9" s="92" t="s">
        <v>163</v>
      </c>
      <c r="I9" s="93"/>
      <c r="J9" s="12" t="s">
        <v>53</v>
      </c>
      <c r="K9" s="60" t="s">
        <v>28</v>
      </c>
      <c r="L9" s="61"/>
    </row>
    <row r="10" spans="1:14" ht="20.05" customHeight="1" x14ac:dyDescent="0.3">
      <c r="A10" s="12" t="s">
        <v>49</v>
      </c>
      <c r="B10" s="60">
        <v>28</v>
      </c>
      <c r="C10" s="61"/>
      <c r="D10" s="42" t="s">
        <v>104</v>
      </c>
      <c r="E10" s="96">
        <f>E11*B10</f>
        <v>722.07851851851854</v>
      </c>
      <c r="F10" s="97"/>
      <c r="G10" s="12" t="s">
        <v>51</v>
      </c>
      <c r="H10" s="74">
        <f>H11*B10</f>
        <v>9604</v>
      </c>
      <c r="I10" s="75"/>
      <c r="J10" s="12" t="s">
        <v>39</v>
      </c>
      <c r="K10" s="60" t="s">
        <v>43</v>
      </c>
      <c r="L10" s="61"/>
    </row>
    <row r="11" spans="1:14" s="52" customFormat="1" ht="20.05" customHeight="1" x14ac:dyDescent="0.3">
      <c r="A11" s="51" t="str">
        <f>IF(B7="Cont Sheet Roll","Sheet Rolls",IF(B7="Cont Centrefold","CF Rolls",""))</f>
        <v>CF Rolls</v>
      </c>
      <c r="B11" s="94">
        <f>IF(AND(B7="Cont Centrefold",D9="RUN 2 UP"),B10*2,IF(B7="Cont Centrefold",B10,IF(B7="Cont Sheet Roll",B10*2,"")))</f>
        <v>56</v>
      </c>
      <c r="C11" s="95"/>
      <c r="D11" s="51" t="s">
        <v>105</v>
      </c>
      <c r="E11" s="98">
        <f>IF(D9="RUN 2 UP",(B8*H8*H11/540000)*2,(B8*H8*H11/540000))</f>
        <v>25.788518518518519</v>
      </c>
      <c r="F11" s="99"/>
      <c r="G11" s="51" t="s">
        <v>13</v>
      </c>
      <c r="H11" s="100">
        <v>343</v>
      </c>
      <c r="I11" s="101"/>
      <c r="J11" s="51" t="s">
        <v>48</v>
      </c>
      <c r="K11" s="106" t="s">
        <v>42</v>
      </c>
      <c r="L11" s="107"/>
      <c r="N11"/>
    </row>
    <row r="12" spans="1:14" ht="20.05" customHeight="1" x14ac:dyDescent="0.3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05" customHeight="1" x14ac:dyDescent="0.3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05" customHeight="1" x14ac:dyDescent="0.35">
      <c r="A14" s="13" t="s">
        <v>58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05" customHeight="1" x14ac:dyDescent="0.3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05" customHeight="1" x14ac:dyDescent="0.3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28</v>
      </c>
      <c r="G16" s="70"/>
      <c r="H16" s="71"/>
      <c r="I16" s="12" t="s">
        <v>74</v>
      </c>
      <c r="J16" s="60"/>
      <c r="K16" s="60"/>
      <c r="L16" s="61"/>
    </row>
    <row r="17" spans="1:12" ht="20.05" customHeight="1" x14ac:dyDescent="0.3">
      <c r="A17" s="62" t="s">
        <v>148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05" customHeight="1" x14ac:dyDescent="0.3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05" customHeight="1" x14ac:dyDescent="0.3">
      <c r="A19" s="58" t="s">
        <v>5</v>
      </c>
      <c r="B19" s="58"/>
      <c r="C19" s="72" t="s">
        <v>115</v>
      </c>
      <c r="D19" s="73"/>
      <c r="E19" s="117">
        <v>0.25</v>
      </c>
      <c r="F19" s="118"/>
      <c r="G19" s="11" t="s">
        <v>76</v>
      </c>
      <c r="H19" s="35"/>
      <c r="I19" s="65"/>
      <c r="J19" s="66"/>
      <c r="K19" s="65"/>
      <c r="L19" s="66"/>
    </row>
    <row r="20" spans="1:12" ht="20.05" customHeight="1" x14ac:dyDescent="0.3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05" customHeight="1" x14ac:dyDescent="0.3">
      <c r="A21" s="58" t="s">
        <v>7</v>
      </c>
      <c r="B21" s="58"/>
      <c r="C21" s="72" t="s">
        <v>113</v>
      </c>
      <c r="D21" s="73"/>
      <c r="E21" s="117">
        <v>0.75</v>
      </c>
      <c r="F21" s="118"/>
      <c r="G21" s="11" t="s">
        <v>78</v>
      </c>
      <c r="H21" s="35"/>
      <c r="I21" s="65"/>
      <c r="J21" s="66"/>
      <c r="K21" s="65"/>
      <c r="L21" s="66"/>
    </row>
    <row r="22" spans="1:12" ht="20.05" customHeight="1" x14ac:dyDescent="0.3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05" customHeight="1" x14ac:dyDescent="0.3">
      <c r="A23" s="58" t="s">
        <v>149</v>
      </c>
      <c r="B23" s="58"/>
      <c r="C23" s="72" t="s">
        <v>150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05" customHeight="1" x14ac:dyDescent="0.3">
      <c r="A24" s="58" t="str">
        <f>(IF(E7="NATURAL","",E7))</f>
        <v/>
      </c>
      <c r="B24" s="58"/>
      <c r="C24" s="7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3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05" customHeight="1" x14ac:dyDescent="0.3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05" customHeight="1" x14ac:dyDescent="0.3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05" customHeight="1" x14ac:dyDescent="0.3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05" customHeight="1" x14ac:dyDescent="0.3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05" customHeight="1" x14ac:dyDescent="0.3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05" customHeight="1" x14ac:dyDescent="0.3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05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05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05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05" customHeight="1" x14ac:dyDescent="0.3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05" customHeight="1" x14ac:dyDescent="0.3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05" customHeight="1" x14ac:dyDescent="0.3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05" customHeight="1" x14ac:dyDescent="0.3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05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05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05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05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05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05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05" customHeight="1" x14ac:dyDescent="0.3"/>
    <row r="45" spans="1:12" ht="20.05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05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05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05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05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05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05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05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05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05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05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05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05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05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05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05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05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05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05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05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05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05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05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05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05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05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05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05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05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05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05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05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05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05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05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05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05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05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05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05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05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Sheet2!$A$36:$A$37</xm:f>
          </x14:formula1>
          <xm:sqref>K9:L9</xm:sqref>
        </x14:dataValidation>
        <x14:dataValidation type="list" allowBlank="1" showInputMessage="1" showErrorMessage="1">
          <x14:formula1>
            <xm:f>Sheet2!$A$40:$A$43</xm:f>
          </x14:formula1>
          <xm:sqref>K10:L10</xm:sqref>
        </x14:dataValidation>
        <x14:dataValidation type="list" allowBlank="1" showInputMessage="1" showErrorMessage="1">
          <x14:formula1>
            <xm:f>Sheet2!$A$56:$A$58</xm:f>
          </x14:formula1>
          <xm:sqref>F13:H13</xm:sqref>
        </x14:dataValidation>
        <x14:dataValidation type="list" allowBlank="1" showInputMessage="1" showErrorMessage="1">
          <x14:formula1>
            <xm:f>Sheet2!$N$4:$N$6</xm:f>
          </x14:formula1>
          <xm:sqref>B16:D16</xm:sqref>
        </x14:dataValidation>
        <x14:dataValidation type="list" allowBlank="1" showInputMessage="1" showErrorMessage="1">
          <x14:formula1>
            <xm:f>Sheet2!$A$46:$A$48</xm:f>
          </x14:formula1>
          <xm:sqref>K11:L11</xm:sqref>
        </x14:dataValidation>
        <x14:dataValidation type="list" allowBlank="1" showInputMessage="1" showErrorMessage="1">
          <x14:formula1>
            <xm:f>Sheet2!$A$61:$A$75</xm:f>
          </x14:formula1>
          <xm:sqref>J13:L13</xm:sqref>
        </x14:dataValidation>
        <x14:dataValidation type="list" allowBlank="1" showInputMessage="1" showErrorMessage="1">
          <x14:formula1>
            <xm:f>Sheet2!$A$31:$A$33</xm:f>
          </x14:formula1>
          <xm:sqref>B7:C7</xm:sqref>
        </x14:dataValidation>
        <x14:dataValidation type="list" allowBlank="1" showInputMessage="1" showErrorMessage="1">
          <x14:formula1>
            <xm:f>Sheet2!$A$9:$A$28</xm:f>
          </x14:formula1>
          <xm:sqref>E7:I7</xm:sqref>
        </x14:dataValidation>
        <x14:dataValidation type="list" allowBlank="1" showInputMessage="1" showErrorMessage="1">
          <x14:formula1>
            <xm:f>Sheet2!$A$51:$A$53</xm:f>
          </x14:formula1>
          <xm:sqref>B13:D13</xm:sqref>
        </x14:dataValidation>
        <x14:dataValidation type="list" allowBlank="1" showInputMessage="1" showErrorMessage="1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75"/>
  <sheetViews>
    <sheetView topLeftCell="A4" workbookViewId="0">
      <selection activeCell="N20" sqref="N20"/>
    </sheetView>
  </sheetViews>
  <sheetFormatPr defaultRowHeight="15.05" x14ac:dyDescent="0.3"/>
  <cols>
    <col min="1" max="1" width="9.2187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43885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43875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166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3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144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142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142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4FF9D26-35A4-4E41-B2A3-E83511980219}"/>
</file>

<file path=customXml/itemProps2.xml><?xml version="1.0" encoding="utf-8"?>
<ds:datastoreItem xmlns:ds="http://schemas.openxmlformats.org/officeDocument/2006/customXml" ds:itemID="{66DDA0D9-254A-4D27-BD4D-F7B01B5F0894}"/>
</file>

<file path=customXml/itemProps3.xml><?xml version="1.0" encoding="utf-8"?>
<ds:datastoreItem xmlns:ds="http://schemas.openxmlformats.org/officeDocument/2006/customXml" ds:itemID="{55909F26-5716-4FD8-A305-58B6AC92C8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cp:lastPrinted>2020-01-24T02:43:19Z</cp:lastPrinted>
  <dcterms:created xsi:type="dcterms:W3CDTF">2019-11-27T23:28:06Z</dcterms:created>
  <dcterms:modified xsi:type="dcterms:W3CDTF">2020-01-24T03:56:31Z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