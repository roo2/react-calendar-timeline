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03D2CE4-2F31-4FBE-9DF7-636673FC894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O1" i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</calcChain>
</file>

<file path=xl/sharedStrings.xml><?xml version="1.0" encoding="utf-8"?>
<sst xmlns="http://schemas.openxmlformats.org/spreadsheetml/2006/main" count="305" uniqueCount="199">
  <si>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</si>
  <si>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</si>
  <si>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</si>
  <si>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</si>
  <si>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</si>
  <si>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</si>
  <si>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</si>
  <si>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</si>
  <si>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</si>
  <si>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</si>
  <si>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</si>
  <si>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</si>
  <si>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</si>
  <si>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</si>
  <si>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</si>
  <si>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</si>
  <si>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</si>
  <si>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</si>
  <si>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</si>
  <si>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</si>
  <si>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</si>
  <si>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</si>
  <si>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</si>
  <si>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</si>
  <si>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</si>
  <si>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</si>
  <si>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</si>
  <si>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</si>
  <si>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</si>
  <si>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</si>
  <si>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</si>
  <si>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</si>
  <si>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</si>
  <si>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</si>
  <si>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</si>
  <si>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</si>
  <si>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</si>
  <si>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</si>
  <si>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</si>
  <si>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</si>
  <si>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</si>
  <si>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</si>
  <si>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</si>
  <si>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</si>
  <si>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</si>
  <si>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</si>
  <si>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</si>
  <si>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</si>
  <si>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</si>
  <si>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</si>
  <si>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</si>
  <si>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</si>
  <si>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</si>
  <si>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</si>
  <si>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</si>
  <si>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</si>
  <si>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</si>
  <si>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</si>
  <si>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</si>
  <si>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</si>
  <si>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</si>
  <si>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</si>
  <si>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</si>
  <si>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</si>
  <si>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</si>
  <si>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</si>
  <si>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</si>
  <si>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</si>
  <si>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</si>
  <si>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</si>
  <si>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</si>
  <si>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</si>
  <si>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</si>
  <si>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</si>
  <si>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</si>
  <si>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</si>
  <si>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</si>
  <si>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</si>
  <si>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</si>
  <si>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</si>
  <si>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</si>
  <si>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</si>
  <si>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</si>
  <si>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</si>
  <si>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</si>
  <si>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</si>
  <si>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</si>
  <si>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</si>
  <si>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</si>
  <si>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</si>
  <si>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</si>
  <si>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</si>
  <si>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</si>
  <si>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</si>
  <si>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</si>
  <si>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</si>
  <si>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</si>
  <si>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</si>
  <si>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</si>
  <si>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</si>
  <si>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</si>
  <si>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</si>
  <si>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</si>
  <si>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</si>
  <si>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</si>
  <si>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</si>
  <si>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</si>
  <si>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</si>
  <si>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</si>
  <si>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</si>
  <si>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</si>
  <si>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</si>
  <si>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</si>
  <si>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</si>
  <si>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</si>
  <si>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</si>
  <si>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</si>
  <si>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</si>
  <si>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</si>
  <si>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</si>
  <si>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</si>
  <si>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</si>
  <si>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</si>
  <si>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</si>
  <si>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</si>
  <si>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</si>
  <si>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</si>
  <si>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</si>
  <si>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</si>
  <si>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</si>
  <si>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</si>
  <si>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</si>
  <si>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</si>
  <si>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</si>
  <si>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</si>
  <si>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</si>
  <si>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</si>
  <si>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</si>
  <si>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</si>
  <si>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</si>
  <si>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</si>
  <si>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</si>
  <si>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</si>
  <si>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</si>
  <si>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</si>
  <si>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</si>
  <si>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</si>
  <si>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</si>
  <si>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</si>
  <si>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</si>
  <si>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</si>
  <si>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</si>
  <si>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</si>
  <si>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</si>
  <si>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</si>
  <si>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</si>
  <si>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</si>
  <si>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</si>
  <si>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</si>
  <si>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</si>
  <si>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</si>
  <si>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</si>
  <si>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</si>
  <si>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</si>
  <si>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</si>
  <si>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</si>
  <si>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</si>
  <si>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</si>
  <si>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</si>
  <si>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</si>
  <si>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</si>
  <si>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</si>
  <si>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</si>
  <si>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</si>
  <si>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</si>
  <si>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</si>
  <si>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</si>
  <si>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</si>
  <si>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</si>
  <si>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</si>
  <si>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</si>
  <si>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</si>
  <si>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</si>
  <si>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</si>
  <si>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</si>
  <si>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</si>
  <si>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</si>
  <si>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</si>
  <si>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</si>
  <si>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</si>
  <si>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</si>
  <si>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</si>
  <si>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</si>
  <si>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</si>
  <si>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</si>
  <si>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(255+255)</t>
  </si>
  <si>
    <t>LIMAX</t>
  </si>
  <si>
    <t>ARTISAN LABS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</si>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</sst>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3" fillId="5" borderId="8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PB510G66040GR</v>
      </c>
      <c r="C1" s="108"/>
      <c r="D1" s="109"/>
      <c r="E1" s="11" t="s">
        <v>57</v>
      </c>
      <c r="F1" s="62" t="s">
        <v>197</v>
      </c>
      <c r="G1" s="62"/>
      <c r="H1" s="63"/>
      <c r="I1" s="12" t="s">
        <v>181</v>
      </c>
      <c r="J1" s="119">
        <f ca="1">TODAY()</f>
        <v>45330</v>
      </c>
      <c r="K1" s="119"/>
      <c r="L1" s="120"/>
      <c r="M1" s="29"/>
      <c r="N1" s="11" t="s">
        <v>56</v>
      </c>
      <c r="O1" s="108" t="str">
        <f>B1</f>
        <v>PB510G66040GR</v>
      </c>
      <c r="P1" s="108"/>
      <c r="Q1" s="109"/>
      <c r="R1" s="11" t="s">
        <v>57</v>
      </c>
      <c r="S1" s="108" t="str">
        <f>F1</f>
        <v>ARTISAN LABS</v>
      </c>
      <c r="T1" s="108"/>
      <c r="U1" s="109"/>
      <c r="V1" s="11" t="s">
        <v>181</v>
      </c>
      <c r="W1" s="119">
        <f ca="1">J1</f>
        <v>45330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 t="s">
        <v>198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 t="str">
        <f>IF(F2="","",F2)</f>
        <v>SAMPLE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152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250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510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(255+255)</v>
      </c>
      <c r="F8" s="97"/>
      <c r="G8" s="13" t="s">
        <v>52</v>
      </c>
      <c r="H8" s="96">
        <f>(IF(V9&lt;30,"30",V9))</f>
        <v>40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49999999999999" customHeight="1" x14ac:dyDescent="0.9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/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510</v>
      </c>
      <c r="S9" s="18" t="s">
        <v>78</v>
      </c>
      <c r="T9" s="30">
        <v>660</v>
      </c>
      <c r="U9" s="18" t="s">
        <v>78</v>
      </c>
      <c r="V9" s="30">
        <v>40</v>
      </c>
      <c r="W9" s="17"/>
      <c r="X9" s="88" t="s">
        <v>195</v>
      </c>
      <c r="Y9" s="89"/>
    </row>
    <row r="10" spans="1:25" ht="20.149999999999999" customHeight="1" x14ac:dyDescent="0.8">
      <c r="A10" s="11" t="s">
        <v>51</v>
      </c>
      <c r="B10" s="62">
        <v>1</v>
      </c>
      <c r="C10" s="63"/>
      <c r="D10" s="47" t="s">
        <v>134</v>
      </c>
      <c r="E10" s="127">
        <f>IF(ISNUMBER(SEARCH("sheet",O8,1)),((R9*T9*H8/540000)*U7/2000*1.3),((R9*T9*H8/540000)*U7/1000*1.08))</f>
        <v>6.7320000000000002</v>
      </c>
      <c r="F10" s="128"/>
      <c r="G10" s="11" t="s">
        <v>53</v>
      </c>
      <c r="H10" s="131">
        <f>IF(ISNUMBER(SEARCH("sheet",O8,1)),(U7*T9/2000*1.08),(U7*T9/1000*1.08))</f>
        <v>178.20000000000002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6.7320000000000002</v>
      </c>
      <c r="F11" s="130"/>
      <c r="G11" s="11" t="s">
        <v>15</v>
      </c>
      <c r="H11" s="129">
        <f>H10/B10</f>
        <v>178.20000000000002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GREEN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GR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26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45359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45351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827F143-E334-4D7D-9196-D6C67C87CE1A}"/>
</file>

<file path=customXml/itemProps2.xml><?xml version="1.0" encoding="utf-8"?>
<ds:datastoreItem xmlns:ds="http://schemas.openxmlformats.org/officeDocument/2006/customXml" ds:itemID="{9385C08E-E848-4B2F-AFC2-DC900F7CE482}"/>
</file>

<file path=customXml/itemProps3.xml><?xml version="1.0" encoding="utf-8"?>
<ds:datastoreItem xmlns:ds="http://schemas.openxmlformats.org/officeDocument/2006/customXml" ds:itemID="{58597911-1497-4EBE-BE6C-036CD7F08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2024-02-08T02:53:03Z</cp:lastPrinted>
  <dcterms:created xsi:type="dcterms:W3CDTF">2019-11-27T23:28:06Z</dcterms:created>
  <dcterms:modified xsi:type="dcterms:W3CDTF">2024-02-08T02:55:54Z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