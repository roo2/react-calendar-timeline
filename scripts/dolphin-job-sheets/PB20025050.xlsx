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AE5BDB1-B1BD-4092-AD00-0ABFF1780AC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0" i="1" l="1"/>
  <c r="N3" i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R11" i="1" l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<sst xmlns="http://schemas.openxmlformats.org/spreadsheetml/2006/main" count="309" uniqueCount="204">
  <si>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</si>
  <si>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</si>
  <si>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</si>
  <si>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</si>
  <si>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</si>
  <si>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</si>
  <si>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</si>
  <si>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</si>
  <si>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</si>
  <si>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</si>
  <si>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</si>
  <si>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</si>
  <si>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</si>
  <si>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</si>
  <si>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</si>
  <si>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</si>
  <si>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</si>
  <si>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</si>
  <si>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</si>
  <si>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</si>
  <si>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</si>
  <si>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</si>
  <si>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</si>
  <si>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</si>
  <si>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</si>
  <si>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</si>
  <si>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</si>
  <si>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</si>
  <si>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</si>
  <si>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</si>
  <si>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</si>
  <si>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</si>
  <si>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</si>
  <si>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</si>
  <si>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</si>
  <si>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</si>
  <si>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</si>
  <si>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</si>
  <si>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</si>
  <si>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</si>
  <si>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</si>
  <si>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</si>
  <si>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</si>
  <si>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</si>
  <si>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</si>
  <si>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</si>
  <si>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</si>
  <si>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</si>
  <si>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</si>
  <si>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</si>
  <si>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</si>
  <si>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</si>
  <si>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</si>
  <si>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</si>
  <si>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</si>
  <si>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</si>
  <si>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</si>
  <si>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</si>
  <si>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</si>
  <si>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</si>
  <si>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</si>
  <si>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</si>
  <si>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</si>
  <si>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</si>
  <si>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</si>
  <si>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</si>
  <si>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</si>
  <si>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</si>
  <si>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</si>
  <si>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</si>
  <si>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</si>
  <si>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</si>
  <si>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</si>
  <si>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</si>
  <si>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</si>
  <si>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</si>
  <si>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</si>
  <si>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</si>
  <si>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</si>
  <si>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</si>
  <si>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</si>
  <si>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</si>
  <si>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</si>
  <si>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</si>
  <si>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</si>
  <si>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</si>
  <si>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</si>
  <si>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</si>
  <si>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</si>
  <si>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</si>
  <si>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</si>
  <si>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</si>
  <si>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</si>
  <si>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</si>
  <si>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</si>
  <si>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</si>
  <si>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</si>
  <si>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</si>
  <si>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</si>
  <si>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</si>
  <si>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</si>
  <si>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</si>
  <si>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</si>
  <si>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</si>
  <si>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</si>
  <si>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</si>
  <si>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</si>
  <si>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</si>
  <si>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</si>
  <si>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</si>
  <si>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</si>
  <si>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</si>
  <si>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</si>
  <si>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</si>
  <si>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</si>
  <si>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</si>
  <si>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</si>
  <si>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</si>
  <si>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</si>
  <si>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</si>
  <si>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</si>
  <si>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</si>
  <si>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</si>
  <si>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</si>
  <si>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</si>
  <si>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</si>
  <si>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</si>
  <si>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</si>
  <si>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</si>
  <si>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</si>
  <si>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</si>
  <si>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</si>
  <si>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</si>
  <si>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</si>
  <si>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</si>
  <si>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</si>
  <si>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</si>
  <si>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</si>
  <si>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</si>
  <si>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</si>
  <si>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</si>
  <si>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</si>
  <si>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</si>
  <si>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</si>
  <si>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</si>
  <si>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</si>
  <si>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</si>
  <si>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</si>
  <si>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</si>
  <si>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</si>
  <si>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</si>
  <si>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</si>
  <si>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</si>
  <si>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</si>
  <si>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</si>
  <si>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</si>
  <si>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</si>
  <si>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</si>
  <si>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</si>
  <si>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</si>
  <si>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</si>
  <si>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</si>
  <si>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</si>
  <si>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</si>
  <si>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</si>
  <si>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</si>
  <si>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</si>
  <si>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</si>
  <si>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</si>
  <si>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</si>
  <si>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</si>
  <si>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</si>
  <si>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</si>
  <si>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</si>
  <si>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</si>
  <si>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</si>
  <si>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</si>
  <si>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</si>
  <si>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</si>
  <si>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</si>
  <si>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</si>
  <si>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</si>
  <si>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</si>
  <si>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</si>
  <si>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</si>
  <si>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</si>
  <si>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</si>
  <si>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</si>
  <si>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</si>
  <si>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</si>
  <si>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</si>
  <si>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</si>
  <si>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</si>
  <si>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</si>
  <si>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</si>
  <si>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+5mm/-0mm</t>
  </si>
  <si>
    <t xml:space="preserve">LIMAX </t>
  </si>
  <si>
    <t xml:space="preserve">WIDTH AND LENGTH +5MM AND -0MM - MUST BE WITHIN TOLERANCE OR CUSTOMER WILL REJECT  </t>
  </si>
  <si>
    <t>PINK TINT</t>
  </si>
  <si>
    <t>ANTIBLOCK</t>
  </si>
  <si>
    <t>AB</t>
  </si>
  <si>
    <t>#1</t>
  </si>
  <si>
    <t>ANTISTATIC</t>
  </si>
  <si>
    <t>AUSSIE PET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</si>
</sst>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R10" sqref="R10:S10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10" t="str">
        <f>O9&amp;R9&amp;IF(X8="G","G","")&amp;IF(O8="Centrefold Roll","("&amp;E8&amp;")","")&amp;T9&amp;V9&amp;C22&amp;C23&amp;C24&amp;O11&amp;R11</f>
        <v>PB25030050ABAS</v>
      </c>
      <c r="C1" s="110"/>
      <c r="D1" s="111"/>
      <c r="E1" s="10" t="s">
        <v>57</v>
      </c>
      <c r="F1" s="62" t="s">
        <v>203</v>
      </c>
      <c r="G1" s="62"/>
      <c r="H1" s="63"/>
      <c r="I1" s="11" t="s">
        <v>181</v>
      </c>
      <c r="J1" s="121">
        <f ca="1">TODAY()</f>
        <v>45974</v>
      </c>
      <c r="K1" s="121"/>
      <c r="L1" s="122"/>
      <c r="M1" s="28"/>
      <c r="N1" s="10" t="s">
        <v>56</v>
      </c>
      <c r="O1" s="110" t="str">
        <f>B1</f>
        <v>PB25030050ABAS</v>
      </c>
      <c r="P1" s="110"/>
      <c r="Q1" s="111"/>
      <c r="R1" s="10" t="s">
        <v>57</v>
      </c>
      <c r="S1" s="110" t="str">
        <f>F1</f>
        <v>AUSSIE PET FOOD</v>
      </c>
      <c r="T1" s="110"/>
      <c r="U1" s="111"/>
      <c r="V1" s="10" t="s">
        <v>181</v>
      </c>
      <c r="W1" s="121">
        <f ca="1">J1</f>
        <v>45974</v>
      </c>
      <c r="X1" s="121"/>
      <c r="Y1" s="122"/>
    </row>
    <row r="2" spans="1:25" ht="20.149999999999999" customHeight="1" x14ac:dyDescent="0.8">
      <c r="A2" s="10" t="s">
        <v>100</v>
      </c>
      <c r="B2" s="110" t="str">
        <f>IF(U10="","",U10)</f>
        <v/>
      </c>
      <c r="C2" s="110"/>
      <c r="D2" s="111"/>
      <c r="E2" s="10" t="s">
        <v>58</v>
      </c>
      <c r="F2" s="62">
        <v>950660</v>
      </c>
      <c r="G2" s="62"/>
      <c r="H2" s="63"/>
      <c r="I2" s="10" t="s">
        <v>59</v>
      </c>
      <c r="J2" s="124">
        <v>45628</v>
      </c>
      <c r="K2" s="62"/>
      <c r="L2" s="63"/>
      <c r="M2" s="28"/>
      <c r="N2" s="10" t="s">
        <v>100</v>
      </c>
      <c r="O2" s="110" t="str">
        <f>IF(B2="","",B2)</f>
        <v/>
      </c>
      <c r="P2" s="110"/>
      <c r="Q2" s="111"/>
      <c r="R2" s="10" t="s">
        <v>58</v>
      </c>
      <c r="S2" s="110">
        <f>IF(F2="","",F2)</f>
        <v>950660</v>
      </c>
      <c r="T2" s="110"/>
      <c r="U2" s="111"/>
      <c r="V2" s="10" t="s">
        <v>59</v>
      </c>
      <c r="W2" s="123">
        <f>J2</f>
        <v>45628</v>
      </c>
      <c r="X2" s="110"/>
      <c r="Y2" s="111"/>
    </row>
    <row r="3" spans="1:25" ht="20.149999999999999" customHeight="1" x14ac:dyDescent="0.75">
      <c r="A3" s="112" t="s">
        <v>197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 t="str">
        <f>A3</f>
        <v xml:space="preserve">WIDTH AND LENGTH +5MM AND -0MM - MUST BE WITHIN TOLERANCE OR CUSTOMER WILL REJECT  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0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20</v>
      </c>
      <c r="P7" s="63"/>
      <c r="Q7" s="10" t="str">
        <f>IF(ISNUMBER(SEARCH("roll",O8,1)),"Per Roll","Per Carton")</f>
        <v>Per Carton</v>
      </c>
      <c r="R7" s="62">
        <v>2000</v>
      </c>
      <c r="S7" s="63"/>
      <c r="T7" s="10" t="str">
        <f>IF(ISNUMBER(SEARCH("bag",O8,1)),"Total Bags","Total Sheets")</f>
        <v>Total Bags</v>
      </c>
      <c r="U7" s="110">
        <f>R7*O7</f>
        <v>40000</v>
      </c>
      <c r="V7" s="111"/>
      <c r="W7" s="10" t="s">
        <v>102</v>
      </c>
      <c r="X7" s="62" t="s">
        <v>23</v>
      </c>
      <c r="Y7" s="63"/>
    </row>
    <row r="8" spans="1:25" ht="20.149999999999999" customHeight="1" x14ac:dyDescent="0.8">
      <c r="A8" s="12" t="s">
        <v>16</v>
      </c>
      <c r="B8" s="98">
        <f>R9</f>
        <v>250</v>
      </c>
      <c r="C8" s="99"/>
      <c r="D8" s="26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2" t="s">
        <v>52</v>
      </c>
      <c r="H8" s="98">
        <f>(IF(V9&lt;30,"30",V9))</f>
        <v>50</v>
      </c>
      <c r="I8" s="9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00" t="s">
        <v>164</v>
      </c>
      <c r="P8" s="101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15" t="s">
        <v>48</v>
      </c>
      <c r="B9" s="127" t="s">
        <v>195</v>
      </c>
      <c r="C9" s="128"/>
      <c r="D9" s="135" t="str">
        <f>IF(K10="Middle","RUN 2 UP",IF(AND(O8="Centrefold Roll",B8=380),"RUN 2 UP",""))</f>
        <v/>
      </c>
      <c r="E9" s="102"/>
      <c r="F9" s="103"/>
      <c r="G9" s="15" t="s">
        <v>48</v>
      </c>
      <c r="H9" s="127" t="s">
        <v>194</v>
      </c>
      <c r="I9" s="128"/>
      <c r="J9" s="10" t="s">
        <v>55</v>
      </c>
      <c r="K9" s="62" t="s">
        <v>30</v>
      </c>
      <c r="L9" s="63"/>
      <c r="M9" s="28"/>
      <c r="N9" s="16"/>
      <c r="O9" s="104" t="str">
        <f>IF(O8="Poly Bag","PB",IF(O8="Poly Bag Roll","PBR",IF(O8="Centrefold Roll","CFR",IF(O8="Sheet","S",IF(O8="Sheet Roll","SR")))))</f>
        <v>PB</v>
      </c>
      <c r="P9" s="105"/>
      <c r="Q9" s="16"/>
      <c r="R9" s="29">
        <v>250</v>
      </c>
      <c r="S9" s="17" t="s">
        <v>78</v>
      </c>
      <c r="T9" s="29">
        <v>300</v>
      </c>
      <c r="U9" s="17" t="s">
        <v>78</v>
      </c>
      <c r="V9" s="29">
        <v>50</v>
      </c>
      <c r="W9" s="16"/>
      <c r="X9" s="88"/>
      <c r="Y9" s="89"/>
    </row>
    <row r="10" spans="1:25" ht="20.149999999999999" customHeight="1" x14ac:dyDescent="0.8">
      <c r="A10" s="10" t="s">
        <v>51</v>
      </c>
      <c r="B10" s="62">
        <v>12</v>
      </c>
      <c r="C10" s="63"/>
      <c r="D10" s="46" t="s">
        <v>134</v>
      </c>
      <c r="E10" s="129">
        <f>IF(ISNUMBER(SEARCH("sheet",O8,1)),((R9*T9*H8/540000)*U7/2000*1.3),((R9*T9*H8/540000)*U7/1000*1.08))</f>
        <v>300.00000000000006</v>
      </c>
      <c r="F10" s="130"/>
      <c r="G10" s="10" t="s">
        <v>53</v>
      </c>
      <c r="H10" s="133">
        <f>IF(ISNUMBER(SEARCH("sheet",O8,1)),(U7*T9/2000*1.08),(U7*T9/1000*1.08))</f>
        <v>12960</v>
      </c>
      <c r="I10" s="134"/>
      <c r="J10" s="10" t="s">
        <v>41</v>
      </c>
      <c r="K10" s="62" t="s">
        <v>44</v>
      </c>
      <c r="L10" s="63"/>
      <c r="M10" s="28"/>
      <c r="N10" s="13" t="s">
        <v>141</v>
      </c>
      <c r="O10" s="100" t="s">
        <v>44</v>
      </c>
      <c r="P10" s="101"/>
      <c r="Q10" s="13" t="s">
        <v>50</v>
      </c>
      <c r="R10" s="96" t="str">
        <f>IF(K11="NONE","None",IF(K11="INLINE","Yes",IF(K11="OUT OF LINE","Yes")))</f>
        <v>None</v>
      </c>
      <c r="S10" s="96"/>
      <c r="T10" s="13" t="s">
        <v>100</v>
      </c>
      <c r="U10" s="106"/>
      <c r="V10" s="106"/>
      <c r="W10" s="106"/>
      <c r="X10" s="106"/>
      <c r="Y10" s="107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31">
        <f>E10/B10</f>
        <v>25.000000000000004</v>
      </c>
      <c r="F11" s="132"/>
      <c r="G11" s="10" t="s">
        <v>15</v>
      </c>
      <c r="H11" s="131">
        <f>H10/B10</f>
        <v>1080</v>
      </c>
      <c r="I11" s="132"/>
      <c r="J11" s="10" t="s">
        <v>50</v>
      </c>
      <c r="K11" s="62" t="s">
        <v>44</v>
      </c>
      <c r="L11" s="63"/>
      <c r="M11" s="28"/>
      <c r="N11" s="12"/>
      <c r="O11" s="98" t="str">
        <f>IF(O10="NONE","","V")</f>
        <v/>
      </c>
      <c r="P11" s="99"/>
      <c r="Q11" s="12"/>
      <c r="R11" s="98" t="str">
        <f>IF(R10="None","","P")</f>
        <v/>
      </c>
      <c r="S11" s="99"/>
      <c r="T11" s="12"/>
      <c r="U11" s="108"/>
      <c r="V11" s="108"/>
      <c r="W11" s="108"/>
      <c r="X11" s="108"/>
      <c r="Y11" s="109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20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9" t="s">
        <v>4</v>
      </c>
      <c r="F16" s="139"/>
      <c r="G16" s="139" t="s">
        <v>5</v>
      </c>
      <c r="H16" s="139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 t="s">
        <v>168</v>
      </c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4" t="s">
        <v>147</v>
      </c>
      <c r="D17" s="95"/>
      <c r="E17" s="91"/>
      <c r="F17" s="65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4" t="s">
        <v>146</v>
      </c>
      <c r="D18" s="95"/>
      <c r="E18" s="91"/>
      <c r="F18" s="65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4" t="s">
        <v>145</v>
      </c>
      <c r="D19" s="95"/>
      <c r="E19" s="91"/>
      <c r="F19" s="65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4" t="s">
        <v>144</v>
      </c>
      <c r="D20" s="95"/>
      <c r="E20" s="91"/>
      <c r="F20" s="65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4" t="s">
        <v>143</v>
      </c>
      <c r="D21" s="95"/>
      <c r="E21" s="91"/>
      <c r="F21" s="65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91"/>
      <c r="F22" s="65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0" t="s">
        <v>199</v>
      </c>
      <c r="B23" s="140"/>
      <c r="C23" s="94" t="s">
        <v>200</v>
      </c>
      <c r="D23" s="95"/>
      <c r="E23" s="90"/>
      <c r="F23" s="65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1" t="s">
        <v>202</v>
      </c>
      <c r="B24" s="142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5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196</v>
      </c>
      <c r="P25" s="33"/>
      <c r="Q25" s="9">
        <v>28</v>
      </c>
      <c r="R25" s="9"/>
      <c r="S25" s="9"/>
      <c r="T25" s="9"/>
      <c r="U25" s="9"/>
      <c r="V25" s="9"/>
      <c r="W25" s="9">
        <v>16</v>
      </c>
      <c r="X25" s="9">
        <v>12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3" t="s">
        <v>132</v>
      </c>
      <c r="H26" s="93"/>
      <c r="I26" s="93" t="s">
        <v>131</v>
      </c>
      <c r="J26" s="93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1" t="s">
        <v>96</v>
      </c>
      <c r="B27" s="7" t="s">
        <v>201</v>
      </c>
      <c r="C27" s="7"/>
      <c r="D27" s="9">
        <v>60</v>
      </c>
      <c r="E27" s="58">
        <v>3.2</v>
      </c>
      <c r="F27" s="7"/>
      <c r="G27" s="92"/>
      <c r="H27" s="92"/>
      <c r="I27" s="92"/>
      <c r="J27" s="92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92"/>
      <c r="H28" s="92"/>
      <c r="I28" s="92"/>
      <c r="J28" s="92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136" t="s">
        <v>136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Sheet2!$N$24:$N$29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16" zoomScaleNormal="100" workbookViewId="0">
      <selection activeCell="B27" sqref="B27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46004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45995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198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175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187</v>
      </c>
      <c r="O28" s="1"/>
      <c r="P28" s="1"/>
      <c r="Q28" s="1"/>
      <c r="R28" s="1"/>
      <c r="S28" s="1"/>
      <c r="T28" s="1"/>
      <c r="V28" s="1"/>
      <c r="W28" s="2"/>
    </row>
    <row r="29" spans="1:23" x14ac:dyDescent="0.75">
      <c r="A29" s="54" t="s">
        <v>184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 t="s">
        <v>140</v>
      </c>
      <c r="U29" s="1"/>
      <c r="V29" s="1"/>
    </row>
    <row r="30" spans="1:23" x14ac:dyDescent="0.75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3"/>
      <c r="U30" s="1"/>
      <c r="V30" s="1"/>
    </row>
    <row r="31" spans="1:23" x14ac:dyDescent="0.75">
      <c r="A31" s="56" t="s">
        <v>46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6" t="s">
        <v>28</v>
      </c>
      <c r="U31" s="1"/>
      <c r="V31" s="1"/>
    </row>
    <row r="32" spans="1:23" x14ac:dyDescent="0.75">
      <c r="A32" s="5" t="s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 t="s">
        <v>168</v>
      </c>
      <c r="U32" s="1"/>
      <c r="V32" s="1"/>
    </row>
    <row r="33" spans="1:22" x14ac:dyDescent="0.75">
      <c r="A33" s="5" t="s">
        <v>34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110</v>
      </c>
      <c r="U33" s="1"/>
      <c r="V33" s="1"/>
    </row>
    <row r="34" spans="1:22" x14ac:dyDescent="0.75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130</v>
      </c>
      <c r="U34" s="1"/>
      <c r="V34" s="1"/>
    </row>
    <row r="35" spans="1:22" x14ac:dyDescent="0.75">
      <c r="A35" s="56" t="s">
        <v>47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150</v>
      </c>
      <c r="U35" s="1"/>
      <c r="V35" s="1"/>
    </row>
    <row r="36" spans="1:22" x14ac:dyDescent="0.75">
      <c r="A36" s="5" t="s">
        <v>44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>
        <v>180</v>
      </c>
      <c r="U36" s="1"/>
      <c r="V36" s="1"/>
    </row>
    <row r="37" spans="1:22" x14ac:dyDescent="0.75">
      <c r="A37" s="5" t="s">
        <v>42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169</v>
      </c>
      <c r="U37" s="1"/>
      <c r="V37" s="1"/>
    </row>
    <row r="38" spans="1:22" x14ac:dyDescent="0.75">
      <c r="A38" s="5" t="s">
        <v>43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170</v>
      </c>
      <c r="U38" s="1"/>
      <c r="V38" s="1"/>
    </row>
    <row r="39" spans="1:22" x14ac:dyDescent="0.75">
      <c r="A39" s="5" t="s">
        <v>45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 t="s">
        <v>38</v>
      </c>
      <c r="U39" s="1"/>
      <c r="V39" s="1"/>
    </row>
    <row r="40" spans="1:22" x14ac:dyDescent="0.75">
      <c r="A40" s="20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</row>
    <row r="41" spans="1:22" x14ac:dyDescent="0.75">
      <c r="A41" s="56" t="s">
        <v>63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6" t="s">
        <v>26</v>
      </c>
    </row>
    <row r="42" spans="1:22" x14ac:dyDescent="0.75">
      <c r="A42" s="5" t="s">
        <v>44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35</v>
      </c>
    </row>
    <row r="43" spans="1:22" x14ac:dyDescent="0.75">
      <c r="A43" s="5" t="s">
        <v>65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37</v>
      </c>
    </row>
    <row r="44" spans="1:22" x14ac:dyDescent="0.75">
      <c r="A44" s="5" t="s">
        <v>64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 t="s">
        <v>171</v>
      </c>
    </row>
    <row r="45" spans="1:22" x14ac:dyDescent="0.7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"/>
    </row>
    <row r="46" spans="1:22" x14ac:dyDescent="0.75">
      <c r="A46" s="56" t="s">
        <v>68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6" t="s">
        <v>101</v>
      </c>
    </row>
    <row r="47" spans="1:22" x14ac:dyDescent="0.75">
      <c r="A47" s="5" t="s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38</v>
      </c>
    </row>
    <row r="48" spans="1:22" x14ac:dyDescent="0.75">
      <c r="A48" s="5" t="s">
        <v>70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32</v>
      </c>
    </row>
    <row r="49" spans="1:20" x14ac:dyDescent="0.75">
      <c r="A49" s="5" t="s">
        <v>69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172</v>
      </c>
    </row>
    <row r="50" spans="1:20" x14ac:dyDescent="0.75">
      <c r="A50" s="20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183</v>
      </c>
    </row>
    <row r="51" spans="1:20" x14ac:dyDescent="0.75">
      <c r="A51" s="56" t="s">
        <v>61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" t="s">
        <v>185</v>
      </c>
    </row>
    <row r="52" spans="1:20" x14ac:dyDescent="0.75">
      <c r="A52" s="5" t="s">
        <v>44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20" x14ac:dyDescent="0.75">
      <c r="A53" s="5" t="s">
        <v>66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5" t="s">
        <v>173</v>
      </c>
    </row>
    <row r="54" spans="1:20" x14ac:dyDescent="0.75">
      <c r="A54" s="5" t="s">
        <v>67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31</v>
      </c>
    </row>
    <row r="55" spans="1:20" x14ac:dyDescent="0.75">
      <c r="A55" s="20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20" t="s">
        <v>23</v>
      </c>
    </row>
    <row r="56" spans="1:20" x14ac:dyDescent="0.75">
      <c r="A56" s="55" t="s">
        <v>62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</row>
    <row r="57" spans="1:20" x14ac:dyDescent="0.75">
      <c r="A57" s="20" t="s">
        <v>44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6" t="s">
        <v>27</v>
      </c>
    </row>
    <row r="58" spans="1:20" x14ac:dyDescent="0.75">
      <c r="A58" s="53" t="s">
        <v>177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36</v>
      </c>
      <c r="O58" s="1"/>
      <c r="P58" s="1"/>
      <c r="Q58" s="1"/>
      <c r="R58" s="1"/>
      <c r="S58" s="1"/>
      <c r="T58" s="1"/>
    </row>
    <row r="59" spans="1:20" x14ac:dyDescent="0.75">
      <c r="A59" s="54" t="s">
        <v>155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20" t="s">
        <v>33</v>
      </c>
    </row>
    <row r="60" spans="1:20" x14ac:dyDescent="0.75">
      <c r="A60" s="54" t="s">
        <v>148</v>
      </c>
    </row>
    <row r="61" spans="1:20" x14ac:dyDescent="0.75">
      <c r="A61" s="54" t="s">
        <v>149</v>
      </c>
      <c r="O61" s="1"/>
      <c r="Q61" s="1"/>
      <c r="R61" s="3"/>
      <c r="S61" s="1"/>
    </row>
    <row r="62" spans="1:20" x14ac:dyDescent="0.75">
      <c r="A62" s="54" t="s">
        <v>150</v>
      </c>
      <c r="O62" s="1"/>
      <c r="Q62" s="1"/>
      <c r="R62" s="1"/>
      <c r="S62" s="1"/>
    </row>
    <row r="63" spans="1:20" x14ac:dyDescent="0.75">
      <c r="A63" s="54" t="s">
        <v>151</v>
      </c>
      <c r="O63" s="1"/>
      <c r="Q63" s="1"/>
      <c r="R63" s="1"/>
      <c r="S63" s="1"/>
    </row>
    <row r="64" spans="1:20" x14ac:dyDescent="0.75">
      <c r="A64" s="54" t="s">
        <v>152</v>
      </c>
      <c r="O64" s="1"/>
      <c r="Q64" s="1"/>
      <c r="R64" s="1"/>
      <c r="S64" s="1"/>
      <c r="T64" s="1"/>
    </row>
    <row r="65" spans="1:20" x14ac:dyDescent="0.75">
      <c r="A65" s="54" t="s">
        <v>153</v>
      </c>
      <c r="O65" s="1"/>
      <c r="Q65" s="1"/>
      <c r="R65" s="1"/>
      <c r="S65" s="1"/>
      <c r="T65" s="1"/>
    </row>
    <row r="66" spans="1:20" x14ac:dyDescent="0.75">
      <c r="A66" s="54" t="s">
        <v>174</v>
      </c>
      <c r="N66" s="3"/>
      <c r="O66" s="1"/>
      <c r="P66" s="1"/>
      <c r="Q66" s="1"/>
      <c r="R66" s="1"/>
      <c r="S66" s="1"/>
      <c r="T66" s="1"/>
    </row>
    <row r="67" spans="1:20" x14ac:dyDescent="0.75">
      <c r="A67" s="54" t="s">
        <v>154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  <c r="O69" s="1"/>
      <c r="P69" s="1"/>
      <c r="Q69" s="1"/>
      <c r="R69" s="1"/>
      <c r="S69" s="1"/>
      <c r="T69" s="1"/>
    </row>
    <row r="70" spans="1:20" x14ac:dyDescent="0.7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6B6EA88-44D2-4939-9683-396368F5C557}"/>
</file>

<file path=customXml/itemProps2.xml><?xml version="1.0" encoding="utf-8"?>
<ds:datastoreItem xmlns:ds="http://schemas.openxmlformats.org/officeDocument/2006/customXml" ds:itemID="{94ED5696-B8C3-491C-9119-3FACFBF75C69}"/>
</file>

<file path=customXml/itemProps3.xml><?xml version="1.0" encoding="utf-8"?>
<ds:datastoreItem xmlns:ds="http://schemas.openxmlformats.org/officeDocument/2006/customXml" ds:itemID="{D4A1BB8A-2B89-4B3E-8798-1D614262A5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2025-11-13T02:46:51Z</cp:lastPrinted>
  <dcterms:created xsi:type="dcterms:W3CDTF">2019-11-27T23:28:06Z</dcterms:created>
  <dcterms:modified xsi:type="dcterms:W3CDTF">2025-11-13T02:49:54Z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