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0B2794B-8F3E-44E9-AD90-453158E31E6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N3" i="1" l="1"/>
  <c r="D8" i="1" l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<sst xmlns="http://schemas.openxmlformats.org/spreadsheetml/2006/main" count="302" uniqueCount="199">
  <si>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</si>
  <si>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</si>
  <si>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</si>
  <si>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</si>
  <si>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</si>
  <si>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</si>
  <si>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</si>
  <si>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</si>
  <si>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</si>
  <si>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</si>
  <si>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</si>
  <si>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</si>
  <si>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</si>
  <si>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</si>
  <si>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</si>
  <si>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</si>
  <si>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</si>
  <si>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</si>
  <si>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</si>
  <si>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</si>
  <si>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</si>
  <si>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</si>
  <si>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</si>
  <si>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</si>
  <si>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</si>
  <si>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</si>
  <si>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</si>
  <si>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</si>
  <si>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</si>
  <si>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</si>
  <si>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</si>
  <si>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</si>
  <si>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</si>
  <si>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</si>
  <si>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</si>
  <si>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</si>
  <si>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</si>
  <si>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</si>
  <si>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</si>
  <si>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</si>
  <si>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</si>
  <si>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</si>
  <si>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</si>
  <si>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</si>
  <si>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</si>
  <si>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</si>
  <si>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</si>
  <si>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</si>
  <si>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</si>
  <si>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</si>
  <si>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</si>
  <si>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</si>
  <si>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</si>
  <si>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</si>
  <si>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</si>
  <si>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</si>
  <si>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</si>
  <si>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</si>
  <si>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</si>
  <si>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</si>
  <si>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</si>
  <si>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</si>
  <si>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</si>
  <si>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</si>
  <si>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</si>
  <si>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</si>
  <si>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</si>
  <si>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</si>
  <si>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</si>
  <si>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</si>
  <si>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</si>
  <si>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</si>
  <si>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</si>
  <si>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</si>
  <si>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</si>
  <si>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</si>
  <si>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</si>
  <si>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</si>
  <si>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</si>
  <si>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</si>
  <si>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</si>
  <si>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</si>
  <si>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</si>
  <si>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</si>
  <si>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</si>
  <si>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</si>
  <si>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</si>
  <si>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</si>
  <si>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</si>
  <si>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</si>
  <si>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</si>
  <si>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</si>
  <si>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</si>
  <si>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</si>
  <si>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</si>
  <si>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</si>
  <si>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</si>
  <si>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</si>
  <si>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</si>
  <si>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</si>
  <si>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</si>
  <si>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</si>
  <si>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</si>
  <si>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</si>
  <si>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</si>
  <si>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</si>
  <si>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</si>
  <si>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</si>
  <si>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</si>
  <si>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</si>
  <si>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</si>
  <si>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</si>
  <si>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</si>
  <si>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</si>
  <si>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</si>
  <si>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</si>
  <si>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</si>
  <si>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</si>
  <si>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</si>
  <si>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</si>
  <si>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</si>
  <si>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</si>
  <si>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</si>
  <si>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</si>
  <si>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</si>
  <si>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</si>
  <si>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</si>
  <si>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</si>
  <si>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</si>
  <si>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</si>
  <si>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</si>
  <si>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</si>
  <si>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</si>
  <si>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</si>
  <si>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</si>
  <si>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</si>
  <si>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</si>
  <si>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</si>
  <si>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</si>
  <si>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</si>
  <si>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</si>
  <si>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</si>
  <si>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</si>
  <si>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</si>
  <si>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</si>
  <si>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</si>
  <si>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</si>
  <si>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</si>
  <si>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</si>
  <si>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</si>
  <si>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</si>
  <si>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</si>
  <si>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</si>
  <si>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</si>
  <si>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</si>
  <si>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</si>
  <si>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</si>
  <si>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</si>
  <si>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</si>
  <si>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</si>
  <si>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</si>
  <si>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</si>
  <si>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</si>
  <si>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</si>
  <si>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</si>
  <si>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</si>
  <si>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</si>
  <si>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</si>
  <si>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</si>
  <si>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</si>
  <si>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</si>
  <si>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</si>
  <si>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</si>
  <si>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</si>
  <si>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</si>
  <si>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</si>
  <si>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</si>
  <si>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</si>
  <si>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</si>
  <si>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</si>
  <si>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</si>
  <si>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</si>
  <si>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</si>
  <si>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</si>
  <si>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</si>
  <si>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</si>
  <si>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</si>
  <si>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</si>
  <si>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</si>
  <si>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</si>
  <si>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</si>
  <si>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</si>
  <si>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</si>
  <si>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</si>
  <si>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</si>
  <si>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r>
      <t xml:space="preserve">PERF INLINE - </t>
    </r>
    <r>
      <rPr>
        <b/>
        <sz val="18"/>
        <color rgb="FFFF0000"/>
        <rFont val="Calibri"/>
        <family val="2"/>
        <scheme val="minor"/>
      </rPr>
      <t>MUST HAVE WATER TIGHT SEALS</t>
    </r>
  </si>
  <si>
    <t>NOT UNDER</t>
  </si>
  <si>
    <t>LIVE CORAL</t>
  </si>
  <si>
    <t>(570+380)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</si>
</sst>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PBR950G1000100</v>
      </c>
      <c r="C1" s="95"/>
      <c r="D1" s="96"/>
      <c r="E1" s="16" t="s">
        <v>56</v>
      </c>
      <c r="F1" s="61" t="s">
        <v>197</v>
      </c>
      <c r="G1" s="61"/>
      <c r="H1" s="62"/>
      <c r="I1" s="16" t="s">
        <v>180</v>
      </c>
      <c r="J1" s="106">
        <f ca="1">TODAY()</f>
        <v>45804</v>
      </c>
      <c r="K1" s="106"/>
      <c r="L1" s="107"/>
      <c r="M1" s="30"/>
      <c r="N1" s="16" t="s">
        <v>55</v>
      </c>
      <c r="O1" s="95" t="str">
        <f>B1</f>
        <v>PBR950G1000100</v>
      </c>
      <c r="P1" s="95"/>
      <c r="Q1" s="96"/>
      <c r="R1" s="16" t="s">
        <v>56</v>
      </c>
      <c r="S1" s="95" t="str">
        <f>F1</f>
        <v>LIVE CORAL</v>
      </c>
      <c r="T1" s="95"/>
      <c r="U1" s="96"/>
      <c r="V1" s="16" t="s">
        <v>180</v>
      </c>
      <c r="W1" s="106">
        <f ca="1">J1</f>
        <v>45804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950020</v>
      </c>
      <c r="G2" s="61"/>
      <c r="H2" s="62"/>
      <c r="I2" s="16" t="s">
        <v>58</v>
      </c>
      <c r="J2" s="116" t="s">
        <v>192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950020</v>
      </c>
      <c r="T2" s="95"/>
      <c r="U2" s="96"/>
      <c r="V2" s="16" t="s">
        <v>58</v>
      </c>
      <c r="W2" s="108" t="str">
        <f>J2</f>
        <v>ASAP</v>
      </c>
      <c r="X2" s="95"/>
      <c r="Y2" s="96"/>
    </row>
    <row r="3" spans="1:25" ht="20.149999999999999" customHeight="1" x14ac:dyDescent="0.75">
      <c r="A3" s="97" t="s">
        <v>195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MUST HAVE WATER TIGHT SEALS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22</v>
      </c>
      <c r="P7" s="62"/>
      <c r="Q7" s="16" t="str">
        <f>IF(ISNUMBER(SEARCH("roll",O8,1)),"Per Roll","Per Carton")</f>
        <v>Per Roll</v>
      </c>
      <c r="R7" s="61">
        <v>100</v>
      </c>
      <c r="S7" s="62"/>
      <c r="T7" s="16" t="str">
        <f>IF(ISNUMBER(SEARCH("bag",O8,1)),"Total Bags","Total Sheets")</f>
        <v>Total Bags</v>
      </c>
      <c r="U7" s="95">
        <f>R7*O7</f>
        <v>2200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4">
        <f>R9</f>
        <v>950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(570+380)</v>
      </c>
      <c r="F8" s="115"/>
      <c r="G8" s="17" t="s">
        <v>51</v>
      </c>
      <c r="H8" s="114">
        <f>(IF(V9&lt;30,"30",V9))</f>
        <v>100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21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196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950</v>
      </c>
      <c r="S9" s="23" t="s">
        <v>77</v>
      </c>
      <c r="T9" s="31">
        <v>1000</v>
      </c>
      <c r="U9" s="23" t="s">
        <v>77</v>
      </c>
      <c r="V9" s="31">
        <v>100</v>
      </c>
      <c r="W9" s="22"/>
      <c r="X9" s="121" t="s">
        <v>198</v>
      </c>
      <c r="Y9" s="122"/>
    </row>
    <row r="10" spans="1:25" ht="20.149999999999999" customHeight="1" x14ac:dyDescent="0.8">
      <c r="A10" s="16" t="s">
        <v>50</v>
      </c>
      <c r="B10" s="61">
        <v>22</v>
      </c>
      <c r="C10" s="62"/>
      <c r="D10" s="49" t="s">
        <v>133</v>
      </c>
      <c r="E10" s="131">
        <f>IF(ISNUMBER(SEARCH("sheet",O8,1)),((R9*T9*H8/540000)*U7/2000*1.3),((R9*T9*H8/540000)*U7/1000*1.08))</f>
        <v>418</v>
      </c>
      <c r="F10" s="132"/>
      <c r="G10" s="16" t="s">
        <v>52</v>
      </c>
      <c r="H10" s="135">
        <f>IF(ISNUMBER(SEARCH("sheet",O8,1)),(U7*T9/2000*1.08),(U7*T9/1000*1.08))</f>
        <v>2376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19</v>
      </c>
      <c r="F11" s="134"/>
      <c r="G11" s="16" t="s">
        <v>14</v>
      </c>
      <c r="H11" s="133">
        <f>H10/B10</f>
        <v>108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22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/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45835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45825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7C24857-57B5-4782-9AB9-F3374962AE81}"/>
</file>

<file path=customXml/itemProps2.xml><?xml version="1.0" encoding="utf-8"?>
<ds:datastoreItem xmlns:ds="http://schemas.openxmlformats.org/officeDocument/2006/customXml" ds:itemID="{F2688ABA-B754-472D-A672-5BF7397B109C}"/>
</file>

<file path=customXml/itemProps3.xml><?xml version="1.0" encoding="utf-8"?>
<ds:datastoreItem xmlns:ds="http://schemas.openxmlformats.org/officeDocument/2006/customXml" ds:itemID="{E0B24A50-851E-4837-9435-7524205FB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2025-05-27T00:59:41Z</cp:lastPrinted>
  <dcterms:created xsi:type="dcterms:W3CDTF">2019-11-27T23:28:06Z</dcterms:created>
  <dcterms:modified xsi:type="dcterms:W3CDTF">2025-06-01T23:36:12Z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