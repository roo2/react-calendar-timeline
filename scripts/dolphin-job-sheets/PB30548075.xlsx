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97959B9-CB0E-45B8-BB4A-B21DC55DD9D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<sst xmlns="http://schemas.openxmlformats.org/spreadsheetml/2006/main" count="306" uniqueCount="202">
  <si>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</si>
  <si>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</si>
  <si>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</si>
  <si>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</si>
  <si>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</si>
  <si>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</si>
  <si>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</si>
  <si>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</si>
  <si>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</si>
  <si>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</si>
  <si>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</si>
  <si>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</si>
  <si>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</si>
  <si>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</si>
  <si>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</si>
  <si>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</si>
  <si>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</si>
  <si>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</si>
  <si>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</si>
  <si>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</si>
  <si>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</si>
  <si>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</si>
  <si>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</si>
  <si>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</si>
  <si>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</si>
  <si>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</si>
  <si>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</si>
  <si>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</si>
  <si>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</si>
  <si>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</si>
  <si>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</si>
  <si>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</si>
  <si>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</si>
  <si>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</si>
  <si>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</si>
  <si>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</si>
  <si>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</si>
  <si>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</si>
  <si>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</si>
  <si>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</si>
  <si>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</si>
  <si>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</si>
  <si>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</si>
  <si>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</si>
  <si>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</si>
  <si>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</si>
  <si>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</si>
  <si>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</si>
  <si>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</si>
  <si>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</si>
  <si>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</si>
  <si>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</si>
  <si>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</si>
  <si>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</si>
  <si>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</si>
  <si>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</si>
  <si>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</si>
  <si>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</si>
  <si>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</si>
  <si>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</si>
  <si>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</si>
  <si>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</si>
  <si>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</si>
  <si>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</si>
  <si>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</si>
  <si>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</si>
  <si>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</si>
  <si>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</si>
  <si>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</si>
  <si>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</si>
  <si>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</si>
  <si>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</si>
  <si>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</si>
  <si>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</si>
  <si>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</si>
  <si>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</si>
  <si>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</si>
  <si>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</si>
  <si>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</si>
  <si>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</si>
  <si>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</si>
  <si>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</si>
  <si>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</si>
  <si>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</si>
  <si>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</si>
  <si>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</si>
  <si>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</si>
  <si>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</si>
  <si>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</si>
  <si>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</si>
  <si>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</si>
  <si>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</si>
  <si>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</si>
  <si>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</si>
  <si>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</si>
  <si>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</si>
  <si>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</si>
  <si>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</si>
  <si>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</si>
  <si>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</si>
  <si>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</si>
  <si>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</si>
  <si>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</si>
  <si>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</si>
  <si>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</si>
  <si>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</si>
  <si>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</si>
  <si>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</si>
  <si>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</si>
  <si>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</si>
  <si>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</si>
  <si>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</si>
  <si>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</si>
  <si>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</si>
  <si>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</si>
  <si>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</si>
  <si>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</si>
  <si>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</si>
  <si>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</si>
  <si>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</si>
  <si>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</si>
  <si>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</si>
  <si>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</si>
  <si>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</si>
  <si>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</si>
  <si>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</si>
  <si>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</si>
  <si>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</si>
  <si>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</si>
  <si>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</si>
  <si>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</si>
  <si>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</si>
  <si>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</si>
  <si>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</si>
  <si>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</si>
  <si>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</si>
  <si>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</si>
  <si>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</si>
  <si>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</si>
  <si>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</si>
  <si>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</si>
  <si>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</si>
  <si>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</si>
  <si>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</si>
  <si>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</si>
  <si>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</si>
  <si>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</si>
  <si>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</si>
  <si>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</si>
  <si>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</si>
  <si>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</si>
  <si>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</si>
  <si>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</si>
  <si>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</si>
  <si>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</si>
  <si>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</si>
  <si>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</si>
  <si>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</si>
  <si>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</si>
  <si>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</si>
  <si>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</si>
  <si>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</si>
  <si>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</si>
  <si>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</si>
  <si>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</si>
  <si>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</si>
  <si>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</si>
  <si>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</si>
  <si>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</si>
  <si>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</si>
  <si>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</si>
  <si>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</si>
  <si>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</si>
  <si>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</si>
  <si>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</si>
  <si>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</si>
  <si>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</si>
  <si>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</si>
  <si>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</si>
  <si>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</si>
  <si>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</si>
  <si>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</si>
  <si>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</si>
  <si>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</si>
  <si>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</si>
  <si>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</si>
  <si>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</si>
  <si>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</si>
  <si>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</si>
  <si>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</si>
  <si>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</si>
  <si>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</si>
  <si>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</si>
  <si>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</si>
  <si>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</si>
  <si>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LIMAX/ORION1  </t>
  </si>
  <si>
    <t>24/24</t>
  </si>
  <si>
    <t>17/210</t>
  </si>
  <si>
    <t>12/210</t>
  </si>
  <si>
    <t>CALOUNDRA PRODUCE</t>
  </si>
  <si>
    <t>NOT OVER</t>
  </si>
  <si>
    <t>30.04.2023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</si>
</sst>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5" sqref="AC1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PB30548075</v>
      </c>
      <c r="C1" s="111"/>
      <c r="D1" s="112"/>
      <c r="E1" s="11" t="s">
        <v>57</v>
      </c>
      <c r="F1" s="87" t="s">
        <v>199</v>
      </c>
      <c r="G1" s="87"/>
      <c r="H1" s="88"/>
      <c r="I1" s="12" t="s">
        <v>181</v>
      </c>
      <c r="J1" s="84">
        <f ca="1">TODAY()</f>
        <v>45005</v>
      </c>
      <c r="K1" s="84"/>
      <c r="L1" s="85"/>
      <c r="M1" s="29"/>
      <c r="N1" s="11" t="s">
        <v>56</v>
      </c>
      <c r="O1" s="111" t="str">
        <f>B1</f>
        <v>PB30548075</v>
      </c>
      <c r="P1" s="111"/>
      <c r="Q1" s="112"/>
      <c r="R1" s="11" t="s">
        <v>57</v>
      </c>
      <c r="S1" s="111" t="str">
        <f>F1</f>
        <v>CALOUNDRA PRODUCE</v>
      </c>
      <c r="T1" s="111"/>
      <c r="U1" s="112"/>
      <c r="V1" s="11" t="s">
        <v>181</v>
      </c>
      <c r="W1" s="84">
        <f ca="1">J1</f>
        <v>45005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945355</v>
      </c>
      <c r="G2" s="87"/>
      <c r="H2" s="88"/>
      <c r="I2" s="11" t="s">
        <v>59</v>
      </c>
      <c r="J2" s="86" t="s">
        <v>201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945355</v>
      </c>
      <c r="T2" s="111"/>
      <c r="U2" s="112"/>
      <c r="V2" s="11" t="s">
        <v>59</v>
      </c>
      <c r="W2" s="122" t="str">
        <f>J2</f>
        <v>30.04.2023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8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4000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305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200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305</v>
      </c>
      <c r="S9" s="18" t="s">
        <v>78</v>
      </c>
      <c r="T9" s="30">
        <v>480</v>
      </c>
      <c r="U9" s="18" t="s">
        <v>78</v>
      </c>
      <c r="V9" s="30">
        <v>75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87.84</v>
      </c>
      <c r="F10" s="102"/>
      <c r="G10" s="11" t="s">
        <v>53</v>
      </c>
      <c r="H10" s="105">
        <f>IF(ISNUMBER(SEARCH("sheet",O8,1)),(U7*T9/2000*1.08),(U7*T9/1000*1.08))</f>
        <v>2073.6000000000004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21.96</v>
      </c>
      <c r="F11" s="104"/>
      <c r="G11" s="11" t="s">
        <v>15</v>
      </c>
      <c r="H11" s="103">
        <f>H10/B10</f>
        <v>518.40000000000009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 t="s">
        <v>196</v>
      </c>
      <c r="R25" s="10"/>
      <c r="S25" s="10"/>
      <c r="T25" s="10"/>
      <c r="U25" s="10"/>
      <c r="V25" s="10"/>
      <c r="W25" s="10" t="s">
        <v>197</v>
      </c>
      <c r="X25" s="10" t="s">
        <v>198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45036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45026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8F241FA-2ADC-4A10-853E-2D0FA9BADF4F}"/>
</file>

<file path=customXml/itemProps2.xml><?xml version="1.0" encoding="utf-8"?>
<ds:datastoreItem xmlns:ds="http://schemas.openxmlformats.org/officeDocument/2006/customXml" ds:itemID="{7CD0E9C4-E406-4549-9A05-B9882F5D0475}"/>
</file>

<file path=customXml/itemProps3.xml><?xml version="1.0" encoding="utf-8"?>
<ds:datastoreItem xmlns:ds="http://schemas.openxmlformats.org/officeDocument/2006/customXml" ds:itemID="{052E706D-A88D-4B46-8708-5F8A04EE76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2023-03-20T00:45:04Z</cp:lastPrinted>
  <dcterms:created xsi:type="dcterms:W3CDTF">2019-11-27T23:28:06Z</dcterms:created>
  <dcterms:modified xsi:type="dcterms:W3CDTF">2023-03-20T04:35:40Z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