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10E3E90-4484-4167-9C35-B8A5DC4E63D5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<sst xmlns="http://schemas.openxmlformats.org/spreadsheetml/2006/main" count="306" uniqueCount="200">
  <si>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</si>
  <si>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</si>
  <si>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</si>
  <si>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</si>
  <si>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</si>
  <si>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</si>
  <si>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</si>
  <si>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</si>
  <si>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</si>
  <si>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</si>
  <si>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</si>
  <si>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</si>
  <si>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</si>
  <si>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</si>
  <si>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</si>
  <si>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</si>
  <si>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</si>
  <si>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</si>
  <si>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</si>
  <si>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</si>
  <si>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</si>
  <si>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</si>
  <si>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</si>
  <si>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</si>
  <si>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</si>
  <si>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</si>
  <si>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</si>
  <si>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</si>
  <si>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</si>
  <si>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</si>
  <si>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</si>
  <si>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</si>
  <si>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</si>
  <si>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</si>
  <si>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</si>
  <si>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</si>
  <si>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</si>
  <si>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</si>
  <si>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</si>
  <si>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</si>
  <si>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</si>
  <si>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</si>
  <si>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</si>
  <si>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</si>
  <si>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</si>
  <si>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</si>
  <si>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</si>
  <si>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</si>
  <si>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</si>
  <si>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</si>
  <si>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</si>
  <si>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</si>
  <si>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</si>
  <si>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</si>
  <si>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</si>
  <si>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</si>
  <si>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</si>
  <si>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</si>
  <si>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</si>
  <si>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</si>
  <si>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</si>
  <si>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</si>
  <si>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</si>
  <si>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</si>
  <si>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</si>
  <si>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</si>
  <si>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</si>
  <si>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</si>
  <si>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</si>
  <si>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</si>
  <si>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</si>
  <si>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</si>
  <si>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</si>
  <si>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</si>
  <si>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</si>
  <si>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</si>
  <si>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</si>
  <si>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</si>
  <si>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</si>
  <si>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</si>
  <si>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</si>
  <si>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</si>
  <si>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</si>
  <si>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</si>
  <si>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</si>
  <si>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</si>
  <si>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</si>
  <si>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</si>
  <si>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</si>
  <si>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</si>
  <si>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</si>
  <si>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</si>
  <si>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</si>
  <si>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</si>
  <si>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</si>
  <si>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</si>
  <si>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</si>
  <si>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</si>
  <si>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</si>
  <si>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</si>
  <si>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</si>
  <si>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</si>
  <si>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</si>
  <si>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</si>
  <si>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</si>
  <si>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</si>
  <si>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</si>
  <si>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</si>
  <si>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</si>
  <si>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</si>
  <si>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</si>
  <si>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</si>
  <si>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</si>
  <si>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</si>
  <si>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</si>
  <si>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</si>
  <si>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</si>
  <si>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</si>
  <si>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</si>
  <si>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</si>
  <si>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</si>
  <si>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</si>
  <si>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</si>
  <si>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</si>
  <si>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</si>
  <si>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</si>
  <si>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</si>
  <si>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</si>
  <si>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</si>
  <si>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</si>
  <si>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</si>
  <si>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</si>
  <si>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</si>
  <si>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</si>
  <si>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</si>
  <si>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</si>
  <si>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</si>
  <si>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</si>
  <si>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</si>
  <si>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</si>
  <si>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</si>
  <si>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</si>
  <si>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</si>
  <si>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</si>
  <si>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</si>
  <si>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</si>
  <si>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</si>
  <si>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</si>
  <si>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</si>
  <si>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</si>
  <si>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</si>
  <si>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</si>
  <si>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</si>
  <si>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</si>
  <si>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</si>
  <si>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</si>
  <si>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</si>
  <si>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</si>
  <si>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</si>
  <si>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</si>
  <si>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</si>
  <si>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</si>
  <si>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</si>
  <si>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</si>
  <si>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</si>
  <si>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</si>
  <si>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</si>
  <si>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</si>
  <si>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</si>
  <si>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</si>
  <si>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</si>
  <si>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</si>
  <si>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</si>
  <si>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</si>
  <si>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</si>
  <si>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</si>
  <si>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</si>
  <si>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</si>
  <si>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</si>
  <si>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</si>
  <si>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</si>
  <si>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</si>
  <si>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</si>
  <si>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</si>
  <si>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</si>
  <si>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</si>
  <si>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</si>
  <si>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</si>
  <si>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</si>
  <si>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</si>
  <si>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</si>
  <si>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</si>
  <si>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</si>
  <si>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</si>
  <si>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URANGAN FISHERIES</t>
  </si>
  <si>
    <t xml:space="preserve"> +/- 3mm</t>
  </si>
  <si>
    <t>ANTISTATIC</t>
  </si>
  <si>
    <t xml:space="preserve">LIMAX </t>
  </si>
  <si>
    <t>NOT UNDER</t>
  </si>
  <si>
    <t>PLEASE ENSURE GOOD WATER TIGHT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</si>
</sst>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J2" sqref="J2:L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PB20040030AS</v>
      </c>
      <c r="C1" s="110"/>
      <c r="D1" s="111"/>
      <c r="E1" s="11" t="s">
        <v>57</v>
      </c>
      <c r="F1" s="62" t="s">
        <v>194</v>
      </c>
      <c r="G1" s="62"/>
      <c r="H1" s="63"/>
      <c r="I1" s="12" t="s">
        <v>181</v>
      </c>
      <c r="J1" s="121">
        <f ca="1">TODAY()</f>
        <v>45118</v>
      </c>
      <c r="K1" s="121"/>
      <c r="L1" s="122"/>
      <c r="M1" s="29"/>
      <c r="N1" s="11" t="s">
        <v>56</v>
      </c>
      <c r="O1" s="110" t="str">
        <f>B1</f>
        <v>PB20040030AS</v>
      </c>
      <c r="P1" s="110"/>
      <c r="Q1" s="111"/>
      <c r="R1" s="11" t="s">
        <v>57</v>
      </c>
      <c r="S1" s="110" t="str">
        <f>F1</f>
        <v>URANGAN FISHERIES</v>
      </c>
      <c r="T1" s="110"/>
      <c r="U1" s="111"/>
      <c r="V1" s="11" t="s">
        <v>181</v>
      </c>
      <c r="W1" s="121">
        <f ca="1">J1</f>
        <v>45118</v>
      </c>
      <c r="X1" s="121"/>
      <c r="Y1" s="122"/>
    </row>
    <row r="2" spans="1:25" ht="20.149999999999999" customHeight="1" x14ac:dyDescent="0.8">
      <c r="A2" s="11" t="s">
        <v>100</v>
      </c>
      <c r="B2" s="110" t="str">
        <f>IF(U10="","",U10)</f>
        <v/>
      </c>
      <c r="C2" s="110"/>
      <c r="D2" s="111"/>
      <c r="E2" s="11" t="s">
        <v>58</v>
      </c>
      <c r="F2" s="62">
        <v>943430</v>
      </c>
      <c r="G2" s="62"/>
      <c r="H2" s="63"/>
      <c r="I2" s="11" t="s">
        <v>59</v>
      </c>
      <c r="J2" s="124" t="s">
        <v>192</v>
      </c>
      <c r="K2" s="62"/>
      <c r="L2" s="63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943430</v>
      </c>
      <c r="T2" s="110"/>
      <c r="U2" s="111"/>
      <c r="V2" s="11" t="s">
        <v>59</v>
      </c>
      <c r="W2" s="123" t="str">
        <f>J2</f>
        <v>ASAP</v>
      </c>
      <c r="X2" s="110"/>
      <c r="Y2" s="111"/>
    </row>
    <row r="3" spans="1:25" ht="20.149999999999999" customHeight="1" x14ac:dyDescent="0.75">
      <c r="A3" s="112" t="s">
        <v>199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 t="str">
        <f>A3</f>
        <v>PLEASE ENSURE GOOD WATER TIGHT SEAL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10">
        <f>R7*O7</f>
        <v>10000</v>
      </c>
      <c r="V7" s="111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8">
        <f>R9</f>
        <v>200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3" t="s">
        <v>52</v>
      </c>
      <c r="H8" s="98">
        <f>(IF(V9&lt;30,"30",V9))</f>
        <v>30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16" t="s">
        <v>48</v>
      </c>
      <c r="B9" s="127" t="s">
        <v>195</v>
      </c>
      <c r="C9" s="128"/>
      <c r="D9" s="135" t="str">
        <f>IF(K10="Middle","RUN 2 UP",IF(AND(O8="Centrefold Roll",B8=380),"RUN 2 UP",""))</f>
        <v/>
      </c>
      <c r="E9" s="102"/>
      <c r="F9" s="103"/>
      <c r="G9" s="16" t="s">
        <v>48</v>
      </c>
      <c r="H9" s="127" t="s">
        <v>198</v>
      </c>
      <c r="I9" s="128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200</v>
      </c>
      <c r="S9" s="18" t="s">
        <v>78</v>
      </c>
      <c r="T9" s="30">
        <v>400</v>
      </c>
      <c r="U9" s="18" t="s">
        <v>78</v>
      </c>
      <c r="V9" s="30">
        <v>30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3</v>
      </c>
      <c r="C10" s="63"/>
      <c r="D10" s="47" t="s">
        <v>134</v>
      </c>
      <c r="E10" s="129">
        <f>IF(ISNUMBER(SEARCH("sheet",O8,1)),((R9*T9*H8/540000)*U7/2000*1.3),((R9*T9*H8/540000)*U7/1000*1.08))</f>
        <v>48</v>
      </c>
      <c r="F10" s="130"/>
      <c r="G10" s="11" t="s">
        <v>53</v>
      </c>
      <c r="H10" s="133">
        <f>IF(ISNUMBER(SEARCH("sheet",O8,1)),(U7*T9/2000*1.08),(U7*T9/1000*1.08))</f>
        <v>4320</v>
      </c>
      <c r="I10" s="134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/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1">
        <f>E10/B10</f>
        <v>16</v>
      </c>
      <c r="F11" s="132"/>
      <c r="G11" s="11" t="s">
        <v>15</v>
      </c>
      <c r="H11" s="131">
        <f>H10/B10</f>
        <v>1440</v>
      </c>
      <c r="I11" s="132"/>
      <c r="J11" s="11" t="s">
        <v>50</v>
      </c>
      <c r="K11" s="62" t="s">
        <v>44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9" t="s">
        <v>4</v>
      </c>
      <c r="F16" s="139"/>
      <c r="G16" s="139" t="s">
        <v>5</v>
      </c>
      <c r="H16" s="139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168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4" t="s">
        <v>147</v>
      </c>
      <c r="D17" s="95"/>
      <c r="E17" s="91"/>
      <c r="F17" s="65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4" t="s">
        <v>146</v>
      </c>
      <c r="D18" s="95"/>
      <c r="E18" s="91"/>
      <c r="F18" s="65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4" t="s">
        <v>145</v>
      </c>
      <c r="D19" s="95"/>
      <c r="E19" s="91"/>
      <c r="F19" s="65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4" t="s">
        <v>144</v>
      </c>
      <c r="D20" s="95"/>
      <c r="E20" s="91"/>
      <c r="F20" s="65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4" t="s">
        <v>143</v>
      </c>
      <c r="D21" s="95"/>
      <c r="E21" s="91"/>
      <c r="F21" s="65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91"/>
      <c r="F22" s="65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0" t="s">
        <v>196</v>
      </c>
      <c r="B23" s="140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5"/>
      <c r="E23" s="90">
        <v>0.02</v>
      </c>
      <c r="F23" s="65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1"/>
      <c r="B24" s="142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>
        <v>28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45149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45139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80205B8-BA5E-4210-A84D-F352267217B7}"/>
</file>

<file path=customXml/itemProps2.xml><?xml version="1.0" encoding="utf-8"?>
<ds:datastoreItem xmlns:ds="http://schemas.openxmlformats.org/officeDocument/2006/customXml" ds:itemID="{3474A5DA-9E19-4D98-BA57-17563D61D2FF}"/>
</file>

<file path=customXml/itemProps3.xml><?xml version="1.0" encoding="utf-8"?>
<ds:datastoreItem xmlns:ds="http://schemas.openxmlformats.org/officeDocument/2006/customXml" ds:itemID="{8A2F1F50-4A45-47E4-87D6-83184087A9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2023-07-10T23:13:33Z</cp:lastPrinted>
  <dcterms:created xsi:type="dcterms:W3CDTF">2019-11-27T23:28:06Z</dcterms:created>
  <dcterms:modified xsi:type="dcterms:W3CDTF">2023-07-11T03:59:54Z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