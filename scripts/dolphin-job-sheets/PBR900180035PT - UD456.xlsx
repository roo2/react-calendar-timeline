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F39F6B09-AAA2-4385-AF20-594D87E2D5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<sst xmlns="http://schemas.openxmlformats.org/spreadsheetml/2006/main" count="302" uniqueCount="200">
  <si>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</si>
  <si>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</si>
  <si>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</si>
  <si>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</si>
  <si>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</si>
  <si>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</si>
  <si>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</si>
  <si>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</si>
  <si>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</si>
  <si>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</si>
  <si>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</si>
  <si>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</si>
  <si>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</si>
  <si>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</si>
  <si>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</si>
  <si>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</si>
  <si>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</si>
  <si>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</si>
  <si>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</si>
  <si>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</si>
  <si>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</si>
  <si>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</si>
  <si>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</si>
  <si>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</si>
  <si>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</si>
  <si>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</si>
  <si>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</si>
  <si>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</si>
  <si>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</si>
  <si>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</si>
  <si>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</si>
  <si>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</si>
  <si>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</si>
  <si>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</si>
  <si>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</si>
  <si>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</si>
  <si>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</si>
  <si>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</si>
  <si>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</si>
  <si>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</si>
  <si>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</si>
  <si>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</si>
  <si>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</si>
  <si>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</si>
  <si>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</si>
  <si>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</si>
  <si>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</si>
  <si>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</si>
  <si>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</si>
  <si>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</si>
  <si>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</si>
  <si>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</si>
  <si>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</si>
  <si>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</si>
  <si>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</si>
  <si>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</si>
  <si>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</si>
  <si>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</si>
  <si>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</si>
  <si>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</si>
  <si>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</si>
  <si>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</si>
  <si>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</si>
  <si>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</si>
  <si>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</si>
  <si>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</si>
  <si>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</si>
  <si>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</si>
  <si>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</si>
  <si>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</si>
  <si>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</si>
  <si>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</si>
  <si>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</si>
  <si>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</si>
  <si>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</si>
  <si>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</si>
  <si>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</si>
  <si>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</si>
  <si>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</si>
  <si>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</si>
  <si>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</si>
  <si>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</si>
  <si>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</si>
  <si>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</si>
  <si>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</si>
  <si>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</si>
  <si>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</si>
  <si>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</si>
  <si>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</si>
  <si>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</si>
  <si>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</si>
  <si>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</si>
  <si>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</si>
  <si>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</si>
  <si>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</si>
  <si>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</si>
  <si>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</si>
  <si>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</si>
  <si>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</si>
  <si>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</si>
  <si>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</si>
  <si>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</si>
  <si>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</si>
  <si>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</si>
  <si>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</si>
  <si>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</si>
  <si>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</si>
  <si>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</si>
  <si>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</si>
  <si>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</si>
  <si>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</si>
  <si>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</si>
  <si>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</si>
  <si>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</si>
  <si>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</si>
  <si>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</si>
  <si>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</si>
  <si>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</si>
  <si>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</si>
  <si>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</si>
  <si>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</si>
  <si>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</si>
  <si>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</si>
  <si>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</si>
  <si>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</si>
  <si>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</si>
  <si>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</si>
  <si>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</si>
  <si>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</si>
  <si>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</si>
  <si>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</si>
  <si>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</si>
  <si>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</si>
  <si>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</si>
  <si>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</si>
  <si>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</si>
  <si>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</si>
  <si>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</si>
  <si>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</si>
  <si>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</si>
  <si>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</si>
  <si>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</si>
  <si>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</si>
  <si>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</si>
  <si>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</si>
  <si>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</si>
  <si>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</si>
  <si>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</si>
  <si>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</si>
  <si>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</si>
  <si>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</si>
  <si>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</si>
  <si>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</si>
  <si>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</si>
  <si>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</si>
  <si>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</si>
  <si>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</si>
  <si>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</si>
  <si>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</si>
  <si>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</si>
  <si>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</si>
  <si>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</si>
  <si>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</si>
  <si>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</si>
  <si>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</si>
  <si>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</si>
  <si>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</si>
  <si>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</si>
  <si>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</si>
  <si>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</si>
  <si>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</si>
  <si>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</si>
  <si>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</si>
  <si>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</si>
  <si>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</si>
  <si>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</si>
  <si>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</si>
  <si>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</si>
  <si>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</si>
  <si>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</si>
  <si>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</si>
  <si>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</si>
  <si>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</si>
  <si>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</si>
  <si>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</si>
  <si>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</si>
  <si>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</si>
  <si>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</si>
  <si>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</si>
  <si>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</si>
  <si>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</si>
  <si>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</si>
  <si>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</si>
  <si>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</si>
  <si>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</si>
  <si>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PERF INLINE - USE REMILL</t>
  </si>
  <si>
    <t>ADVANTAGE AIR</t>
  </si>
  <si>
    <t xml:space="preserve"> +/- 5um</t>
  </si>
  <si>
    <t>BLACK TINT</t>
  </si>
  <si>
    <t>UD456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</si>
</sst>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C22" sqref="C22:D22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PBR950180035PT</v>
      </c>
      <c r="C1" s="125"/>
      <c r="D1" s="126"/>
      <c r="E1" s="18" t="s">
        <v>56</v>
      </c>
      <c r="F1" s="149" t="s">
        <v>196</v>
      </c>
      <c r="G1" s="149"/>
      <c r="H1" s="150"/>
      <c r="I1" s="18" t="s">
        <v>180</v>
      </c>
      <c r="J1" s="146">
        <f ca="1">TODAY()</f>
        <v>44152</v>
      </c>
      <c r="K1" s="146"/>
      <c r="L1" s="147"/>
      <c r="M1" s="35"/>
      <c r="N1" s="18" t="s">
        <v>55</v>
      </c>
      <c r="O1" s="125" t="str">
        <f>B1</f>
        <v>PBR950180035PT</v>
      </c>
      <c r="P1" s="125"/>
      <c r="Q1" s="126"/>
      <c r="R1" s="18" t="s">
        <v>56</v>
      </c>
      <c r="S1" s="125" t="str">
        <f>F1</f>
        <v>ADVANTAGE AIR</v>
      </c>
      <c r="T1" s="125"/>
      <c r="U1" s="126"/>
      <c r="V1" s="18" t="s">
        <v>180</v>
      </c>
      <c r="W1" s="146">
        <f ca="1">J1</f>
        <v>44152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>UD456</v>
      </c>
      <c r="C2" s="125"/>
      <c r="D2" s="126"/>
      <c r="E2" s="18" t="s">
        <v>57</v>
      </c>
      <c r="F2" s="104">
        <v>938968</v>
      </c>
      <c r="G2" s="104"/>
      <c r="H2" s="105"/>
      <c r="I2" s="18" t="s">
        <v>58</v>
      </c>
      <c r="J2" s="103">
        <v>44179</v>
      </c>
      <c r="K2" s="104"/>
      <c r="L2" s="105"/>
      <c r="M2" s="35"/>
      <c r="N2" s="18" t="s">
        <v>99</v>
      </c>
      <c r="O2" s="125" t="str">
        <f>IF(B2="","",B2)</f>
        <v>UD456</v>
      </c>
      <c r="P2" s="125"/>
      <c r="Q2" s="126"/>
      <c r="R2" s="18" t="s">
        <v>57</v>
      </c>
      <c r="S2" s="125">
        <f>IF(F2="","",F2)</f>
        <v>938968</v>
      </c>
      <c r="T2" s="125"/>
      <c r="U2" s="126"/>
      <c r="V2" s="18" t="s">
        <v>58</v>
      </c>
      <c r="W2" s="148">
        <f>J2</f>
        <v>44179</v>
      </c>
      <c r="X2" s="125"/>
      <c r="Y2" s="126"/>
    </row>
    <row r="3" spans="1:25" ht="20.100000000000001" customHeight="1" x14ac:dyDescent="0.25">
      <c r="A3" s="137" t="s">
        <v>195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>PERF INLINE - USE REMILL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157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4</v>
      </c>
      <c r="P7" s="105"/>
      <c r="Q7" s="18" t="str">
        <f>IF(ISNUMBER(SEARCH("roll",O8,1)),"Per Roll","Per Carton")</f>
        <v>Per Roll</v>
      </c>
      <c r="R7" s="104">
        <v>180</v>
      </c>
      <c r="S7" s="105"/>
      <c r="T7" s="18" t="str">
        <f>IF(ISNUMBER(SEARCH("bag",O8,1)),"Total Bags","Total Sheets")</f>
        <v>Total Bags</v>
      </c>
      <c r="U7" s="125">
        <f>R7*O7</f>
        <v>720</v>
      </c>
      <c r="V7" s="126"/>
      <c r="W7" s="18" t="s">
        <v>101</v>
      </c>
      <c r="X7" s="104" t="s">
        <v>22</v>
      </c>
      <c r="Y7" s="105"/>
    </row>
    <row r="8" spans="1:25" ht="20.100000000000001" customHeight="1" x14ac:dyDescent="0.25">
      <c r="A8" s="19" t="s">
        <v>15</v>
      </c>
      <c r="B8" s="113">
        <f>R9</f>
        <v>950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35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100000000000001" customHeight="1" x14ac:dyDescent="0.3">
      <c r="A9" s="23" t="s">
        <v>47</v>
      </c>
      <c r="B9" s="123" t="s">
        <v>194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197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950</v>
      </c>
      <c r="S9" s="25" t="s">
        <v>77</v>
      </c>
      <c r="T9" s="36">
        <v>1800</v>
      </c>
      <c r="U9" s="25" t="s">
        <v>77</v>
      </c>
      <c r="V9" s="36">
        <v>35</v>
      </c>
      <c r="W9" s="24"/>
      <c r="X9" s="110"/>
      <c r="Y9" s="111"/>
    </row>
    <row r="10" spans="1:25" ht="20.100000000000001" customHeight="1" x14ac:dyDescent="0.25">
      <c r="A10" s="18" t="s">
        <v>50</v>
      </c>
      <c r="B10" s="104">
        <v>4</v>
      </c>
      <c r="C10" s="105"/>
      <c r="D10" s="56" t="s">
        <v>133</v>
      </c>
      <c r="E10" s="127">
        <f>IF(ISNUMBER(SEARCH("sheet",O8,1)),((R9*T9*H8/540000)*U7/2000*1.3),((R9*T9*H8/540000)*U7/1000*1.08))</f>
        <v>86.183999999999997</v>
      </c>
      <c r="F10" s="128"/>
      <c r="G10" s="18" t="s">
        <v>52</v>
      </c>
      <c r="H10" s="131">
        <f>IF(ISNUMBER(SEARCH("sheet",O8,1)),(U7*T9/2000*1.08),(U7*T9/1000*1.08))</f>
        <v>1399.68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 t="s">
        <v>199</v>
      </c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21.545999999999999</v>
      </c>
      <c r="F11" s="130"/>
      <c r="G11" s="18" t="s">
        <v>14</v>
      </c>
      <c r="H11" s="129">
        <f>H10/B10</f>
        <v>349.92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4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>PURPLE TINT</v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PT</v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44182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44173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198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154</v>
      </c>
    </row>
    <row r="60" spans="1:20" x14ac:dyDescent="0.25">
      <c r="A60" s="67" t="s">
        <v>147</v>
      </c>
      <c r="O60" s="1"/>
      <c r="Q60" s="1"/>
      <c r="R60" s="3"/>
      <c r="S60" s="1"/>
    </row>
    <row r="61" spans="1:20" x14ac:dyDescent="0.25">
      <c r="A61" s="67" t="s">
        <v>148</v>
      </c>
      <c r="O61" s="1"/>
      <c r="Q61" s="1"/>
      <c r="R61" s="1"/>
      <c r="S61" s="1"/>
    </row>
    <row r="62" spans="1:20" x14ac:dyDescent="0.25">
      <c r="A62" s="67" t="s">
        <v>149</v>
      </c>
      <c r="O62" s="1"/>
      <c r="Q62" s="1"/>
      <c r="R62" s="1"/>
      <c r="S62" s="1"/>
    </row>
    <row r="63" spans="1:20" x14ac:dyDescent="0.25">
      <c r="A63" s="67" t="s">
        <v>150</v>
      </c>
      <c r="O63" s="1"/>
      <c r="Q63" s="1"/>
      <c r="R63" s="1"/>
      <c r="S63" s="1"/>
      <c r="T63" s="1"/>
    </row>
    <row r="64" spans="1:20" x14ac:dyDescent="0.25">
      <c r="A64" s="67" t="s">
        <v>151</v>
      </c>
      <c r="O64" s="1"/>
      <c r="Q64" s="1"/>
      <c r="R64" s="1"/>
      <c r="S64" s="1"/>
      <c r="T64" s="1"/>
    </row>
    <row r="65" spans="1:20" x14ac:dyDescent="0.25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589C143-EA25-4C24-B8B6-3514F473DDAA}"/>
</file>

<file path=customXml/itemProps2.xml><?xml version="1.0" encoding="utf-8"?>
<ds:datastoreItem xmlns:ds="http://schemas.openxmlformats.org/officeDocument/2006/customXml" ds:itemID="{63BFDEEE-33FC-459D-92BF-BDE02C2F33FF}"/>
</file>

<file path=customXml/itemProps3.xml><?xml version="1.0" encoding="utf-8"?>
<ds:datastoreItem xmlns:ds="http://schemas.openxmlformats.org/officeDocument/2006/customXml" ds:itemID="{76E120BC-F7BC-48D6-AB0E-CA83DC8B38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2020-11-16T23:01:06Z</cp:lastPrinted>
  <dcterms:created xsi:type="dcterms:W3CDTF">2019-11-27T23:28:06Z</dcterms:created>
  <dcterms:modified xsi:type="dcterms:W3CDTF">2020-11-16T23:03:41Z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