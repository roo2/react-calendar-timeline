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D4F20DE-882D-4DDB-A1D7-5322B9628CE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<sst xmlns="http://schemas.openxmlformats.org/spreadsheetml/2006/main" count="224" uniqueCount="166">
  <si>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</si>
  <si>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</si>
  <si>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</si>
  <si>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</si>
  <si>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</si>
  <si>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</si>
  <si>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</si>
  <si>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</si>
  <si>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</si>
  <si>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</si>
  <si>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</si>
  <si>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</si>
  <si>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</si>
  <si>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</si>
  <si>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</si>
  <si>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</si>
  <si>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</si>
  <si>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</si>
  <si>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</si>
  <si>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</si>
  <si>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</si>
  <si>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</si>
  <si>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</si>
  <si>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</si>
  <si>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</si>
  <si>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</si>
  <si>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</si>
  <si>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</si>
  <si>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</si>
  <si>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</si>
  <si>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</si>
  <si>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</si>
  <si>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</si>
  <si>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</si>
  <si>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</si>
  <si>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</si>
  <si>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</si>
  <si>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</si>
  <si>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</si>
  <si>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</si>
  <si>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</si>
  <si>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</si>
  <si>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</si>
  <si>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</si>
  <si>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</si>
  <si>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</si>
  <si>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</si>
  <si>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</si>
  <si>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</si>
  <si>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</si>
  <si>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</si>
  <si>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</si>
  <si>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</si>
  <si>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</si>
  <si>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</si>
  <si>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</si>
  <si>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</si>
  <si>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</si>
  <si>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</si>
  <si>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</si>
  <si>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</si>
  <si>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</si>
  <si>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</si>
  <si>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</si>
  <si>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</si>
  <si>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</si>
  <si>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</si>
  <si>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</si>
  <si>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</si>
  <si>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</si>
  <si>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</si>
  <si>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</si>
  <si>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</si>
  <si>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</si>
  <si>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</si>
  <si>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</si>
  <si>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</si>
  <si>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</si>
  <si>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</si>
  <si>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</si>
  <si>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</si>
  <si>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</si>
  <si>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</si>
  <si>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</si>
  <si>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</si>
  <si>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</si>
  <si>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</si>
  <si>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</si>
  <si>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</si>
  <si>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</si>
  <si>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</si>
  <si>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</si>
  <si>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</si>
  <si>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</si>
  <si>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</si>
  <si>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</si>
  <si>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</si>
  <si>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</si>
  <si>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</si>
  <si>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</si>
  <si>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</si>
  <si>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</si>
  <si>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</si>
  <si>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</si>
  <si>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</si>
  <si>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</si>
  <si>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</si>
  <si>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</si>
  <si>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</si>
  <si>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</si>
  <si>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</si>
  <si>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</si>
  <si>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</si>
  <si>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</si>
  <si>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</si>
  <si>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</si>
  <si>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</si>
  <si>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</si>
  <si>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</si>
  <si>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</si>
  <si>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</si>
  <si>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</si>
  <si>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</si>
  <si>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</si>
  <si>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</si>
  <si>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</si>
  <si>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</si>
  <si>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</si>
  <si>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</si>
  <si>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</si>
  <si>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</si>
  <si>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</si>
  <si>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</si>
  <si>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</si>
  <si>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</si>
  <si>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</si>
  <si>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</si>
  <si>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</si>
  <si>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</si>
  <si>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</si>
  <si>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</si>
  <si>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</si>
  <si>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</si>
  <si>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</si>
  <si>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</si>
  <si>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</si>
  <si>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</si>
  <si>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</si>
  <si>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</si>
  <si>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</si>
  <si>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</si>
  <si>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</si>
  <si>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</si>
  <si>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</si>
  <si>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</si>
  <si>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</si>
  <si>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</si>
  <si>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</si>
  <si>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</si>
  <si>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</si>
  <si>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</si>
  <si>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</si>
  <si>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</si>
  <si>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</si>
  <si>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SEDL</t>
  </si>
  <si>
    <t>RUN AT 190um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</si>
</sst>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T470200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148</v>
      </c>
      <c r="J1" s="112">
        <f ca="1">TODAY()</f>
        <v>46085</v>
      </c>
      <c r="K1" s="112"/>
      <c r="L1" s="113"/>
    </row>
    <row r="2" spans="1:14" ht="20.100000000000001" customHeight="1" x14ac:dyDescent="0.25">
      <c r="A2" s="11" t="s">
        <v>94</v>
      </c>
      <c r="B2" s="92" t="str">
        <f>IF(B7="Tube",(ROUNDUP(E11,0)&amp;"KG"),(ROUNDUP(H11,0)&amp;"M"))</f>
        <v>10KG</v>
      </c>
      <c r="C2" s="92"/>
      <c r="D2" s="93"/>
      <c r="E2" s="11" t="s">
        <v>56</v>
      </c>
      <c r="F2" s="46">
        <v>936944</v>
      </c>
      <c r="G2" s="46"/>
      <c r="H2" s="47"/>
      <c r="I2" s="11" t="s">
        <v>57</v>
      </c>
      <c r="J2" s="114">
        <v>43954</v>
      </c>
      <c r="K2" s="46"/>
      <c r="L2" s="47"/>
    </row>
    <row r="3" spans="1:14" ht="20.100000000000001" customHeight="1" x14ac:dyDescent="0.2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1" t="s">
        <v>158</v>
      </c>
      <c r="B7" s="46" t="s">
        <v>159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00000000000001" customHeight="1" x14ac:dyDescent="0.25">
      <c r="A8" s="12" t="s">
        <v>14</v>
      </c>
      <c r="B8" s="68">
        <v>470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200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3" t="s">
        <v>46</v>
      </c>
      <c r="B9" s="84" t="s">
        <v>146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165</v>
      </c>
      <c r="I9" s="85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5</v>
      </c>
      <c r="C10" s="47"/>
      <c r="D10" s="36" t="s">
        <v>104</v>
      </c>
      <c r="E10" s="88">
        <f>E11*B10</f>
        <v>50</v>
      </c>
      <c r="F10" s="89"/>
      <c r="G10" s="11" t="s">
        <v>51</v>
      </c>
      <c r="H10" s="92">
        <f>H11*B10</f>
        <v>287.23404255319156</v>
      </c>
      <c r="I10" s="93"/>
      <c r="J10" s="11" t="s">
        <v>39</v>
      </c>
      <c r="K10" s="46" t="s">
        <v>42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10</v>
      </c>
      <c r="F11" s="91"/>
      <c r="G11" s="42" t="s">
        <v>13</v>
      </c>
      <c r="H11" s="94">
        <f>E11*540000/B8/H8</f>
        <v>57.446808510638306</v>
      </c>
      <c r="I11" s="95"/>
      <c r="J11" s="42" t="s">
        <v>48</v>
      </c>
      <c r="K11" s="99" t="s">
        <v>42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00000000000001" customHeight="1" x14ac:dyDescent="0.3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5</v>
      </c>
      <c r="G16" s="101"/>
      <c r="H16" s="102"/>
      <c r="I16" s="11" t="s">
        <v>74</v>
      </c>
      <c r="J16" s="46"/>
      <c r="K16" s="46"/>
      <c r="L16" s="47"/>
    </row>
    <row r="17" spans="1:12" ht="20.100000000000001" customHeight="1" x14ac:dyDescent="0.2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00000000000001" customHeight="1" x14ac:dyDescent="0.25">
      <c r="A23" s="78" t="s">
        <v>150</v>
      </c>
      <c r="B23" s="78"/>
      <c r="C23" s="57" t="s">
        <v>151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00000000000001" customHeight="1" x14ac:dyDescent="0.2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00000000000001" customHeight="1" x14ac:dyDescent="0.2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46116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46106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3A21A89-A040-4AC1-BB9B-F670316F6609}"/>
</file>

<file path=customXml/itemProps2.xml><?xml version="1.0" encoding="utf-8"?>
<ds:datastoreItem xmlns:ds="http://schemas.openxmlformats.org/officeDocument/2006/customXml" ds:itemID="{25070E90-9070-47B8-B781-023D0A1669C5}"/>
</file>

<file path=customXml/itemProps3.xml><?xml version="1.0" encoding="utf-8"?>
<ds:datastoreItem xmlns:ds="http://schemas.openxmlformats.org/officeDocument/2006/customXml" ds:itemID="{6EAEEE7E-03BC-4662-838D-C9E817181B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2020-04-02T23:40:12Z</cp:lastPrinted>
  <dcterms:created xsi:type="dcterms:W3CDTF">2019-11-27T23:28:06Z</dcterms:created>
  <dcterms:modified xsi:type="dcterms:W3CDTF">2026-03-04T08:54:55Z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