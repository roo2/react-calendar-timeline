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738C6E7-18B1-4A7C-8C4E-C6F65383BBE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<sst xmlns="http://schemas.openxmlformats.org/spreadsheetml/2006/main" count="307" uniqueCount="201">
  <si>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</si>
  <si>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</si>
  <si>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</si>
  <si>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</si>
  <si>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</si>
  <si>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</si>
  <si>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</si>
  <si>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</si>
  <si>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</si>
  <si>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</si>
  <si>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</si>
  <si>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</si>
  <si>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</si>
  <si>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</si>
  <si>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</si>
  <si>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</si>
  <si>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</si>
  <si>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</si>
  <si>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</si>
  <si>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</si>
  <si>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</si>
  <si>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</si>
  <si>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</si>
  <si>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</si>
  <si>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</si>
  <si>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</si>
  <si>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</si>
  <si>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</si>
  <si>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</si>
  <si>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</si>
  <si>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</si>
  <si>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</si>
  <si>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</si>
  <si>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</si>
  <si>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</si>
  <si>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</si>
  <si>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</si>
  <si>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</si>
  <si>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</si>
  <si>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</si>
  <si>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</si>
  <si>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</si>
  <si>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</si>
  <si>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</si>
  <si>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</si>
  <si>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</si>
  <si>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</si>
  <si>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</si>
  <si>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</si>
  <si>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</si>
  <si>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</si>
  <si>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</si>
  <si>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</si>
  <si>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</si>
  <si>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</si>
  <si>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</si>
  <si>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</si>
  <si>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</si>
  <si>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</si>
  <si>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</si>
  <si>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</si>
  <si>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</si>
  <si>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</si>
  <si>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</si>
  <si>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</si>
  <si>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</si>
  <si>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</si>
  <si>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</si>
  <si>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</si>
  <si>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</si>
  <si>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</si>
  <si>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</si>
  <si>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</si>
  <si>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</si>
  <si>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</si>
  <si>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</si>
  <si>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</si>
  <si>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</si>
  <si>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</si>
  <si>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</si>
  <si>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</si>
  <si>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</si>
  <si>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</si>
  <si>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</si>
  <si>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</si>
  <si>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</si>
  <si>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</si>
  <si>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</si>
  <si>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</si>
  <si>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</si>
  <si>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</si>
  <si>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</si>
  <si>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</si>
  <si>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</si>
  <si>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</si>
  <si>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</si>
  <si>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</si>
  <si>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</si>
  <si>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</si>
  <si>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</si>
  <si>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</si>
  <si>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</si>
  <si>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</si>
  <si>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</si>
  <si>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</si>
  <si>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</si>
  <si>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</si>
  <si>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</si>
  <si>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</si>
  <si>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</si>
  <si>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</si>
  <si>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</si>
  <si>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</si>
  <si>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</si>
  <si>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</si>
  <si>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</si>
  <si>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</si>
  <si>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</si>
  <si>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</si>
  <si>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</si>
  <si>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</si>
  <si>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</si>
  <si>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</si>
  <si>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</si>
  <si>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</si>
  <si>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</si>
  <si>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</si>
  <si>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</si>
  <si>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</si>
  <si>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</si>
  <si>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</si>
  <si>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</si>
  <si>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</si>
  <si>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</si>
  <si>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</si>
  <si>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</si>
  <si>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</si>
  <si>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</si>
  <si>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</si>
  <si>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</si>
  <si>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</si>
  <si>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</si>
  <si>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</si>
  <si>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</si>
  <si>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</si>
  <si>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</si>
  <si>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</si>
  <si>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</si>
  <si>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</si>
  <si>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</si>
  <si>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</si>
  <si>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</si>
  <si>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</si>
  <si>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</si>
  <si>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</si>
  <si>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</si>
  <si>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</si>
  <si>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</si>
  <si>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</si>
  <si>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</si>
  <si>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</si>
  <si>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</si>
  <si>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</si>
  <si>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</si>
  <si>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</si>
  <si>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</si>
  <si>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</si>
  <si>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</si>
  <si>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</si>
  <si>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</si>
  <si>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</si>
  <si>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</si>
  <si>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</si>
  <si>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</si>
  <si>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</si>
  <si>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</si>
  <si>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</si>
  <si>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</si>
  <si>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</si>
  <si>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</si>
  <si>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</si>
  <si>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</si>
  <si>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</si>
  <si>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</si>
  <si>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</si>
  <si>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</si>
  <si>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</si>
  <si>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</si>
  <si>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</si>
  <si>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</si>
  <si>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</si>
  <si>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</si>
  <si>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</si>
  <si>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</si>
  <si>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</si>
  <si>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</si>
  <si>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LIMAX</t>
  </si>
  <si>
    <t>(600+320)</t>
  </si>
  <si>
    <t>G</t>
  </si>
  <si>
    <t>COOK MEDICAL</t>
  </si>
  <si>
    <t>20.01.2023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</si>
</sst>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6" fillId="0" borderId="3" xfId="2" applyFont="1" applyBorder="1" applyAlignment="1" applyProtection="1">
      <alignment horizontal="left" vertical="top"/>
      <protection locked="0"/>
    </xf>
    <xf numFmtId="0" fontId="16" fillId="0" borderId="8" xfId="2" applyFont="1" applyBorder="1" applyAlignment="1" applyProtection="1">
      <alignment horizontal="left" vertical="top"/>
      <protection locked="0"/>
    </xf>
    <xf numFmtId="0" fontId="16" fillId="0" borderId="9" xfId="2" applyFont="1" applyBorder="1" applyAlignment="1" applyProtection="1">
      <alignment horizontal="left" vertical="top"/>
      <protection locked="0"/>
    </xf>
    <xf numFmtId="0" fontId="16" fillId="0" borderId="0" xfId="2" applyFont="1" applyBorder="1" applyAlignment="1" applyProtection="1">
      <alignment horizontal="left" vertical="top"/>
      <protection locked="0"/>
    </xf>
    <xf numFmtId="0" fontId="16" fillId="0" borderId="10" xfId="2" applyFont="1" applyBorder="1" applyAlignment="1" applyProtection="1">
      <alignment horizontal="left" vertical="top"/>
      <protection locked="0"/>
    </xf>
    <xf numFmtId="0" fontId="16" fillId="0" borderId="11" xfId="2" applyFont="1" applyBorder="1" applyAlignment="1" applyProtection="1">
      <alignment horizontal="left" vertical="top"/>
      <protection locked="0"/>
    </xf>
    <xf numFmtId="0" fontId="16" fillId="0" borderId="1" xfId="2" applyFont="1" applyBorder="1" applyAlignment="1" applyProtection="1">
      <alignment horizontal="left" vertical="top"/>
      <protection locked="0"/>
    </xf>
    <xf numFmtId="0" fontId="16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9" xfId="0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18" fillId="5" borderId="10" xfId="0" applyFont="1" applyFill="1" applyBorder="1" applyAlignment="1" applyProtection="1">
      <alignment horizontal="center" vertical="center" wrapText="1"/>
      <protection locked="0"/>
    </xf>
    <xf numFmtId="0" fontId="18" fillId="5" borderId="11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9" fontId="17" fillId="0" borderId="2" xfId="0" applyNumberFormat="1" applyFont="1" applyBorder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B6" sqref="AB6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PB800100050</v>
      </c>
      <c r="C1" s="110"/>
      <c r="D1" s="111"/>
      <c r="E1" s="11" t="s">
        <v>57</v>
      </c>
      <c r="F1" s="121" t="s">
        <v>199</v>
      </c>
      <c r="G1" s="122"/>
      <c r="H1" s="123"/>
      <c r="I1" s="12" t="s">
        <v>181</v>
      </c>
      <c r="J1" s="124">
        <f ca="1">TODAY()</f>
        <v>44873</v>
      </c>
      <c r="K1" s="124"/>
      <c r="L1" s="125"/>
      <c r="M1" s="29"/>
      <c r="N1" s="11" t="s">
        <v>56</v>
      </c>
      <c r="O1" s="110" t="str">
        <f>B1</f>
        <v>PB800100050</v>
      </c>
      <c r="P1" s="110"/>
      <c r="Q1" s="111"/>
      <c r="R1" s="11" t="s">
        <v>57</v>
      </c>
      <c r="S1" s="110" t="str">
        <f>F1</f>
        <v>COOK MEDICAL</v>
      </c>
      <c r="T1" s="110"/>
      <c r="U1" s="111"/>
      <c r="V1" s="11" t="s">
        <v>181</v>
      </c>
      <c r="W1" s="124">
        <f ca="1">J1</f>
        <v>44873</v>
      </c>
      <c r="X1" s="124"/>
      <c r="Y1" s="125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944617</v>
      </c>
      <c r="G2" s="62"/>
      <c r="H2" s="63"/>
      <c r="I2" s="11" t="s">
        <v>59</v>
      </c>
      <c r="J2" s="127" t="s">
        <v>200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944617</v>
      </c>
      <c r="T2" s="110"/>
      <c r="U2" s="111"/>
      <c r="V2" s="11" t="s">
        <v>59</v>
      </c>
      <c r="W2" s="126" t="str">
        <f>J2</f>
        <v>20.01.2023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10">
        <f>R7*O7</f>
        <v>2000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800</v>
      </c>
      <c r="C8" s="99"/>
      <c r="D8" s="27" t="str">
        <f>IF(ISNUMBER(SEARCH("bag",O8,1)),"Gusset","Centrefold")</f>
        <v>Gusset</v>
      </c>
      <c r="E8" s="98" t="s">
        <v>197</v>
      </c>
      <c r="F8" s="99"/>
      <c r="G8" s="13" t="s">
        <v>52</v>
      </c>
      <c r="H8" s="98">
        <f>(IF(V9&lt;30,"30",V9))</f>
        <v>50</v>
      </c>
      <c r="I8" s="99"/>
      <c r="J8" s="11" t="s">
        <v>54</v>
      </c>
      <c r="K8" s="110">
        <f>IF(X8="None","Layflat Tube",IF(X8="","Layflat Tube",IF(X8="CF","Layflat Tube",IF(X8="G","Gusset Tube",IF(X9="","Layflat Tube",)))))</f>
        <v>0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">
        <v>197</v>
      </c>
      <c r="Y8" s="97"/>
    </row>
    <row r="9" spans="1:25" ht="20.149999999999999" customHeight="1" x14ac:dyDescent="0.9">
      <c r="A9" s="16" t="s">
        <v>48</v>
      </c>
      <c r="B9" s="90" t="s">
        <v>194</v>
      </c>
      <c r="C9" s="91"/>
      <c r="D9" s="136" t="str">
        <f>IF(K10="Middle","RUN 2 UP",IF(AND(O8="Centrefold Roll",B8=380),"RUN 2 UP",""))</f>
        <v/>
      </c>
      <c r="E9" s="102"/>
      <c r="F9" s="103"/>
      <c r="G9" s="16" t="s">
        <v>48</v>
      </c>
      <c r="H9" s="90" t="s">
        <v>195</v>
      </c>
      <c r="I9" s="91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800</v>
      </c>
      <c r="S9" s="18" t="s">
        <v>78</v>
      </c>
      <c r="T9" s="30">
        <v>1000</v>
      </c>
      <c r="U9" s="18" t="s">
        <v>78</v>
      </c>
      <c r="V9" s="30">
        <v>50</v>
      </c>
      <c r="W9" s="17"/>
      <c r="X9" s="88" t="s">
        <v>198</v>
      </c>
      <c r="Y9" s="89"/>
    </row>
    <row r="10" spans="1:25" ht="20.149999999999999" customHeight="1" x14ac:dyDescent="0.8">
      <c r="A10" s="11" t="s">
        <v>51</v>
      </c>
      <c r="B10" s="62">
        <v>5</v>
      </c>
      <c r="C10" s="63"/>
      <c r="D10" s="47" t="s">
        <v>134</v>
      </c>
      <c r="E10" s="130">
        <f>IF(ISNUMBER(SEARCH("sheet",O8,1)),((R9*T9*H8/540000)*U7/2000*1.3),((R9*T9*H8/540000)*U7/1000*1.08))</f>
        <v>160.00000000000003</v>
      </c>
      <c r="F10" s="131"/>
      <c r="G10" s="11" t="s">
        <v>53</v>
      </c>
      <c r="H10" s="134">
        <f>IF(ISNUMBER(SEARCH("sheet",O8,1)),(U7*T9/2000*1.08),(U7*T9/1000*1.08))</f>
        <v>2160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/>
      <c r="C11" s="111"/>
      <c r="D11" s="11" t="s">
        <v>135</v>
      </c>
      <c r="E11" s="132">
        <f>E10/B10</f>
        <v>32.000000000000007</v>
      </c>
      <c r="F11" s="133"/>
      <c r="G11" s="11" t="s">
        <v>15</v>
      </c>
      <c r="H11" s="132">
        <f>H10/B10</f>
        <v>432</v>
      </c>
      <c r="I11" s="13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169</v>
      </c>
      <c r="P16" s="63"/>
      <c r="Q16" s="11" t="s">
        <v>105</v>
      </c>
      <c r="R16" s="62" t="s">
        <v>23</v>
      </c>
      <c r="S16" s="63"/>
      <c r="T16" s="12" t="s">
        <v>103</v>
      </c>
      <c r="U16" s="90" t="s">
        <v>23</v>
      </c>
      <c r="V16" s="91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90" t="s">
        <v>23</v>
      </c>
      <c r="V17" s="91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>
        <v>2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0"/>
      <c r="B23" s="150"/>
      <c r="C23" s="94"/>
      <c r="D23" s="95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1"/>
      <c r="B24" s="15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44903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44894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B3EF6F9-E18C-4E31-9100-49A4CB6D8A49}"/>
</file>

<file path=customXml/itemProps2.xml><?xml version="1.0" encoding="utf-8"?>
<ds:datastoreItem xmlns:ds="http://schemas.openxmlformats.org/officeDocument/2006/customXml" ds:itemID="{B6234A91-6B76-4622-AD25-579984AB33CF}"/>
</file>

<file path=customXml/itemProps3.xml><?xml version="1.0" encoding="utf-8"?>
<ds:datastoreItem xmlns:ds="http://schemas.openxmlformats.org/officeDocument/2006/customXml" ds:itemID="{DABD5D8B-F079-439E-A17A-AC28F5E4D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2022-11-08T00:13:16Z</cp:lastPrinted>
  <dcterms:created xsi:type="dcterms:W3CDTF">2019-11-27T23:28:06Z</dcterms:created>
  <dcterms:modified xsi:type="dcterms:W3CDTF">2022-11-09T23:26:17Z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