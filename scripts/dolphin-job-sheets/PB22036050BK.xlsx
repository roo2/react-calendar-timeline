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B77B024-AEB0-4057-8EDE-E0163ED3FF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<sst xmlns="http://schemas.openxmlformats.org/spreadsheetml/2006/main" count="302" uniqueCount="197">
  <si>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</si>
  <si>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</si>
  <si>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</si>
  <si>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</si>
  <si>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</si>
  <si>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</si>
  <si>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</si>
  <si>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</si>
  <si>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</si>
  <si>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</si>
  <si>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</si>
  <si>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</si>
  <si>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</si>
  <si>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</si>
  <si>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</si>
  <si>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</si>
  <si>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</si>
  <si>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</si>
  <si>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</si>
  <si>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</si>
  <si>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</si>
  <si>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</si>
  <si>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</si>
  <si>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</si>
  <si>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</si>
  <si>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</si>
  <si>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</si>
  <si>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</si>
  <si>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</si>
  <si>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</si>
  <si>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</si>
  <si>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</si>
  <si>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</si>
  <si>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</si>
  <si>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</si>
  <si>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</si>
  <si>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</si>
  <si>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</si>
  <si>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</si>
  <si>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</si>
  <si>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</si>
  <si>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</si>
  <si>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</si>
  <si>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</si>
  <si>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</si>
  <si>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</si>
  <si>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</si>
  <si>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</si>
  <si>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</si>
  <si>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</si>
  <si>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</si>
  <si>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</si>
  <si>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</si>
  <si>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</si>
  <si>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</si>
  <si>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</si>
  <si>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</si>
  <si>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</si>
  <si>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</si>
  <si>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</si>
  <si>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</si>
  <si>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</si>
  <si>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</si>
  <si>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</si>
  <si>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</si>
  <si>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</si>
  <si>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</si>
  <si>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</si>
  <si>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</si>
  <si>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</si>
  <si>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</si>
  <si>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</si>
  <si>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</si>
  <si>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</si>
  <si>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</si>
  <si>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</si>
  <si>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</si>
  <si>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</si>
  <si>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</si>
  <si>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</si>
  <si>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</si>
  <si>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</si>
  <si>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</si>
  <si>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</si>
  <si>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</si>
  <si>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</si>
  <si>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</si>
  <si>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</si>
  <si>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</si>
  <si>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</si>
  <si>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</si>
  <si>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</si>
  <si>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</si>
  <si>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</si>
  <si>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</si>
  <si>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</si>
  <si>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</si>
  <si>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</si>
  <si>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</si>
  <si>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</si>
  <si>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</si>
  <si>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</si>
  <si>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</si>
  <si>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</si>
  <si>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</si>
  <si>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</si>
  <si>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</si>
  <si>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</si>
  <si>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</si>
  <si>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</si>
  <si>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</si>
  <si>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</si>
  <si>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</si>
  <si>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</si>
  <si>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</si>
  <si>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</si>
  <si>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</si>
  <si>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</si>
  <si>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</si>
  <si>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</si>
  <si>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</si>
  <si>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</si>
  <si>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</si>
  <si>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</si>
  <si>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</si>
  <si>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</si>
  <si>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</si>
  <si>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</si>
  <si>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</si>
  <si>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</si>
  <si>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</si>
  <si>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</si>
  <si>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</si>
  <si>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</si>
  <si>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</si>
  <si>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</si>
  <si>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</si>
  <si>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</si>
  <si>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</si>
  <si>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</si>
  <si>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</si>
  <si>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</si>
  <si>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</si>
  <si>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</si>
  <si>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</si>
  <si>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</si>
  <si>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</si>
  <si>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</si>
  <si>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</si>
  <si>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</si>
  <si>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</si>
  <si>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</si>
  <si>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</si>
  <si>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</si>
  <si>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</si>
  <si>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</si>
  <si>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</si>
  <si>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</si>
  <si>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</si>
  <si>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</si>
  <si>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</si>
  <si>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</si>
  <si>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</si>
  <si>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</si>
  <si>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</si>
  <si>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</si>
  <si>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</si>
  <si>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</si>
  <si>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</si>
  <si>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</si>
  <si>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</si>
  <si>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</si>
  <si>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</si>
  <si>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</si>
  <si>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</si>
  <si>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</si>
  <si>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</si>
  <si>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</si>
  <si>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</si>
  <si>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</si>
  <si>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</si>
  <si>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</si>
  <si>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</si>
  <si>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</si>
  <si>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</si>
  <si>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</si>
  <si>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</si>
  <si>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</si>
  <si>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</si>
  <si>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</si>
  <si>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</si>
  <si>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</si>
  <si>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</si>
  <si>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</si>
  <si>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45um</t>
  </si>
  <si>
    <t xml:space="preserve"> +/- 3mm</t>
  </si>
  <si>
    <t>QUANTUM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</si>
</sst>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PB22036050BK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44636</v>
      </c>
      <c r="K1" s="95"/>
      <c r="L1" s="96"/>
      <c r="M1" s="34"/>
      <c r="N1" s="12" t="s">
        <v>56</v>
      </c>
      <c r="O1" s="122" t="str">
        <f>B1</f>
        <v>PB22036050BK</v>
      </c>
      <c r="P1" s="122"/>
      <c r="Q1" s="123"/>
      <c r="R1" s="12" t="s">
        <v>57</v>
      </c>
      <c r="S1" s="122" t="str">
        <f>F1</f>
        <v>QUANTUM</v>
      </c>
      <c r="T1" s="122"/>
      <c r="U1" s="123"/>
      <c r="V1" s="12" t="s">
        <v>181</v>
      </c>
      <c r="W1" s="95">
        <f ca="1">J1</f>
        <v>44636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940153</v>
      </c>
      <c r="G2" s="98"/>
      <c r="H2" s="99"/>
      <c r="I2" s="12" t="s">
        <v>59</v>
      </c>
      <c r="J2" s="97">
        <v>44334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940153</v>
      </c>
      <c r="T2" s="122"/>
      <c r="U2" s="123"/>
      <c r="V2" s="12" t="s">
        <v>59</v>
      </c>
      <c r="W2" s="135">
        <f>J2</f>
        <v>44334</v>
      </c>
      <c r="X2" s="122"/>
      <c r="Y2" s="123"/>
    </row>
    <row r="3" spans="1:28" ht="20.100000000000001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177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8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8000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220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220</v>
      </c>
      <c r="S9" s="20" t="s">
        <v>78</v>
      </c>
      <c r="T9" s="35">
        <v>360</v>
      </c>
      <c r="U9" s="20" t="s">
        <v>78</v>
      </c>
      <c r="V9" s="35">
        <v>50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63.36</v>
      </c>
      <c r="F10" s="113"/>
      <c r="G10" s="12" t="s">
        <v>53</v>
      </c>
      <c r="H10" s="116">
        <f>IF(ISNUMBER(SEARCH("sheet",O8,1)),(U7*T9/2000*1.08),(U7*T9/1000*1.08))</f>
        <v>3110.4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15.84</v>
      </c>
      <c r="F11" s="115"/>
      <c r="G11" s="12" t="s">
        <v>15</v>
      </c>
      <c r="H11" s="114">
        <f>H10/B10</f>
        <v>777.6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8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168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60"/>
      <c r="Y16" s="94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158"/>
      <c r="J17" s="159"/>
      <c r="K17" s="158"/>
      <c r="L17" s="159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60"/>
      <c r="Y17" s="94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158"/>
      <c r="J18" s="159"/>
      <c r="K18" s="158"/>
      <c r="L18" s="159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60"/>
      <c r="Y18" s="94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158"/>
      <c r="J19" s="159"/>
      <c r="K19" s="158"/>
      <c r="L19" s="159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158"/>
      <c r="J20" s="159"/>
      <c r="K20" s="158"/>
      <c r="L20" s="159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158"/>
      <c r="J21" s="159"/>
      <c r="K21" s="158"/>
      <c r="L21" s="159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>BLACK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9"/>
      <c r="E22" s="157">
        <v>0.04</v>
      </c>
      <c r="F22" s="94"/>
      <c r="G22" s="56" t="s">
        <v>86</v>
      </c>
      <c r="H22" s="37"/>
      <c r="I22" s="158"/>
      <c r="J22" s="159"/>
      <c r="K22" s="158"/>
      <c r="L22" s="159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158"/>
      <c r="J23" s="159"/>
      <c r="K23" s="158"/>
      <c r="L23" s="159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158"/>
      <c r="J24" s="159"/>
      <c r="K24" s="158"/>
      <c r="L24" s="159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44667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44657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7D81774-C7D7-4515-AC35-92E91ACF8EA3}"/>
</file>

<file path=customXml/itemProps2.xml><?xml version="1.0" encoding="utf-8"?>
<ds:datastoreItem xmlns:ds="http://schemas.openxmlformats.org/officeDocument/2006/customXml" ds:itemID="{22E880B4-C3C8-4710-8C7C-A7AB4F01CBF9}"/>
</file>

<file path=customXml/itemProps3.xml><?xml version="1.0" encoding="utf-8"?>
<ds:datastoreItem xmlns:ds="http://schemas.openxmlformats.org/officeDocument/2006/customXml" ds:itemID="{ABB66A2B-BE0D-4F96-A72B-0FFFDA941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2021-04-27T01:54:56Z</cp:lastPrinted>
  <dcterms:created xsi:type="dcterms:W3CDTF">2019-11-27T23:28:06Z</dcterms:created>
  <dcterms:modified xsi:type="dcterms:W3CDTF">2022-03-17T04:10:33Z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