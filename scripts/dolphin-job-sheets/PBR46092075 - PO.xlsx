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ED5A028-0DAB-4724-9DDC-18705820243B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<sst xmlns="http://schemas.openxmlformats.org/spreadsheetml/2006/main" count="301" uniqueCount="198">
  <si>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</si>
  <si>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</si>
  <si>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</si>
  <si>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</si>
  <si>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</si>
  <si>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</si>
  <si>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</si>
  <si>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</si>
  <si>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</si>
  <si>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</si>
  <si>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</si>
  <si>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</si>
  <si>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</si>
  <si>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</si>
  <si>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</si>
  <si>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</si>
  <si>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</si>
  <si>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</si>
  <si>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</si>
  <si>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</si>
  <si>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</si>
  <si>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</si>
  <si>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</si>
  <si>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</si>
  <si>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</si>
  <si>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</si>
  <si>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</si>
  <si>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</si>
  <si>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</si>
  <si>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</si>
  <si>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</si>
  <si>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</si>
  <si>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</si>
  <si>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</si>
  <si>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</si>
  <si>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</si>
  <si>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</si>
  <si>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</si>
  <si>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</si>
  <si>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</si>
  <si>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</si>
  <si>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</si>
  <si>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</si>
  <si>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</si>
  <si>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</si>
  <si>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</si>
  <si>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</si>
  <si>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</si>
  <si>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</si>
  <si>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</si>
  <si>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</si>
  <si>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</si>
  <si>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</si>
  <si>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</si>
  <si>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</si>
  <si>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</si>
  <si>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</si>
  <si>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</si>
  <si>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</si>
  <si>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</si>
  <si>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</si>
  <si>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</si>
  <si>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</si>
  <si>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</si>
  <si>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</si>
  <si>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</si>
  <si>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</si>
  <si>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</si>
  <si>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</si>
  <si>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</si>
  <si>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</si>
  <si>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</si>
  <si>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</si>
  <si>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</si>
  <si>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</si>
  <si>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</si>
  <si>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</si>
  <si>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</si>
  <si>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</si>
  <si>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</si>
  <si>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</si>
  <si>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</si>
  <si>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</si>
  <si>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</si>
  <si>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</si>
  <si>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</si>
  <si>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</si>
  <si>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</si>
  <si>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</si>
  <si>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</si>
  <si>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</si>
  <si>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</si>
  <si>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</si>
  <si>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</si>
  <si>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</si>
  <si>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</si>
  <si>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</si>
  <si>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</si>
  <si>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</si>
  <si>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</si>
  <si>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</si>
  <si>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</si>
  <si>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</si>
  <si>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</si>
  <si>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</si>
  <si>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</si>
  <si>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</si>
  <si>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</si>
  <si>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</si>
  <si>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</si>
  <si>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</si>
  <si>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</si>
  <si>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</si>
  <si>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</si>
  <si>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</si>
  <si>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</si>
  <si>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</si>
  <si>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</si>
  <si>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</si>
  <si>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</si>
  <si>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</si>
  <si>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</si>
  <si>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</si>
  <si>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</si>
  <si>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</si>
  <si>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</si>
  <si>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</si>
  <si>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</si>
  <si>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</si>
  <si>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</si>
  <si>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</si>
  <si>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</si>
  <si>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</si>
  <si>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</si>
  <si>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</si>
  <si>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</si>
  <si>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</si>
  <si>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</si>
  <si>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</si>
  <si>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</si>
  <si>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</si>
  <si>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</si>
  <si>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</si>
  <si>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</si>
  <si>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</si>
  <si>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</si>
  <si>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</si>
  <si>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</si>
  <si>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</si>
  <si>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</si>
  <si>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</si>
  <si>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</si>
  <si>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</si>
  <si>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</si>
  <si>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</si>
  <si>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</si>
  <si>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</si>
  <si>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</si>
  <si>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</si>
  <si>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</si>
  <si>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</si>
  <si>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</si>
  <si>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</si>
  <si>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</si>
  <si>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</si>
  <si>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</si>
  <si>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</si>
  <si>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</si>
  <si>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</si>
  <si>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</si>
  <si>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</si>
  <si>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</si>
  <si>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</si>
  <si>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</si>
  <si>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</si>
  <si>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</si>
  <si>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</si>
  <si>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</si>
  <si>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</si>
  <si>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</si>
  <si>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</si>
  <si>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</si>
  <si>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</si>
  <si>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</si>
  <si>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</si>
  <si>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</si>
  <si>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</si>
  <si>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</si>
  <si>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</si>
  <si>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</si>
  <si>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</si>
  <si>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</si>
  <si>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</si>
  <si>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</si>
  <si>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</si>
  <si>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PO</t>
  </si>
  <si>
    <t>RUN AT 70UM</t>
  </si>
  <si>
    <t>HORIZON SEAFOODS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</si>
</sst>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tr">
        <f>O9&amp;R9&amp;IF(X8="G","G","")&amp;IF(O8="Centrefold Roll","("&amp;E8&amp;")","")&amp;T9&amp;V9&amp;C22&amp;C23&amp;C24&amp;O11&amp;R11</f>
        <v>PBR46092075</v>
      </c>
      <c r="C1" s="109"/>
      <c r="D1" s="110"/>
      <c r="E1" s="11" t="s">
        <v>57</v>
      </c>
      <c r="F1" s="62" t="s">
        <v>197</v>
      </c>
      <c r="G1" s="62"/>
      <c r="H1" s="63"/>
      <c r="I1" s="12" t="s">
        <v>181</v>
      </c>
      <c r="J1" s="128">
        <f ca="1">TODAY()</f>
        <v>44978</v>
      </c>
      <c r="K1" s="128"/>
      <c r="L1" s="129"/>
      <c r="M1" s="29"/>
      <c r="N1" s="11" t="s">
        <v>56</v>
      </c>
      <c r="O1" s="109" t="str">
        <f>B1</f>
        <v>PBR46092075</v>
      </c>
      <c r="P1" s="109"/>
      <c r="Q1" s="110"/>
      <c r="R1" s="11" t="s">
        <v>57</v>
      </c>
      <c r="S1" s="109" t="str">
        <f>F1</f>
        <v>HORIZON SEAFOODS</v>
      </c>
      <c r="T1" s="109"/>
      <c r="U1" s="110"/>
      <c r="V1" s="11" t="s">
        <v>181</v>
      </c>
      <c r="W1" s="128">
        <f ca="1">J1</f>
        <v>44978</v>
      </c>
      <c r="X1" s="128"/>
      <c r="Y1" s="129"/>
    </row>
    <row r="2" spans="1:25" ht="20.149999999999999" customHeight="1" x14ac:dyDescent="0.8">
      <c r="A2" s="11" t="s">
        <v>100</v>
      </c>
      <c r="B2" s="109" t="str">
        <f>IF(U10="","",U10)</f>
        <v>PO</v>
      </c>
      <c r="C2" s="109"/>
      <c r="D2" s="110"/>
      <c r="E2" s="11" t="s">
        <v>58</v>
      </c>
      <c r="F2" s="62">
        <v>57105</v>
      </c>
      <c r="G2" s="62"/>
      <c r="H2" s="63"/>
      <c r="I2" s="11" t="s">
        <v>59</v>
      </c>
      <c r="J2" s="131" t="s">
        <v>192</v>
      </c>
      <c r="K2" s="62"/>
      <c r="L2" s="63"/>
      <c r="M2" s="29"/>
      <c r="N2" s="11" t="s">
        <v>100</v>
      </c>
      <c r="O2" s="109" t="str">
        <f>IF(B2="","",B2)</f>
        <v>PO</v>
      </c>
      <c r="P2" s="109"/>
      <c r="Q2" s="110"/>
      <c r="R2" s="11" t="s">
        <v>58</v>
      </c>
      <c r="S2" s="109">
        <f>IF(F2="","",F2)</f>
        <v>57105</v>
      </c>
      <c r="T2" s="109"/>
      <c r="U2" s="110"/>
      <c r="V2" s="11" t="s">
        <v>59</v>
      </c>
      <c r="W2" s="130" t="str">
        <f>J2</f>
        <v>ASAP</v>
      </c>
      <c r="X2" s="109"/>
      <c r="Y2" s="110"/>
    </row>
    <row r="3" spans="1:25" ht="20.149999999999999" customHeight="1" x14ac:dyDescent="0.7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>
        <f>A3</f>
        <v>0</v>
      </c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1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22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4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25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7"/>
    </row>
    <row r="6" spans="1:25" ht="20.149999999999999" customHeight="1" x14ac:dyDescent="0.75">
      <c r="A6" s="132" t="s">
        <v>2</v>
      </c>
      <c r="B6" s="133"/>
      <c r="C6" s="133"/>
      <c r="D6" s="133"/>
      <c r="E6" s="133"/>
      <c r="F6" s="133"/>
      <c r="G6" s="133"/>
      <c r="H6" s="133"/>
      <c r="I6" s="133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Rolls</v>
      </c>
      <c r="O7" s="62">
        <v>60</v>
      </c>
      <c r="P7" s="63"/>
      <c r="Q7" s="11" t="str">
        <f>IF(ISNUMBER(SEARCH("roll",O8,1)),"Per Roll","Per Carton")</f>
        <v>Per Roll</v>
      </c>
      <c r="R7" s="62">
        <v>250</v>
      </c>
      <c r="S7" s="63"/>
      <c r="T7" s="11" t="str">
        <f>IF(ISNUMBER(SEARCH("bag",O8,1)),"Total Bags","Total Sheets")</f>
        <v>Total Bags</v>
      </c>
      <c r="U7" s="109">
        <f>R7*O7</f>
        <v>15000</v>
      </c>
      <c r="V7" s="110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460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75</v>
      </c>
      <c r="I8" s="97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8" t="s">
        <v>165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34" t="s">
        <v>193</v>
      </c>
      <c r="C9" s="135"/>
      <c r="D9" s="142" t="str">
        <f>IF(K10="Middle","RUN 2 UP",IF(AND(O8="Centrefold Roll",B8=380),"RUN 2 UP",""))</f>
        <v/>
      </c>
      <c r="E9" s="100"/>
      <c r="F9" s="101"/>
      <c r="G9" s="16" t="s">
        <v>48</v>
      </c>
      <c r="H9" s="134" t="s">
        <v>196</v>
      </c>
      <c r="I9" s="135"/>
      <c r="J9" s="11" t="s">
        <v>55</v>
      </c>
      <c r="K9" s="62" t="s">
        <v>34</v>
      </c>
      <c r="L9" s="63"/>
      <c r="M9" s="29"/>
      <c r="N9" s="17"/>
      <c r="O9" s="102" t="str">
        <f>IF(O8="Poly Bag","PB",IF(O8="Poly Bag Roll","PBR",IF(O8="Centrefold Roll","CFR",IF(O8="Sheet","S",IF(O8="Sheet Roll","SR")))))</f>
        <v>PBR</v>
      </c>
      <c r="P9" s="103"/>
      <c r="Q9" s="17"/>
      <c r="R9" s="30">
        <v>460</v>
      </c>
      <c r="S9" s="18" t="s">
        <v>78</v>
      </c>
      <c r="T9" s="30">
        <v>920</v>
      </c>
      <c r="U9" s="18" t="s">
        <v>78</v>
      </c>
      <c r="V9" s="30">
        <v>75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60</v>
      </c>
      <c r="C10" s="63"/>
      <c r="D10" s="47" t="s">
        <v>134</v>
      </c>
      <c r="E10" s="136">
        <f>IF(ISNUMBER(SEARCH("sheet",O8,1)),((R9*T9*H8/540000)*U7/2000*1.3),((R9*T9*H8/540000)*U7/1000*1.08))</f>
        <v>952.2</v>
      </c>
      <c r="F10" s="137"/>
      <c r="G10" s="11" t="s">
        <v>53</v>
      </c>
      <c r="H10" s="140">
        <f>IF(ISNUMBER(SEARCH("sheet",O8,1)),(U7*T9/2000*1.08),(U7*T9/1000*1.08))</f>
        <v>14904.000000000002</v>
      </c>
      <c r="I10" s="141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195</v>
      </c>
      <c r="V10" s="104"/>
      <c r="W10" s="104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8">
        <f>E10/B10</f>
        <v>15.870000000000001</v>
      </c>
      <c r="F11" s="139"/>
      <c r="G11" s="11" t="s">
        <v>15</v>
      </c>
      <c r="H11" s="138">
        <f>H10/B10</f>
        <v>248.40000000000003</v>
      </c>
      <c r="I11" s="139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/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/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/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Rolls</v>
      </c>
      <c r="U17" s="62" t="s">
        <v>23</v>
      </c>
      <c r="V17" s="63"/>
      <c r="W17" s="11" t="str">
        <f>IF(ISNUMBER(SEARCH("roll",O8,1)),"Total Rolls","Total Ctns")</f>
        <v>Total Rolls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/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7"/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44999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1291743-9F3D-441D-957F-EE6512EC7788}"/>
</file>

<file path=customXml/itemProps2.xml><?xml version="1.0" encoding="utf-8"?>
<ds:datastoreItem xmlns:ds="http://schemas.openxmlformats.org/officeDocument/2006/customXml" ds:itemID="{CA8F0643-E523-46E8-8A02-3C883368134A}"/>
</file>

<file path=customXml/itemProps3.xml><?xml version="1.0" encoding="utf-8"?>
<ds:datastoreItem xmlns:ds="http://schemas.openxmlformats.org/officeDocument/2006/customXml" ds:itemID="{23007CEF-C70A-46DA-A3B0-62ACF75D7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2023-02-21T04:22:52Z</cp:lastPrinted>
  <dcterms:created xsi:type="dcterms:W3CDTF">2019-11-27T23:28:06Z</dcterms:created>
  <dcterms:modified xsi:type="dcterms:W3CDTF">2023-02-21T23:21:36Z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