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FF87A44-6888-4FC1-87B3-2E421C9A44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2" i="1" l="1"/>
  <c r="W16" i="1" l="1"/>
  <c r="U13" i="1"/>
  <c r="T17" i="1" l="1"/>
  <c r="K8" i="1"/>
  <c r="T7" i="1"/>
  <c r="Q7" i="1"/>
  <c r="N7" i="1"/>
  <c r="W17" i="1"/>
  <c r="O11" i="1"/>
  <c r="C24" i="1" l="1"/>
  <c r="C23" i="1"/>
  <c r="R10" i="1" l="1"/>
  <c r="R11" i="1" s="1"/>
  <c r="Q13" i="1" l="1"/>
  <c r="U7" i="1" l="1"/>
  <c r="H10" i="1" l="1"/>
  <c r="H11" i="1" s="1"/>
  <c r="H8" i="1"/>
  <c r="E10" i="1" s="1"/>
  <c r="E11" i="1" s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<sst xmlns="http://schemas.openxmlformats.org/spreadsheetml/2006/main" count="320" uniqueCount="209">
  <si>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</si>
  <si>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</si>
  <si>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</si>
  <si>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</si>
  <si>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</si>
  <si>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</si>
  <si>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</si>
  <si>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</si>
  <si>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</si>
  <si>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</si>
  <si>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</si>
  <si>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</si>
  <si>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</si>
  <si>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</si>
  <si>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</si>
  <si>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</si>
  <si>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</si>
  <si>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</si>
  <si>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</si>
  <si>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</si>
  <si>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</si>
  <si>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</si>
  <si>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</si>
  <si>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</si>
  <si>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</si>
  <si>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</si>
  <si>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</si>
  <si>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</si>
  <si>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</si>
  <si>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</si>
  <si>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</si>
  <si>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</si>
  <si>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</si>
  <si>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</si>
  <si>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</si>
  <si>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</si>
  <si>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</si>
  <si>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</si>
  <si>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</si>
  <si>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</si>
  <si>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</si>
  <si>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</si>
  <si>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</si>
  <si>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</si>
  <si>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</si>
  <si>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</si>
  <si>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</si>
  <si>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</si>
  <si>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</si>
  <si>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</si>
  <si>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</si>
  <si>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</si>
  <si>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</si>
  <si>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</si>
  <si>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</si>
  <si>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</si>
  <si>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</si>
  <si>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</si>
  <si>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</si>
  <si>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</si>
  <si>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</si>
  <si>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</si>
  <si>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</si>
  <si>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</si>
  <si>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</si>
  <si>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</si>
  <si>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</si>
  <si>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</si>
  <si>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</si>
  <si>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</si>
  <si>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</si>
  <si>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</si>
  <si>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</si>
  <si>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</si>
  <si>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</si>
  <si>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</si>
  <si>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</si>
  <si>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</si>
  <si>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</si>
  <si>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</si>
  <si>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</si>
  <si>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</si>
  <si>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</si>
  <si>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</si>
  <si>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</si>
  <si>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</si>
  <si>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</si>
  <si>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</si>
  <si>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</si>
  <si>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</si>
  <si>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</si>
  <si>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</si>
  <si>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</si>
  <si>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</si>
  <si>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</si>
  <si>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</si>
  <si>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</si>
  <si>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</si>
  <si>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</si>
  <si>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</si>
  <si>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</si>
  <si>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</si>
  <si>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</si>
  <si>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</si>
  <si>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</si>
  <si>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</si>
  <si>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</si>
  <si>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</si>
  <si>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</si>
  <si>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</si>
  <si>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</si>
  <si>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</si>
  <si>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</si>
  <si>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</si>
  <si>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</si>
  <si>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</si>
  <si>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</si>
  <si>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</si>
  <si>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</si>
  <si>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</si>
  <si>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</si>
  <si>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</si>
  <si>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</si>
  <si>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</si>
  <si>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</si>
  <si>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</si>
  <si>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</si>
  <si>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</si>
  <si>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</si>
  <si>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</si>
  <si>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</si>
  <si>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</si>
  <si>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</si>
  <si>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</si>
  <si>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</si>
  <si>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</si>
  <si>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</si>
  <si>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</si>
  <si>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</si>
  <si>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</si>
  <si>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</si>
  <si>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</si>
  <si>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</si>
  <si>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</si>
  <si>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</si>
  <si>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</si>
  <si>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</si>
  <si>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</si>
  <si>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</si>
  <si>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</si>
  <si>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</si>
  <si>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</si>
  <si>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</si>
  <si>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</si>
  <si>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</si>
  <si>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</si>
  <si>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</si>
  <si>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</si>
  <si>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</si>
  <si>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</si>
  <si>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</si>
  <si>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</si>
  <si>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</si>
  <si>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</si>
  <si>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</si>
  <si>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</si>
  <si>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</si>
  <si>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</si>
  <si>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</si>
  <si>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</si>
  <si>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</si>
  <si>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</si>
  <si>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</si>
  <si>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</si>
  <si>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</si>
  <si>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</si>
  <si>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</si>
  <si>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</si>
  <si>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</si>
  <si>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 xml:space="preserve"> +/- 5mm</t>
  </si>
  <si>
    <t>EXTRUSION SPECS</t>
  </si>
  <si>
    <t>Extruder</t>
  </si>
  <si>
    <t>Created</t>
  </si>
  <si>
    <t xml:space="preserve"> +/- 5um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</si>
  <si>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</si>
  <si>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</si>
  <si>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</si>
  <si>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</si>
  <si>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</si>
  <si>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</si>
  <si>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</si>
  <si>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</si>
  <si>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</si>
  <si>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</si>
  <si>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</si>
  <si>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</si>
  <si>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HT CONCEPTS</t>
  </si>
  <si>
    <t>SILVER</t>
  </si>
  <si>
    <t>SOLID SILVER PANEL ON ONE SIDE - HT COCEPTS LOGO IN BLACK ON OTHER SIDE</t>
  </si>
  <si>
    <t>UV</t>
  </si>
  <si>
    <t>LIMAX</t>
  </si>
  <si>
    <t>150 Meat</t>
  </si>
  <si>
    <t>130 Meat</t>
  </si>
  <si>
    <t>BLUE/SILVER BANANA SL</t>
  </si>
  <si>
    <r>
      <t xml:space="preserve">TREAT BOTH SIDES! - ONE SIDE MUST BE PRINTED SOLID SILVER - MUST BE GOOD SOLID PRINT - </t>
    </r>
    <r>
      <rPr>
        <b/>
        <sz val="20"/>
        <color rgb="FFFF0000"/>
        <rFont val="Calibri"/>
        <family val="2"/>
        <scheme val="minor"/>
      </rPr>
      <t>NO HEAT SLEEVE ONLY</t>
    </r>
  </si>
  <si>
    <t xml:space="preserve">NO SEAL, SLEEVE ONLY - 130 MEAT  CARTONS ONLY                                                             NEAT FOLDS - 5 PER PACK - PACK INTO PACKING BAG </t>
  </si>
  <si>
    <t>%</t>
  </si>
  <si>
    <t>ANTIBLOCK/ANTISTATIC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</si>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</sst>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8" fillId="5" borderId="7" xfId="0" applyFont="1" applyFill="1" applyBorder="1" applyAlignment="1" applyProtection="1">
      <alignment horizontal="center" vertical="top" wrapText="1"/>
      <protection locked="0"/>
    </xf>
    <xf numFmtId="0" fontId="18" fillId="5" borderId="3" xfId="0" applyFont="1" applyFill="1" applyBorder="1" applyAlignment="1" applyProtection="1">
      <alignment horizontal="center" vertical="top" wrapText="1"/>
      <protection locked="0"/>
    </xf>
    <xf numFmtId="0" fontId="18" fillId="5" borderId="8" xfId="0" applyFont="1" applyFill="1" applyBorder="1" applyAlignment="1" applyProtection="1">
      <alignment horizontal="center" vertical="top" wrapText="1"/>
      <protection locked="0"/>
    </xf>
    <xf numFmtId="0" fontId="18" fillId="5" borderId="9" xfId="0" applyFont="1" applyFill="1" applyBorder="1" applyAlignment="1" applyProtection="1">
      <alignment horizontal="center" vertical="top" wrapText="1"/>
      <protection locked="0"/>
    </xf>
    <xf numFmtId="0" fontId="18" fillId="5" borderId="0" xfId="0" applyFont="1" applyFill="1" applyAlignment="1" applyProtection="1">
      <alignment horizontal="center" vertical="top" wrapText="1"/>
      <protection locked="0"/>
    </xf>
    <xf numFmtId="0" fontId="18" fillId="5" borderId="10" xfId="0" applyFont="1" applyFill="1" applyBorder="1" applyAlignment="1" applyProtection="1">
      <alignment horizontal="center" vertical="top" wrapText="1"/>
      <protection locked="0"/>
    </xf>
    <xf numFmtId="0" fontId="18" fillId="5" borderId="11" xfId="0" applyFont="1" applyFill="1" applyBorder="1" applyAlignment="1" applyProtection="1">
      <alignment horizontal="center" vertical="top" wrapText="1"/>
      <protection locked="0"/>
    </xf>
    <xf numFmtId="0" fontId="18" fillId="5" borderId="1" xfId="0" applyFont="1" applyFill="1" applyBorder="1" applyAlignment="1" applyProtection="1">
      <alignment horizontal="center" vertical="top" wrapText="1"/>
      <protection locked="0"/>
    </xf>
    <xf numFmtId="0" fontId="18" fillId="5" borderId="12" xfId="0" applyFont="1" applyFill="1" applyBorder="1" applyAlignment="1" applyProtection="1">
      <alignment horizontal="center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FF4747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2" t="str">
        <f>O9&amp;R9&amp;IF(X8="G","G","")&amp;IF(O8="Centrefold Roll","("&amp;E8&amp;")","")&amp;T9&amp;V9&amp;C22&amp;C23&amp;C24&amp;O11&amp;R11</f>
        <v>PB730122045BLUV0P</v>
      </c>
      <c r="C1" s="112"/>
      <c r="D1" s="113"/>
      <c r="E1" s="9" t="s">
        <v>57</v>
      </c>
      <c r="F1" s="62" t="s">
        <v>196</v>
      </c>
      <c r="G1" s="62"/>
      <c r="H1" s="63"/>
      <c r="I1" s="10" t="s">
        <v>182</v>
      </c>
      <c r="J1" s="132">
        <f ca="1">TODAY()</f>
        <v>46094</v>
      </c>
      <c r="K1" s="132"/>
      <c r="L1" s="133"/>
      <c r="M1" s="29"/>
      <c r="N1" s="9" t="s">
        <v>56</v>
      </c>
      <c r="O1" s="112" t="str">
        <f>B1</f>
        <v>PB730122045BLUV0P</v>
      </c>
      <c r="P1" s="112"/>
      <c r="Q1" s="113"/>
      <c r="R1" s="9" t="s">
        <v>57</v>
      </c>
      <c r="S1" s="112" t="str">
        <f>F1</f>
        <v>HT CONCEPTS</v>
      </c>
      <c r="T1" s="112"/>
      <c r="U1" s="113"/>
      <c r="V1" s="9" t="s">
        <v>182</v>
      </c>
      <c r="W1" s="132">
        <f ca="1">J1</f>
        <v>46094</v>
      </c>
      <c r="X1" s="132"/>
      <c r="Y1" s="133"/>
    </row>
    <row r="2" spans="1:25" ht="20.100000000000001" customHeight="1" x14ac:dyDescent="0.25">
      <c r="A2" s="9" t="s">
        <v>100</v>
      </c>
      <c r="B2" s="112" t="str">
        <f>IF(U10="","",U10)</f>
        <v>BLUE/SILVER BANANA SL</v>
      </c>
      <c r="C2" s="112"/>
      <c r="D2" s="113"/>
      <c r="E2" s="9" t="s">
        <v>58</v>
      </c>
      <c r="F2" s="62"/>
      <c r="G2" s="62"/>
      <c r="H2" s="63"/>
      <c r="I2" s="9" t="s">
        <v>59</v>
      </c>
      <c r="J2" s="135" t="s">
        <v>194</v>
      </c>
      <c r="K2" s="62"/>
      <c r="L2" s="63"/>
      <c r="M2" s="29"/>
      <c r="N2" s="9" t="s">
        <v>100</v>
      </c>
      <c r="O2" s="112" t="str">
        <f>IF(B2="","",B2)</f>
        <v>BLUE/SILVER BANANA SL</v>
      </c>
      <c r="P2" s="112"/>
      <c r="Q2" s="113"/>
      <c r="R2" s="9" t="s">
        <v>58</v>
      </c>
      <c r="S2" s="112" t="str">
        <f>IF(F2="","",F2)</f>
        <v/>
      </c>
      <c r="T2" s="112"/>
      <c r="U2" s="113"/>
      <c r="V2" s="9" t="s">
        <v>59</v>
      </c>
      <c r="W2" s="134" t="str">
        <f>J2</f>
        <v>ASAP</v>
      </c>
      <c r="X2" s="112"/>
      <c r="Y2" s="113"/>
    </row>
    <row r="3" spans="1:25" ht="20.100000000000001" customHeight="1" x14ac:dyDescent="0.25">
      <c r="A3" s="114" t="s">
        <v>204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23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5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9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1"/>
    </row>
    <row r="6" spans="1:25" ht="20.100000000000001" customHeight="1" x14ac:dyDescent="0.25">
      <c r="A6" s="136" t="s">
        <v>2</v>
      </c>
      <c r="B6" s="137"/>
      <c r="C6" s="137"/>
      <c r="D6" s="137"/>
      <c r="E6" s="137"/>
      <c r="F6" s="137"/>
      <c r="G6" s="137"/>
      <c r="H6" s="137"/>
      <c r="I6" s="137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9" t="s">
        <v>49</v>
      </c>
      <c r="B7" s="104" t="s">
        <v>150</v>
      </c>
      <c r="C7" s="104"/>
      <c r="D7" s="104"/>
      <c r="E7" s="104"/>
      <c r="F7" s="104"/>
      <c r="G7" s="104"/>
      <c r="H7" s="104"/>
      <c r="I7" s="105"/>
      <c r="J7" s="67" t="s">
        <v>180</v>
      </c>
      <c r="K7" s="67"/>
      <c r="L7" s="68"/>
      <c r="M7" s="29"/>
      <c r="N7" s="9" t="str">
        <f>IF(ISNUMBER(SEARCH("roll",O8,1)),"No. Rolls","No. Cartons")</f>
        <v>No. Cartons</v>
      </c>
      <c r="O7" s="62">
        <v>67</v>
      </c>
      <c r="P7" s="63"/>
      <c r="Q7" s="9" t="str">
        <f>IF(ISNUMBER(SEARCH("roll",O8,1)),"Per Roll","Per Carton")</f>
        <v>Per Carton</v>
      </c>
      <c r="R7" s="62">
        <v>150</v>
      </c>
      <c r="S7" s="63"/>
      <c r="T7" s="9" t="str">
        <f>IF(ISNUMBER(SEARCH("bag",O8,1)),"Total Bags","Total Sheets")</f>
        <v>Total Bags</v>
      </c>
      <c r="U7" s="112">
        <f>R7*O7</f>
        <v>10050</v>
      </c>
      <c r="V7" s="113"/>
      <c r="W7" s="9" t="s">
        <v>102</v>
      </c>
      <c r="X7" s="62" t="s">
        <v>23</v>
      </c>
      <c r="Y7" s="63"/>
    </row>
    <row r="8" spans="1:25" ht="20.100000000000001" customHeight="1" x14ac:dyDescent="0.25">
      <c r="A8" s="11" t="s">
        <v>16</v>
      </c>
      <c r="B8" s="100">
        <f>R9</f>
        <v>730</v>
      </c>
      <c r="C8" s="103"/>
      <c r="D8" s="14" t="str">
        <f>IF(ISNUMBER(SEARCH("bag",#REF!,1)),"Gusset","Centrefold")</f>
        <v>Centrefold</v>
      </c>
      <c r="E8" s="100" t="str">
        <f>IF(O8="Centrefold Roll",B8*2,IF(X9="","None",X9))</f>
        <v>None</v>
      </c>
      <c r="F8" s="103"/>
      <c r="G8" s="11" t="s">
        <v>52</v>
      </c>
      <c r="H8" s="100">
        <f>(IF(V9&lt;30,"30",V9))</f>
        <v>45</v>
      </c>
      <c r="I8" s="103"/>
      <c r="J8" s="9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2" t="s">
        <v>54</v>
      </c>
      <c r="O8" s="101" t="s">
        <v>164</v>
      </c>
      <c r="P8" s="102"/>
      <c r="Q8" s="12" t="s">
        <v>191</v>
      </c>
      <c r="R8" s="13" t="s">
        <v>16</v>
      </c>
      <c r="S8" s="13"/>
      <c r="T8" s="13" t="s">
        <v>79</v>
      </c>
      <c r="U8" s="13"/>
      <c r="V8" s="13" t="s">
        <v>80</v>
      </c>
      <c r="W8" s="14" t="str">
        <f>IF(ISNUMBER(SEARCH("bag",O8,1)),"Gusset","Centrefold")</f>
        <v>Gusset</v>
      </c>
      <c r="X8" s="98" t="str">
        <f>IF(AND(W8="Gusset",X9=""), "None",IF(AND(W8="Centrefold",X9=""),"None",IF(W8="Gusset","G",IF(W8="Centrefold","CF"))))</f>
        <v>None</v>
      </c>
      <c r="Y8" s="99"/>
    </row>
    <row r="9" spans="1:25" ht="20.100000000000001" customHeight="1" x14ac:dyDescent="0.3">
      <c r="A9" s="15" t="s">
        <v>48</v>
      </c>
      <c r="B9" s="138" t="s">
        <v>179</v>
      </c>
      <c r="C9" s="139"/>
      <c r="D9" s="146" t="str">
        <f>IF(K10="Middle","RUN 2 UP",IF(AND(O8="Centrefold Roll",B8=380),"RUN 2 UP",""))</f>
        <v/>
      </c>
      <c r="E9" s="104"/>
      <c r="F9" s="105"/>
      <c r="G9" s="15" t="s">
        <v>48</v>
      </c>
      <c r="H9" s="138" t="s">
        <v>183</v>
      </c>
      <c r="I9" s="139"/>
      <c r="J9" s="9" t="s">
        <v>55</v>
      </c>
      <c r="K9" s="62" t="s">
        <v>30</v>
      </c>
      <c r="L9" s="63"/>
      <c r="M9" s="29"/>
      <c r="N9" s="16"/>
      <c r="O9" s="106" t="str">
        <f>IF(O8="Poly Bag","PB",IF(O8="Poly Bag Roll","PBR",IF(O8="Centrefold Roll","CFR",IF(O8="Sheet","S",IF(O8="Sheet Roll","SR")))))</f>
        <v>PB</v>
      </c>
      <c r="P9" s="107"/>
      <c r="Q9" s="16"/>
      <c r="R9" s="30">
        <v>730</v>
      </c>
      <c r="S9" s="17" t="s">
        <v>78</v>
      </c>
      <c r="T9" s="30">
        <v>1220</v>
      </c>
      <c r="U9" s="17" t="s">
        <v>78</v>
      </c>
      <c r="V9" s="30">
        <v>45</v>
      </c>
      <c r="W9" s="16"/>
      <c r="X9" s="88"/>
      <c r="Y9" s="89"/>
    </row>
    <row r="10" spans="1:25" ht="20.100000000000001" customHeight="1" x14ac:dyDescent="0.25">
      <c r="A10" s="9" t="s">
        <v>51</v>
      </c>
      <c r="B10" s="62">
        <v>20</v>
      </c>
      <c r="C10" s="63"/>
      <c r="D10" s="47" t="s">
        <v>134</v>
      </c>
      <c r="E10" s="140">
        <f>IF(ISNUMBER(SEARCH("sheet",O8,1)),((R9*T9*H8/540000)*U7/2000*1.3),((R9*T9*H8/540000)*U7/1000*1.08))</f>
        <v>805.54770000000008</v>
      </c>
      <c r="F10" s="141"/>
      <c r="G10" s="9" t="s">
        <v>53</v>
      </c>
      <c r="H10" s="144">
        <f>IF(ISNUMBER(SEARCH("sheet",O8,1)),(U7*T9/2000*1.08),(U7*T9/1000*1.08))</f>
        <v>13241.880000000001</v>
      </c>
      <c r="I10" s="145"/>
      <c r="J10" s="9" t="s">
        <v>41</v>
      </c>
      <c r="K10" s="62" t="s">
        <v>44</v>
      </c>
      <c r="L10" s="63"/>
      <c r="M10" s="29"/>
      <c r="N10" s="12" t="s">
        <v>141</v>
      </c>
      <c r="O10" s="101" t="s">
        <v>44</v>
      </c>
      <c r="P10" s="102"/>
      <c r="Q10" s="12" t="s">
        <v>50</v>
      </c>
      <c r="R10" s="98" t="str">
        <f>IF(K11="NONE","None",IF(K11="INLINE","Yes",IF(K11="OUT OF LINE","Yes")))</f>
        <v>Yes</v>
      </c>
      <c r="S10" s="98"/>
      <c r="T10" s="12" t="s">
        <v>100</v>
      </c>
      <c r="U10" s="108" t="s">
        <v>203</v>
      </c>
      <c r="V10" s="108"/>
      <c r="W10" s="108"/>
      <c r="X10" s="108"/>
      <c r="Y10" s="109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9" t="s">
        <v>135</v>
      </c>
      <c r="E11" s="142">
        <f>E10/B10</f>
        <v>40.277385000000002</v>
      </c>
      <c r="F11" s="143"/>
      <c r="G11" s="9" t="s">
        <v>15</v>
      </c>
      <c r="H11" s="142">
        <f>H10/B10</f>
        <v>662.09400000000005</v>
      </c>
      <c r="I11" s="143"/>
      <c r="J11" s="9" t="s">
        <v>50</v>
      </c>
      <c r="K11" s="62" t="s">
        <v>64</v>
      </c>
      <c r="L11" s="63"/>
      <c r="M11" s="29"/>
      <c r="N11" s="11"/>
      <c r="O11" s="100" t="str">
        <f>IF(O10="NONE","","V")</f>
        <v/>
      </c>
      <c r="P11" s="103"/>
      <c r="Q11" s="11"/>
      <c r="R11" s="100" t="str">
        <f>IF(R10="None","","P")</f>
        <v>P</v>
      </c>
      <c r="S11" s="100"/>
      <c r="T11" s="11"/>
      <c r="U11" s="110"/>
      <c r="V11" s="110"/>
      <c r="W11" s="110"/>
      <c r="X11" s="110"/>
      <c r="Y11" s="111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9" t="s">
        <v>68</v>
      </c>
      <c r="B13" s="62" t="s">
        <v>69</v>
      </c>
      <c r="C13" s="62"/>
      <c r="D13" s="63"/>
      <c r="E13" s="18" t="s">
        <v>61</v>
      </c>
      <c r="F13" s="62" t="s">
        <v>67</v>
      </c>
      <c r="G13" s="62"/>
      <c r="H13" s="63"/>
      <c r="I13" s="9" t="s">
        <v>62</v>
      </c>
      <c r="J13" s="62" t="s">
        <v>197</v>
      </c>
      <c r="K13" s="62"/>
      <c r="L13" s="63"/>
      <c r="M13" s="29"/>
      <c r="N13" s="9" t="s">
        <v>72</v>
      </c>
      <c r="O13" s="31" t="s">
        <v>57</v>
      </c>
      <c r="P13" s="9" t="s">
        <v>73</v>
      </c>
      <c r="Q13" s="19">
        <f>O7</f>
        <v>67</v>
      </c>
      <c r="R13" s="9" t="s">
        <v>74</v>
      </c>
      <c r="S13" s="31" t="s">
        <v>23</v>
      </c>
      <c r="T13" s="9" t="s">
        <v>178</v>
      </c>
      <c r="U13" s="19" t="str">
        <f>IF(S13="No","",(ROUNDUP(U7/W13/24,0)))</f>
        <v/>
      </c>
      <c r="V13" s="9" t="s">
        <v>75</v>
      </c>
      <c r="W13" s="31">
        <v>5</v>
      </c>
      <c r="X13" s="9" t="s">
        <v>76</v>
      </c>
      <c r="Y13" s="32"/>
    </row>
    <row r="14" spans="1:25" ht="20.100000000000001" customHeight="1" x14ac:dyDescent="0.3">
      <c r="A14" s="11" t="s">
        <v>60</v>
      </c>
      <c r="B14" s="104" t="s">
        <v>198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66" t="s">
        <v>4</v>
      </c>
      <c r="F16" s="68"/>
      <c r="G16" s="66" t="s">
        <v>5</v>
      </c>
      <c r="H16" s="68"/>
      <c r="I16" s="66" t="s">
        <v>11</v>
      </c>
      <c r="J16" s="68"/>
      <c r="K16" s="67" t="s">
        <v>12</v>
      </c>
      <c r="L16" s="68"/>
      <c r="M16" s="29"/>
      <c r="N16" s="9" t="s">
        <v>28</v>
      </c>
      <c r="O16" s="62" t="s">
        <v>202</v>
      </c>
      <c r="P16" s="63"/>
      <c r="Q16" s="9" t="s">
        <v>105</v>
      </c>
      <c r="R16" s="62" t="s">
        <v>23</v>
      </c>
      <c r="S16" s="63"/>
      <c r="T16" s="10" t="s">
        <v>103</v>
      </c>
      <c r="U16" s="62" t="s">
        <v>31</v>
      </c>
      <c r="V16" s="63"/>
      <c r="W16" s="9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6" t="s">
        <v>147</v>
      </c>
      <c r="D17" s="97"/>
      <c r="E17" s="90"/>
      <c r="F17" s="91"/>
      <c r="G17" s="28" t="s">
        <v>81</v>
      </c>
      <c r="H17" s="32"/>
      <c r="I17" s="59"/>
      <c r="J17" s="60"/>
      <c r="K17" s="59"/>
      <c r="L17" s="60"/>
      <c r="M17" s="29"/>
      <c r="N17" s="9" t="s">
        <v>26</v>
      </c>
      <c r="O17" s="62" t="s">
        <v>37</v>
      </c>
      <c r="P17" s="63"/>
      <c r="Q17" s="9" t="s">
        <v>104</v>
      </c>
      <c r="R17" s="62" t="s">
        <v>23</v>
      </c>
      <c r="S17" s="63"/>
      <c r="T17" s="10" t="str">
        <f>IF(ISNUMBER(SEARCH("roll",O8,1)),"Part Rolls","Part Ctns")</f>
        <v>Part Ctns</v>
      </c>
      <c r="U17" s="62" t="s">
        <v>31</v>
      </c>
      <c r="V17" s="63"/>
      <c r="W17" s="9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6" t="s">
        <v>146</v>
      </c>
      <c r="D18" s="97"/>
      <c r="E18" s="90"/>
      <c r="F18" s="91"/>
      <c r="G18" s="28" t="s">
        <v>82</v>
      </c>
      <c r="H18" s="32"/>
      <c r="I18" s="59"/>
      <c r="J18" s="60"/>
      <c r="K18" s="59"/>
      <c r="L18" s="60"/>
      <c r="M18" s="29"/>
      <c r="N18" s="9" t="s">
        <v>101</v>
      </c>
      <c r="O18" s="62" t="s">
        <v>38</v>
      </c>
      <c r="P18" s="63"/>
      <c r="Q18" s="9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9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6" t="s">
        <v>145</v>
      </c>
      <c r="D19" s="97"/>
      <c r="E19" s="90"/>
      <c r="F19" s="91"/>
      <c r="G19" s="28" t="s">
        <v>83</v>
      </c>
      <c r="H19" s="32"/>
      <c r="I19" s="59"/>
      <c r="J19" s="60"/>
      <c r="K19" s="59"/>
      <c r="L19" s="60"/>
      <c r="M19" s="29"/>
      <c r="N19" s="75" t="s">
        <v>205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6" t="s">
        <v>144</v>
      </c>
      <c r="D20" s="97"/>
      <c r="E20" s="90"/>
      <c r="F20" s="91"/>
      <c r="G20" s="2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6" t="s">
        <v>143</v>
      </c>
      <c r="D21" s="97"/>
      <c r="E21" s="90"/>
      <c r="F21" s="91"/>
      <c r="G21" s="2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BLUE</v>
      </c>
      <c r="B22" s="61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BL</v>
      </c>
      <c r="D22" s="97"/>
      <c r="E22" s="90" t="s">
        <v>206</v>
      </c>
      <c r="F22" s="91"/>
      <c r="G22" s="2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59" t="s">
        <v>199</v>
      </c>
      <c r="B23" s="159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7"/>
      <c r="E23" s="90" t="s">
        <v>206</v>
      </c>
      <c r="F23" s="91"/>
      <c r="G23" s="2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60" t="s">
        <v>207</v>
      </c>
      <c r="B24" s="161"/>
      <c r="C24" s="9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7"/>
      <c r="E24" s="92"/>
      <c r="F24" s="93"/>
      <c r="G24" s="28" t="s">
        <v>88</v>
      </c>
      <c r="H24" s="32"/>
      <c r="I24" s="59"/>
      <c r="J24" s="60"/>
      <c r="K24" s="59"/>
      <c r="L24" s="60"/>
      <c r="M24" s="29"/>
      <c r="N24" s="33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1" t="s">
        <v>96</v>
      </c>
      <c r="O25" s="8" t="s">
        <v>200</v>
      </c>
      <c r="P25" s="34"/>
      <c r="Q25" s="8">
        <v>24</v>
      </c>
      <c r="R25" s="8"/>
      <c r="S25" s="8"/>
      <c r="T25" s="8"/>
      <c r="U25" s="8"/>
      <c r="V25" s="8"/>
      <c r="W25" s="8"/>
      <c r="X25" s="8"/>
      <c r="Y25" s="8"/>
    </row>
    <row r="26" spans="1:25" ht="20.100000000000001" customHeight="1" x14ac:dyDescent="0.25">
      <c r="A26" s="22"/>
      <c r="B26" s="21" t="s">
        <v>181</v>
      </c>
      <c r="C26" s="21" t="s">
        <v>92</v>
      </c>
      <c r="D26" s="23" t="s">
        <v>90</v>
      </c>
      <c r="E26" s="23" t="s">
        <v>91</v>
      </c>
      <c r="F26" s="23" t="s">
        <v>93</v>
      </c>
      <c r="G26" s="95" t="s">
        <v>132</v>
      </c>
      <c r="H26" s="95"/>
      <c r="I26" s="95" t="s">
        <v>131</v>
      </c>
      <c r="J26" s="95"/>
      <c r="K26" s="23" t="s">
        <v>94</v>
      </c>
      <c r="L26" s="23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208</v>
      </c>
      <c r="C27" s="7"/>
      <c r="D27" s="8">
        <v>23</v>
      </c>
      <c r="E27" s="58">
        <v>7.6</v>
      </c>
      <c r="F27" s="7"/>
      <c r="G27" s="94"/>
      <c r="H27" s="94"/>
      <c r="I27" s="94"/>
      <c r="J27" s="94"/>
      <c r="K27" s="7"/>
      <c r="L27" s="8"/>
      <c r="M27" s="29"/>
      <c r="N27" s="23" t="s">
        <v>184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192</v>
      </c>
      <c r="X27" s="23" t="s">
        <v>193</v>
      </c>
      <c r="Y27" s="23" t="s">
        <v>22</v>
      </c>
    </row>
    <row r="28" spans="1:25" ht="20.100000000000001" customHeight="1" x14ac:dyDescent="0.25">
      <c r="A28" s="21" t="s">
        <v>97</v>
      </c>
      <c r="B28" s="7" t="s">
        <v>208</v>
      </c>
      <c r="C28" s="7"/>
      <c r="D28" s="8">
        <v>26</v>
      </c>
      <c r="E28" s="58">
        <v>9</v>
      </c>
      <c r="F28" s="8">
        <v>12.3</v>
      </c>
      <c r="G28" s="94"/>
      <c r="H28" s="94"/>
      <c r="I28" s="94"/>
      <c r="J28" s="94"/>
      <c r="K28" s="7"/>
      <c r="L28" s="8"/>
      <c r="M28" s="29"/>
      <c r="N28" s="48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8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5"/>
      <c r="C30" s="32"/>
      <c r="D30" s="10" t="s">
        <v>92</v>
      </c>
      <c r="E30" s="36"/>
      <c r="F30" s="32"/>
      <c r="G30" s="25" t="s">
        <v>98</v>
      </c>
      <c r="H30" s="37"/>
      <c r="I30" s="37"/>
      <c r="J30" s="38"/>
      <c r="K30" s="37"/>
      <c r="L30" s="39"/>
      <c r="M30" s="29"/>
      <c r="N30" s="48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5"/>
      <c r="C31" s="32"/>
      <c r="D31" s="10" t="s">
        <v>112</v>
      </c>
      <c r="E31" s="36"/>
      <c r="F31" s="40"/>
      <c r="G31" s="10" t="s">
        <v>98</v>
      </c>
      <c r="H31" s="36"/>
      <c r="I31" s="36"/>
      <c r="J31" s="36"/>
      <c r="K31" s="36"/>
      <c r="L31" s="32"/>
      <c r="M31" s="29"/>
      <c r="N31" s="48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1"/>
      <c r="C32" s="39"/>
      <c r="D32" s="26" t="s">
        <v>89</v>
      </c>
      <c r="E32" s="37"/>
      <c r="F32" s="39"/>
      <c r="G32" s="26" t="s">
        <v>111</v>
      </c>
      <c r="H32" s="37"/>
      <c r="I32" s="37"/>
      <c r="J32" s="37"/>
      <c r="K32" s="37"/>
      <c r="L32" s="39"/>
      <c r="M32" s="29"/>
      <c r="N32" s="49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47" t="s">
        <v>116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9"/>
      <c r="M33" s="29"/>
      <c r="N33" s="48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2"/>
      <c r="M34" s="29"/>
      <c r="N34" s="48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5"/>
      <c r="M35" s="29"/>
      <c r="N35" s="48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56" t="s">
        <v>136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8"/>
      <c r="M36" s="29"/>
      <c r="N36" s="48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9"/>
      <c r="N37" s="49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1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8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8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8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8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49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184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192</v>
      </c>
      <c r="X44" s="23" t="s">
        <v>193</v>
      </c>
      <c r="Y44" s="23" t="s">
        <v>22</v>
      </c>
    </row>
    <row r="45" spans="1:25" ht="20.100000000000001" customHeight="1" x14ac:dyDescent="0.25">
      <c r="A45" s="21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8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8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8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8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49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1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8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8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8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8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9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1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8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8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8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8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49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1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1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1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1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1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1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1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1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2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1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1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1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1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1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1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1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1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2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1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1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1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1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1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1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1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1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2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1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1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1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1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1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1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1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1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2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1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1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1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1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1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1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1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1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2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1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1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0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11000000}">
          <x14:formula1>
            <xm:f>Sheet2!$A$56:$A$71</xm:f>
          </x14:formula1>
          <xm:sqref>J13:L13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22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4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4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46125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46115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3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4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3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3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5"/>
      <c r="N19" s="20" t="s">
        <v>195</v>
      </c>
      <c r="T19" s="1"/>
      <c r="V19" s="1"/>
    </row>
    <row r="20" spans="1:23" x14ac:dyDescent="0.25">
      <c r="A20" s="56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5"/>
      <c r="N20" s="20" t="s">
        <v>166</v>
      </c>
      <c r="T20" s="1"/>
      <c r="V20" s="1"/>
    </row>
    <row r="21" spans="1:23" x14ac:dyDescent="0.25">
      <c r="A21" s="56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5"/>
      <c r="N21" s="20" t="s">
        <v>167</v>
      </c>
      <c r="T21" s="1"/>
      <c r="V21" s="1"/>
      <c r="W21" s="2"/>
    </row>
    <row r="22" spans="1:23" x14ac:dyDescent="0.25">
      <c r="A22" s="56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5"/>
      <c r="N22" s="55"/>
      <c r="T22" s="1"/>
      <c r="V22" s="1"/>
      <c r="W22" s="2"/>
    </row>
    <row r="23" spans="1:23" x14ac:dyDescent="0.25">
      <c r="A23" s="56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5"/>
      <c r="N23" s="53" t="s">
        <v>141</v>
      </c>
      <c r="T23" s="1"/>
      <c r="V23" s="1"/>
      <c r="W23" s="2"/>
    </row>
    <row r="24" spans="1:23" x14ac:dyDescent="0.25">
      <c r="A24" s="56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5"/>
      <c r="U29" s="1"/>
      <c r="V29" s="1"/>
    </row>
    <row r="30" spans="1:23" x14ac:dyDescent="0.25">
      <c r="A30" s="54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4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 t="s">
        <v>202</v>
      </c>
      <c r="U33" s="1"/>
      <c r="V33" s="1"/>
    </row>
    <row r="34" spans="1:22" x14ac:dyDescent="0.25">
      <c r="A34" s="54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 t="s">
        <v>201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4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4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25">
      <c r="A49" s="20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186</v>
      </c>
    </row>
    <row r="50" spans="1:20" x14ac:dyDescent="0.25">
      <c r="A50" s="54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187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3" t="s">
        <v>173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0" t="s">
        <v>31</v>
      </c>
    </row>
    <row r="54" spans="1:20" x14ac:dyDescent="0.25">
      <c r="A54" s="20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0" t="s">
        <v>23</v>
      </c>
    </row>
    <row r="55" spans="1:20" x14ac:dyDescent="0.25">
      <c r="A55" s="53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0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4" t="s">
        <v>27</v>
      </c>
    </row>
    <row r="57" spans="1:20" x14ac:dyDescent="0.25">
      <c r="A57" s="20" t="s">
        <v>197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177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0" t="s">
        <v>33</v>
      </c>
    </row>
    <row r="59" spans="1:20" x14ac:dyDescent="0.25">
      <c r="A59" s="56" t="s">
        <v>155</v>
      </c>
    </row>
    <row r="60" spans="1:20" x14ac:dyDescent="0.25">
      <c r="A60" s="56" t="s">
        <v>148</v>
      </c>
      <c r="O60" s="1"/>
      <c r="Q60" s="1"/>
      <c r="R60" s="3"/>
      <c r="S60" s="1"/>
    </row>
    <row r="61" spans="1:20" x14ac:dyDescent="0.25">
      <c r="A61" s="56" t="s">
        <v>149</v>
      </c>
      <c r="O61" s="1"/>
      <c r="Q61" s="1"/>
      <c r="R61" s="1"/>
      <c r="S61" s="1"/>
    </row>
    <row r="62" spans="1:20" x14ac:dyDescent="0.25">
      <c r="A62" s="56" t="s">
        <v>150</v>
      </c>
      <c r="O62" s="1"/>
      <c r="Q62" s="1"/>
      <c r="R62" s="1"/>
      <c r="S62" s="1"/>
    </row>
    <row r="63" spans="1:20" x14ac:dyDescent="0.25">
      <c r="A63" s="56" t="s">
        <v>151</v>
      </c>
      <c r="O63" s="1"/>
      <c r="Q63" s="1"/>
      <c r="R63" s="1"/>
      <c r="S63" s="1"/>
      <c r="T63" s="1"/>
    </row>
    <row r="64" spans="1:20" x14ac:dyDescent="0.25">
      <c r="A64" s="56" t="s">
        <v>152</v>
      </c>
      <c r="O64" s="1"/>
      <c r="Q64" s="1"/>
      <c r="R64" s="1"/>
      <c r="S64" s="1"/>
      <c r="T64" s="1"/>
    </row>
    <row r="65" spans="1:20" x14ac:dyDescent="0.25">
      <c r="A65" s="56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56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A68" s="5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6" t="s">
        <v>153</v>
      </c>
      <c r="N69" s="4"/>
    </row>
    <row r="70" spans="1:20" x14ac:dyDescent="0.25">
      <c r="A70" s="56" t="s">
        <v>174</v>
      </c>
    </row>
    <row r="71" spans="1:20" x14ac:dyDescent="0.25">
      <c r="A71" s="56" t="s">
        <v>154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DC741F9-0D07-4438-B017-9C7A9A06A85A}"/>
</file>

<file path=customXml/itemProps2.xml><?xml version="1.0" encoding="utf-8"?>
<ds:datastoreItem xmlns:ds="http://schemas.openxmlformats.org/officeDocument/2006/customXml" ds:itemID="{C07E3E5C-049E-45B6-95FE-DF5DB205C6ED}"/>
</file>

<file path=customXml/itemProps3.xml><?xml version="1.0" encoding="utf-8"?>
<ds:datastoreItem xmlns:ds="http://schemas.openxmlformats.org/officeDocument/2006/customXml" ds:itemID="{B054EA09-6C8B-4E56-ABF9-8BF69C0220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2024-11-27T00:50:00Z</cp:lastPrinted>
  <dcterms:created xsi:type="dcterms:W3CDTF">2019-11-27T23:28:06Z</dcterms:created>
  <dcterms:modified xsi:type="dcterms:W3CDTF">2026-03-13T02:20:59Z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