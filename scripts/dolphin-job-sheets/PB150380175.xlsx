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52F72CE-5F60-4EA0-B7CA-9F1E15673BF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<sst xmlns="http://schemas.openxmlformats.org/spreadsheetml/2006/main" count="305" uniqueCount="200">
  <si>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</si>
  <si>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</si>
  <si>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</si>
  <si>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</si>
  <si>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</si>
  <si>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</si>
  <si>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</si>
  <si>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</si>
  <si>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</si>
  <si>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</si>
  <si>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</si>
  <si>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</si>
  <si>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</si>
  <si>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</si>
  <si>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</si>
  <si>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</si>
  <si>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</si>
  <si>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</si>
  <si>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</si>
  <si>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</si>
  <si>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</si>
  <si>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</si>
  <si>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</si>
  <si>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</si>
  <si>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</si>
  <si>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</si>
  <si>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</si>
  <si>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</si>
  <si>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</si>
  <si>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</si>
  <si>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</si>
  <si>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</si>
  <si>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</si>
  <si>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</si>
  <si>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</si>
  <si>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</si>
  <si>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</si>
  <si>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</si>
  <si>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</si>
  <si>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</si>
  <si>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</si>
  <si>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</si>
  <si>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</si>
  <si>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</si>
  <si>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</si>
  <si>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</si>
  <si>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</si>
  <si>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</si>
  <si>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</si>
  <si>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</si>
  <si>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</si>
  <si>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</si>
  <si>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</si>
  <si>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</si>
  <si>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</si>
  <si>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</si>
  <si>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</si>
  <si>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</si>
  <si>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</si>
  <si>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</si>
  <si>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</si>
  <si>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</si>
  <si>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</si>
  <si>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</si>
  <si>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</si>
  <si>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</si>
  <si>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</si>
  <si>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</si>
  <si>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</si>
  <si>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</si>
  <si>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</si>
  <si>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</si>
  <si>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</si>
  <si>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</si>
  <si>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</si>
  <si>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</si>
  <si>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</si>
  <si>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</si>
  <si>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</si>
  <si>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</si>
  <si>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</si>
  <si>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</si>
  <si>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</si>
  <si>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</si>
  <si>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</si>
  <si>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</si>
  <si>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</si>
  <si>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</si>
  <si>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</si>
  <si>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</si>
  <si>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</si>
  <si>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</si>
  <si>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</si>
  <si>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</si>
  <si>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</si>
  <si>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</si>
  <si>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</si>
  <si>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</si>
  <si>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</si>
  <si>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</si>
  <si>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</si>
  <si>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</si>
  <si>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</si>
  <si>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</si>
  <si>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</si>
  <si>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</si>
  <si>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</si>
  <si>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</si>
  <si>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</si>
  <si>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</si>
  <si>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</si>
  <si>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</si>
  <si>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</si>
  <si>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</si>
  <si>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</si>
  <si>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</si>
  <si>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</si>
  <si>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</si>
  <si>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</si>
  <si>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</si>
  <si>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</si>
  <si>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</si>
  <si>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</si>
  <si>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</si>
  <si>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</si>
  <si>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</si>
  <si>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</si>
  <si>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</si>
  <si>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</si>
  <si>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</si>
  <si>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</si>
  <si>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</si>
  <si>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</si>
  <si>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</si>
  <si>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</si>
  <si>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</si>
  <si>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</si>
  <si>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</si>
  <si>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</si>
  <si>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</si>
  <si>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</si>
  <si>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</si>
  <si>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</si>
  <si>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</si>
  <si>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</si>
  <si>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</si>
  <si>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</si>
  <si>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</si>
  <si>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</si>
  <si>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</si>
  <si>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</si>
  <si>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</si>
  <si>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</si>
  <si>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</si>
  <si>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</si>
  <si>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</si>
  <si>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</si>
  <si>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</si>
  <si>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</si>
  <si>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</si>
  <si>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</si>
  <si>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</si>
  <si>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</si>
  <si>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</si>
  <si>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</si>
  <si>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</si>
  <si>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</si>
  <si>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</si>
  <si>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</si>
  <si>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</si>
  <si>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</si>
  <si>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</si>
  <si>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</si>
  <si>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</si>
  <si>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</si>
  <si>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</si>
  <si>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</si>
  <si>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</si>
  <si>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</si>
  <si>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</si>
  <si>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</si>
  <si>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</si>
  <si>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</si>
  <si>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</si>
  <si>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</si>
  <si>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</si>
  <si>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</si>
  <si>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</si>
  <si>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</si>
  <si>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</si>
  <si>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</si>
  <si>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</si>
  <si>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</si>
  <si>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</si>
  <si>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+0mm/- 5mm</t>
  </si>
  <si>
    <t>NOT OVER</t>
  </si>
  <si>
    <t>LIMAX</t>
  </si>
  <si>
    <r>
      <t xml:space="preserve">CANNOT RUN OVER WIDTH  </t>
    </r>
    <r>
      <rPr>
        <b/>
        <u val="double"/>
        <sz val="20"/>
        <color rgb="FFFF0000"/>
        <rFont val="Calibri"/>
        <family val="2"/>
        <scheme val="minor"/>
      </rPr>
      <t>LAST BATCH WAS FAULTY</t>
    </r>
    <r>
      <rPr>
        <b/>
        <sz val="20"/>
        <color rgb="FFFF0000"/>
        <rFont val="Calibri"/>
        <family val="2"/>
        <scheme val="minor"/>
      </rPr>
      <t xml:space="preserve"> - SEALS LEAKED - MUST CHECK BAGS FREQUENTLY. </t>
    </r>
  </si>
  <si>
    <r>
      <t xml:space="preserve">CANNOT RUN OVER WIDTH </t>
    </r>
    <r>
      <rPr>
        <b/>
        <u val="double"/>
        <sz val="20"/>
        <color rgb="FFFF0000"/>
        <rFont val="Calibri"/>
        <family val="2"/>
        <scheme val="minor"/>
      </rPr>
      <t xml:space="preserve"> LAST BATCH WAS FAULTY - SEALS LEAKED - MUST CHECK BAGS FREQUENTLY. </t>
    </r>
  </si>
  <si>
    <t>AUS FISH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</si>
</sst>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u val="double"/>
      <sz val="20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PB15038060</v>
      </c>
      <c r="C1" s="111"/>
      <c r="D1" s="112"/>
      <c r="E1" s="11" t="s">
        <v>57</v>
      </c>
      <c r="F1" s="122" t="s">
        <v>199</v>
      </c>
      <c r="G1" s="87"/>
      <c r="H1" s="88"/>
      <c r="I1" s="12" t="s">
        <v>181</v>
      </c>
      <c r="J1" s="84">
        <f ca="1">TODAY()</f>
        <v>45715</v>
      </c>
      <c r="K1" s="84"/>
      <c r="L1" s="85"/>
      <c r="M1" s="29"/>
      <c r="N1" s="11" t="s">
        <v>56</v>
      </c>
      <c r="O1" s="111" t="str">
        <f>B1</f>
        <v>PB15038060</v>
      </c>
      <c r="P1" s="111"/>
      <c r="Q1" s="112"/>
      <c r="R1" s="11" t="s">
        <v>57</v>
      </c>
      <c r="S1" s="111" t="str">
        <f>F1</f>
        <v>AUS FISH CORAL</v>
      </c>
      <c r="T1" s="111"/>
      <c r="U1" s="112"/>
      <c r="V1" s="11" t="s">
        <v>181</v>
      </c>
      <c r="W1" s="84">
        <f ca="1">J1</f>
        <v>45715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949437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949437</v>
      </c>
      <c r="T2" s="111"/>
      <c r="U2" s="112"/>
      <c r="V2" s="11" t="s">
        <v>59</v>
      </c>
      <c r="W2" s="123" t="str">
        <f>J2</f>
        <v>ASAP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">
        <v>198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60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150</v>
      </c>
      <c r="S9" s="18" t="s">
        <v>78</v>
      </c>
      <c r="T9" s="30">
        <v>380</v>
      </c>
      <c r="U9" s="18" t="s">
        <v>78</v>
      </c>
      <c r="V9" s="30">
        <v>60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7</v>
      </c>
      <c r="C10" s="88"/>
      <c r="D10" s="47" t="s">
        <v>134</v>
      </c>
      <c r="E10" s="101">
        <f>IF(ISNUMBER(SEARCH("sheet",O8,1)),((R9*T9*H8/540000)*U7/2000*1.3),((R9*T9*H8/540000)*U7/1000*1.08))</f>
        <v>68.400000000000006</v>
      </c>
      <c r="F10" s="102"/>
      <c r="G10" s="11" t="s">
        <v>53</v>
      </c>
      <c r="H10" s="105">
        <f>IF(ISNUMBER(SEARCH("sheet",O8,1)),(U7*T9/2000*1.08),(U7*T9/1000*1.08))</f>
        <v>4104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9.7714285714285722</v>
      </c>
      <c r="F11" s="104"/>
      <c r="G11" s="11" t="s">
        <v>15</v>
      </c>
      <c r="H11" s="103">
        <f>H10/B10</f>
        <v>586.28571428571433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>
        <v>18</v>
      </c>
      <c r="R25" s="10"/>
      <c r="S25" s="10"/>
      <c r="T25" s="10"/>
      <c r="U25" s="10"/>
      <c r="V25" s="10"/>
      <c r="W25" s="10">
        <v>20</v>
      </c>
      <c r="X25" s="10">
        <v>16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45743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45736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AB6C4FB-C8B7-4D37-976B-D3E4CDBB2B76}"/>
</file>

<file path=customXml/itemProps2.xml><?xml version="1.0" encoding="utf-8"?>
<ds:datastoreItem xmlns:ds="http://schemas.openxmlformats.org/officeDocument/2006/customXml" ds:itemID="{FB9C6894-DE76-4BC0-9A93-F55F9F9A48E2}"/>
</file>

<file path=customXml/itemProps3.xml><?xml version="1.0" encoding="utf-8"?>
<ds:datastoreItem xmlns:ds="http://schemas.openxmlformats.org/officeDocument/2006/customXml" ds:itemID="{661B2848-2EF9-42A0-81BE-5DEC9B34C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2025-02-26T23:51:01Z</cp:lastPrinted>
  <dcterms:created xsi:type="dcterms:W3CDTF">2019-11-27T23:28:06Z</dcterms:created>
  <dcterms:modified xsi:type="dcterms:W3CDTF">2025-02-27T00:01:02Z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