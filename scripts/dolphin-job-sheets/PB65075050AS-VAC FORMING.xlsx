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AD5C96F-531C-4001-9FBB-76F012EFF22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<sst xmlns="http://schemas.openxmlformats.org/spreadsheetml/2006/main" count="307" uniqueCount="202">
  <si>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</si>
  <si>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</si>
  <si>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</si>
  <si>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</si>
  <si>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</si>
  <si>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</si>
  <si>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</si>
  <si>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</si>
  <si>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</si>
  <si>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</si>
  <si>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</si>
  <si>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</si>
  <si>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</si>
  <si>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</si>
  <si>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</si>
  <si>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</si>
  <si>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</si>
  <si>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</si>
  <si>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</si>
  <si>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</si>
  <si>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</si>
  <si>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</si>
  <si>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</si>
  <si>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</si>
  <si>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</si>
  <si>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</si>
  <si>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</si>
  <si>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</si>
  <si>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</si>
  <si>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</si>
  <si>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</si>
  <si>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</si>
  <si>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</si>
  <si>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</si>
  <si>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</si>
  <si>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</si>
  <si>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</si>
  <si>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</si>
  <si>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</si>
  <si>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</si>
  <si>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</si>
  <si>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</si>
  <si>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</si>
  <si>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</si>
  <si>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</si>
  <si>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</si>
  <si>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</si>
  <si>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</si>
  <si>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</si>
  <si>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</si>
  <si>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</si>
  <si>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</si>
  <si>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</si>
  <si>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</si>
  <si>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</si>
  <si>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</si>
  <si>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</si>
  <si>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</si>
  <si>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</si>
  <si>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</si>
  <si>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</si>
  <si>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</si>
  <si>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</si>
  <si>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</si>
  <si>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</si>
  <si>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</si>
  <si>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</si>
  <si>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</si>
  <si>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</si>
  <si>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</si>
  <si>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</si>
  <si>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</si>
  <si>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</si>
  <si>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</si>
  <si>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</si>
  <si>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</si>
  <si>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</si>
  <si>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</si>
  <si>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</si>
  <si>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</si>
  <si>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</si>
  <si>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</si>
  <si>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</si>
  <si>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</si>
  <si>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</si>
  <si>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</si>
  <si>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</si>
  <si>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</si>
  <si>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</si>
  <si>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</si>
  <si>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</si>
  <si>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</si>
  <si>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</si>
  <si>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</si>
  <si>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</si>
  <si>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</si>
  <si>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</si>
  <si>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</si>
  <si>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</si>
  <si>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</si>
  <si>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</si>
  <si>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</si>
  <si>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</si>
  <si>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</si>
  <si>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</si>
  <si>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</si>
  <si>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</si>
  <si>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</si>
  <si>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</si>
  <si>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</si>
  <si>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</si>
  <si>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</si>
  <si>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</si>
  <si>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</si>
  <si>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</si>
  <si>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</si>
  <si>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</si>
  <si>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</si>
  <si>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</si>
  <si>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</si>
  <si>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</si>
  <si>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</si>
  <si>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</si>
  <si>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</si>
  <si>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</si>
  <si>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</si>
  <si>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</si>
  <si>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</si>
  <si>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</si>
  <si>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</si>
  <si>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</si>
  <si>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</si>
  <si>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</si>
  <si>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</si>
  <si>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</si>
  <si>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</si>
  <si>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</si>
  <si>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</si>
  <si>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</si>
  <si>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</si>
  <si>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</si>
  <si>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</si>
  <si>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</si>
  <si>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</si>
  <si>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</si>
  <si>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</si>
  <si>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</si>
  <si>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</si>
  <si>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</si>
  <si>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</si>
  <si>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</si>
  <si>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</si>
  <si>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</si>
  <si>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</si>
  <si>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</si>
  <si>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</si>
  <si>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</si>
  <si>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</si>
  <si>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</si>
  <si>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</si>
  <si>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</si>
  <si>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</si>
  <si>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</si>
  <si>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</si>
  <si>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</si>
  <si>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</si>
  <si>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</si>
  <si>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</si>
  <si>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</si>
  <si>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</si>
  <si>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</si>
  <si>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</si>
  <si>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</si>
  <si>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</si>
  <si>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</si>
  <si>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</si>
  <si>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</si>
  <si>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</si>
  <si>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</si>
  <si>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</si>
  <si>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</si>
  <si>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</si>
  <si>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</si>
  <si>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</si>
  <si>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</si>
  <si>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</si>
  <si>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</si>
  <si>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</si>
  <si>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</si>
  <si>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</si>
  <si>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</si>
  <si>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</si>
  <si>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</si>
  <si>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</si>
  <si>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ARVOR</t>
  </si>
  <si>
    <t>ANTISTATIC</t>
  </si>
  <si>
    <t xml:space="preserve"> + /- 5mm</t>
  </si>
  <si>
    <t>RUN AT 50 - 52um</t>
  </si>
  <si>
    <t>BAG BC</t>
  </si>
  <si>
    <t>15.06.2022</t>
  </si>
  <si>
    <t>MUST BE EXACT WIDTH AND NOT UNDER GUAGE!</t>
  </si>
  <si>
    <t>MOD 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</si>
</sst>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A13" sqref="AA13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9" t="str">
        <f>O9&amp;R9&amp;IF(X8="G","G","")&amp;IF(O8="Centrefold Roll","("&amp;E8&amp;")","")&amp;T9&amp;V9&amp;C22&amp;C23&amp;C24&amp;O11&amp;R11</f>
        <v>PB65075050AS</v>
      </c>
      <c r="C1" s="109"/>
      <c r="D1" s="110"/>
      <c r="E1" s="11" t="s">
        <v>57</v>
      </c>
      <c r="F1" s="120" t="s">
        <v>201</v>
      </c>
      <c r="G1" s="62"/>
      <c r="H1" s="63"/>
      <c r="I1" s="12" t="s">
        <v>181</v>
      </c>
      <c r="J1" s="121">
        <f ca="1">TODAY()</f>
        <v>45104</v>
      </c>
      <c r="K1" s="121"/>
      <c r="L1" s="122"/>
      <c r="M1" s="29"/>
      <c r="N1" s="11" t="s">
        <v>56</v>
      </c>
      <c r="O1" s="109" t="str">
        <f>B1</f>
        <v>PB65075050AS</v>
      </c>
      <c r="P1" s="109"/>
      <c r="Q1" s="110"/>
      <c r="R1" s="11" t="s">
        <v>57</v>
      </c>
      <c r="S1" s="109" t="str">
        <f>F1</f>
        <v>MOD PLAS</v>
      </c>
      <c r="T1" s="109"/>
      <c r="U1" s="110"/>
      <c r="V1" s="11" t="s">
        <v>181</v>
      </c>
      <c r="W1" s="121">
        <f ca="1">J1</f>
        <v>45104</v>
      </c>
      <c r="X1" s="121"/>
      <c r="Y1" s="122"/>
    </row>
    <row r="2" spans="1:25" ht="20.149999999999999" customHeight="1" x14ac:dyDescent="0.8">
      <c r="A2" s="11" t="s">
        <v>100</v>
      </c>
      <c r="B2" s="109" t="str">
        <f>IF(U10="","",U10)</f>
        <v>BAG BC</v>
      </c>
      <c r="C2" s="109"/>
      <c r="D2" s="110"/>
      <c r="E2" s="11" t="s">
        <v>58</v>
      </c>
      <c r="F2" s="62">
        <v>945554</v>
      </c>
      <c r="G2" s="62"/>
      <c r="H2" s="63"/>
      <c r="I2" s="11" t="s">
        <v>59</v>
      </c>
      <c r="J2" s="124" t="s">
        <v>199</v>
      </c>
      <c r="K2" s="62"/>
      <c r="L2" s="63"/>
      <c r="M2" s="29"/>
      <c r="N2" s="11" t="s">
        <v>100</v>
      </c>
      <c r="O2" s="109" t="str">
        <f>IF(B2="","",B2)</f>
        <v>BAG BC</v>
      </c>
      <c r="P2" s="109"/>
      <c r="Q2" s="110"/>
      <c r="R2" s="11" t="s">
        <v>58</v>
      </c>
      <c r="S2" s="109">
        <f>IF(F2="","",F2)</f>
        <v>945554</v>
      </c>
      <c r="T2" s="109"/>
      <c r="U2" s="110"/>
      <c r="V2" s="11" t="s">
        <v>59</v>
      </c>
      <c r="W2" s="123" t="str">
        <f>J2</f>
        <v>15.06.2022</v>
      </c>
      <c r="X2" s="109"/>
      <c r="Y2" s="110"/>
    </row>
    <row r="3" spans="1:25" ht="20.149999999999999" customHeight="1" x14ac:dyDescent="0.75">
      <c r="A3" s="111" t="s">
        <v>200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9"/>
      <c r="N3" s="111" t="str">
        <f>A3</f>
        <v>MUST BE EXACT WIDTH AND NOT UNDER GUAGE!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9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9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15</v>
      </c>
      <c r="P7" s="63"/>
      <c r="Q7" s="11" t="str">
        <f>IF(ISNUMBER(SEARCH("roll",O8,1)),"Per Roll","Per Carton")</f>
        <v>Per Carton</v>
      </c>
      <c r="R7" s="62">
        <v>200</v>
      </c>
      <c r="S7" s="63"/>
      <c r="T7" s="11" t="str">
        <f>IF(ISNUMBER(SEARCH("bag",O8,1)),"Total Bags","Total Sheets")</f>
        <v>Total Bags</v>
      </c>
      <c r="U7" s="109">
        <f>R7*O7</f>
        <v>3000</v>
      </c>
      <c r="V7" s="110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7">
        <f>R9</f>
        <v>650</v>
      </c>
      <c r="C8" s="98"/>
      <c r="D8" s="27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3" t="s">
        <v>52</v>
      </c>
      <c r="H8" s="97">
        <f>(IF(V9&lt;30,"30",V9))</f>
        <v>50</v>
      </c>
      <c r="I8" s="98"/>
      <c r="J8" s="11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9"/>
      <c r="N8" s="14" t="s">
        <v>54</v>
      </c>
      <c r="O8" s="99" t="s">
        <v>164</v>
      </c>
      <c r="P8" s="10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0.9">
      <c r="A9" s="16" t="s">
        <v>48</v>
      </c>
      <c r="B9" s="127" t="s">
        <v>196</v>
      </c>
      <c r="C9" s="128"/>
      <c r="D9" s="135" t="str">
        <f>IF(K10="Middle","RUN 2 UP",IF(AND(O8="Centrefold Roll",B8=380),"RUN 2 UP",""))</f>
        <v/>
      </c>
      <c r="E9" s="101"/>
      <c r="F9" s="102"/>
      <c r="G9" s="16" t="s">
        <v>48</v>
      </c>
      <c r="H9" s="127" t="s">
        <v>197</v>
      </c>
      <c r="I9" s="128"/>
      <c r="J9" s="11" t="s">
        <v>55</v>
      </c>
      <c r="K9" s="62" t="s">
        <v>30</v>
      </c>
      <c r="L9" s="63"/>
      <c r="M9" s="29"/>
      <c r="N9" s="17"/>
      <c r="O9" s="103" t="str">
        <f>IF(O8="Poly Bag","PB",IF(O8="Poly Bag Roll","PBR",IF(O8="Centrefold Roll","CFR",IF(O8="Sheet","S",IF(O8="Sheet Roll","SR")))))</f>
        <v>PB</v>
      </c>
      <c r="P9" s="104"/>
      <c r="Q9" s="17"/>
      <c r="R9" s="30">
        <v>650</v>
      </c>
      <c r="S9" s="18" t="s">
        <v>78</v>
      </c>
      <c r="T9" s="30">
        <v>750</v>
      </c>
      <c r="U9" s="18" t="s">
        <v>78</v>
      </c>
      <c r="V9" s="30">
        <v>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4</v>
      </c>
      <c r="C10" s="63"/>
      <c r="D10" s="47" t="s">
        <v>134</v>
      </c>
      <c r="E10" s="129">
        <f>IF(ISNUMBER(SEARCH("sheet",O8,1)),((R9*T9*H8/540000)*U7/2000*1.3),((R9*T9*H8/540000)*U7/1000*1.08))</f>
        <v>146.25</v>
      </c>
      <c r="F10" s="130"/>
      <c r="G10" s="11" t="s">
        <v>53</v>
      </c>
      <c r="H10" s="133">
        <f>IF(ISNUMBER(SEARCH("sheet",O8,1)),(U7*T9/2000*1.08),(U7*T9/1000*1.08))</f>
        <v>2430</v>
      </c>
      <c r="I10" s="134"/>
      <c r="J10" s="11" t="s">
        <v>41</v>
      </c>
      <c r="K10" s="62" t="s">
        <v>44</v>
      </c>
      <c r="L10" s="63"/>
      <c r="M10" s="29"/>
      <c r="N10" s="14" t="s">
        <v>141</v>
      </c>
      <c r="O10" s="99" t="s">
        <v>44</v>
      </c>
      <c r="P10" s="100"/>
      <c r="Q10" s="14" t="s">
        <v>50</v>
      </c>
      <c r="R10" s="95" t="str">
        <f>IF(K11="NONE","None",IF(K11="INLINE","Yes",IF(K11="OUT OF LINE","Yes")))</f>
        <v>None</v>
      </c>
      <c r="S10" s="95"/>
      <c r="T10" s="14" t="s">
        <v>100</v>
      </c>
      <c r="U10" s="105" t="s">
        <v>198</v>
      </c>
      <c r="V10" s="105"/>
      <c r="W10" s="105"/>
      <c r="X10" s="105"/>
      <c r="Y10" s="106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31">
        <f>E10/B10</f>
        <v>36.5625</v>
      </c>
      <c r="F11" s="132"/>
      <c r="G11" s="11" t="s">
        <v>15</v>
      </c>
      <c r="H11" s="131">
        <f>H10/B10</f>
        <v>607.5</v>
      </c>
      <c r="I11" s="132"/>
      <c r="J11" s="11" t="s">
        <v>50</v>
      </c>
      <c r="K11" s="62" t="s">
        <v>44</v>
      </c>
      <c r="L11" s="63"/>
      <c r="M11" s="29"/>
      <c r="N11" s="13"/>
      <c r="O11" s="97" t="str">
        <f>IF(O10="NONE","","V")</f>
        <v/>
      </c>
      <c r="P11" s="98"/>
      <c r="Q11" s="13"/>
      <c r="R11" s="97" t="str">
        <f>IF(R10="None","","P")</f>
        <v/>
      </c>
      <c r="S11" s="98"/>
      <c r="T11" s="13"/>
      <c r="U11" s="107"/>
      <c r="V11" s="107"/>
      <c r="W11" s="107"/>
      <c r="X11" s="107"/>
      <c r="Y11" s="108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8" t="s">
        <v>4</v>
      </c>
      <c r="F16" s="148"/>
      <c r="G16" s="148" t="s">
        <v>5</v>
      </c>
      <c r="H16" s="148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169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23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3" t="s">
        <v>147</v>
      </c>
      <c r="D17" s="94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3" t="s">
        <v>146</v>
      </c>
      <c r="D18" s="94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3" t="s">
        <v>145</v>
      </c>
      <c r="D19" s="94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3" t="s">
        <v>144</v>
      </c>
      <c r="D20" s="94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3" t="s">
        <v>143</v>
      </c>
      <c r="D21" s="94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9" t="s">
        <v>195</v>
      </c>
      <c r="B23" s="149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4"/>
      <c r="E23" s="90">
        <v>0.01</v>
      </c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0"/>
      <c r="B24" s="15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194</v>
      </c>
      <c r="P25" s="34"/>
      <c r="Q25" s="10">
        <v>26</v>
      </c>
      <c r="R25" s="10"/>
      <c r="S25" s="10"/>
      <c r="T25" s="10"/>
      <c r="U25" s="10"/>
      <c r="V25" s="10"/>
      <c r="W25" s="10">
        <v>29</v>
      </c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45134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45125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0E06BB5-08AD-43E2-B42B-5DE91F09D130}"/>
</file>

<file path=customXml/itemProps2.xml><?xml version="1.0" encoding="utf-8"?>
<ds:datastoreItem xmlns:ds="http://schemas.openxmlformats.org/officeDocument/2006/customXml" ds:itemID="{8401E742-7207-4E2F-94A1-842CE18C74F1}"/>
</file>

<file path=customXml/itemProps3.xml><?xml version="1.0" encoding="utf-8"?>
<ds:datastoreItem xmlns:ds="http://schemas.openxmlformats.org/officeDocument/2006/customXml" ds:itemID="{DF556211-A352-4832-BD8F-248E5802C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2023-06-21T23:04:05Z</cp:lastPrinted>
  <dcterms:created xsi:type="dcterms:W3CDTF">2019-11-27T23:28:06Z</dcterms:created>
  <dcterms:modified xsi:type="dcterms:W3CDTF">2023-06-27T02:50:21Z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