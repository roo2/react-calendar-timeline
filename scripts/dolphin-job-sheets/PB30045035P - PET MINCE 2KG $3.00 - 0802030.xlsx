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32981F8-429F-4DE4-BF49-533AC9572A6D}" xr6:coauthVersionLast="47" xr6:coauthVersionMax="47" xr10:uidLastSave="{00000000-0000-0000-0000-000000000000}"/>
  <bookViews>
    <workbookView minimized="1" xWindow="0" yWindow="2370" windowWidth="19200" windowHeight="783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<sst xmlns="http://schemas.openxmlformats.org/spreadsheetml/2006/main" count="306" uniqueCount="202">
  <si>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</si>
  <si>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</si>
  <si>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</si>
  <si>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</si>
  <si>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</si>
  <si>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</si>
  <si>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</si>
  <si>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</si>
  <si>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</si>
  <si>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</si>
  <si>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</si>
  <si>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</si>
  <si>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</si>
  <si>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</si>
  <si>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</si>
  <si>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</si>
  <si>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</si>
  <si>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</si>
  <si>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</si>
  <si>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</si>
  <si>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</si>
  <si>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</si>
  <si>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</si>
  <si>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</si>
  <si>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</si>
  <si>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</si>
  <si>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</si>
  <si>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</si>
  <si>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</si>
  <si>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</si>
  <si>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</si>
  <si>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</si>
  <si>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</si>
  <si>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</si>
  <si>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</si>
  <si>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</si>
  <si>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</si>
  <si>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</si>
  <si>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</si>
  <si>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</si>
  <si>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</si>
  <si>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</si>
  <si>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</si>
  <si>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</si>
  <si>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</si>
  <si>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</si>
  <si>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</si>
  <si>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</si>
  <si>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</si>
  <si>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</si>
  <si>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</si>
  <si>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</si>
  <si>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</si>
  <si>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</si>
  <si>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</si>
  <si>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</si>
  <si>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</si>
  <si>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</si>
  <si>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</si>
  <si>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</si>
  <si>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</si>
  <si>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</si>
  <si>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</si>
  <si>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</si>
  <si>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</si>
  <si>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</si>
  <si>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</si>
  <si>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</si>
  <si>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</si>
  <si>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</si>
  <si>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</si>
  <si>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</si>
  <si>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</si>
  <si>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</si>
  <si>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</si>
  <si>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</si>
  <si>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</si>
  <si>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</si>
  <si>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</si>
  <si>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</si>
  <si>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</si>
  <si>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</si>
  <si>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</si>
  <si>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</si>
  <si>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</si>
  <si>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</si>
  <si>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</si>
  <si>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</si>
  <si>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</si>
  <si>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</si>
  <si>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</si>
  <si>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</si>
  <si>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</si>
  <si>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</si>
  <si>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</si>
  <si>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</si>
  <si>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</si>
  <si>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</si>
  <si>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</si>
  <si>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</si>
  <si>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</si>
  <si>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</si>
  <si>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</si>
  <si>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</si>
  <si>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</si>
  <si>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</si>
  <si>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</si>
  <si>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</si>
  <si>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</si>
  <si>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</si>
  <si>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</si>
  <si>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</si>
  <si>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</si>
  <si>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</si>
  <si>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</si>
  <si>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</si>
  <si>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</si>
  <si>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</si>
  <si>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</si>
  <si>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</si>
  <si>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</si>
  <si>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</si>
  <si>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</si>
  <si>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</si>
  <si>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</si>
  <si>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</si>
  <si>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</si>
  <si>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</si>
  <si>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</si>
  <si>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</si>
  <si>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</si>
  <si>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</si>
  <si>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</si>
  <si>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</si>
  <si>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</si>
  <si>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</si>
  <si>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</si>
  <si>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</si>
  <si>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</si>
  <si>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</si>
  <si>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</si>
  <si>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</si>
  <si>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</si>
  <si>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</si>
  <si>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</si>
  <si>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</si>
  <si>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</si>
  <si>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</si>
  <si>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</si>
  <si>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</si>
  <si>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</si>
  <si>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</si>
  <si>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</si>
  <si>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</si>
  <si>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</si>
  <si>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</si>
  <si>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</si>
  <si>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</si>
  <si>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</si>
  <si>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</si>
  <si>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</si>
  <si>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</si>
  <si>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</si>
  <si>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</si>
  <si>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</si>
  <si>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</si>
  <si>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</si>
  <si>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</si>
  <si>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</si>
  <si>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</si>
  <si>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</si>
  <si>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</si>
  <si>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</si>
  <si>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</si>
  <si>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</si>
  <si>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</si>
  <si>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</si>
  <si>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</si>
  <si>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</si>
  <si>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</si>
  <si>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</si>
  <si>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</si>
  <si>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</si>
  <si>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</si>
  <si>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</si>
  <si>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</si>
  <si>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</si>
  <si>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</si>
  <si>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</si>
  <si>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</si>
  <si>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</si>
  <si>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</si>
  <si>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</si>
  <si>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</si>
  <si>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</si>
  <si>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DENCO</t>
  </si>
  <si>
    <t>"PET MINCE 2KG/$3.00</t>
  </si>
  <si>
    <t>ANTISTATIC</t>
  </si>
  <si>
    <t>RUN AT 32-35um</t>
  </si>
  <si>
    <t xml:space="preserve"> PET MINCE 2KG/$3.00 - MUST HAVE GOOD PRINT - NO LINES OR SMUDGES</t>
  </si>
  <si>
    <t>0802030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</si>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</sst>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49" fontId="13" fillId="0" borderId="3" xfId="0" applyNumberFormat="1" applyFont="1" applyBorder="1" applyAlignment="1" applyProtection="1">
      <alignment horizontal="center" vertical="center"/>
      <protection locked="0"/>
    </xf>
    <xf numFmtId="49" fontId="13" fillId="0" borderId="8" xfId="0" applyNumberFormat="1" applyFont="1" applyBorder="1" applyAlignment="1" applyProtection="1">
      <alignment horizontal="center" vertical="center"/>
      <protection locked="0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49" fontId="13" fillId="0" borderId="12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1" sqref="B11:C11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PB30045035ASP</v>
      </c>
      <c r="C1" s="108"/>
      <c r="D1" s="109"/>
      <c r="E1" s="11" t="s">
        <v>57</v>
      </c>
      <c r="F1" s="62" t="s">
        <v>195</v>
      </c>
      <c r="G1" s="62"/>
      <c r="H1" s="63"/>
      <c r="I1" s="12" t="s">
        <v>181</v>
      </c>
      <c r="J1" s="119">
        <f ca="1">TODAY()</f>
        <v>45874</v>
      </c>
      <c r="K1" s="119"/>
      <c r="L1" s="120"/>
      <c r="M1" s="29"/>
      <c r="N1" s="11" t="s">
        <v>56</v>
      </c>
      <c r="O1" s="108" t="str">
        <f>B1</f>
        <v>PB30045035ASP</v>
      </c>
      <c r="P1" s="108"/>
      <c r="Q1" s="109"/>
      <c r="R1" s="11" t="s">
        <v>57</v>
      </c>
      <c r="S1" s="108" t="str">
        <f>F1</f>
        <v>DENCO</v>
      </c>
      <c r="T1" s="108"/>
      <c r="U1" s="109"/>
      <c r="V1" s="11" t="s">
        <v>181</v>
      </c>
      <c r="W1" s="119">
        <f ca="1">J1</f>
        <v>45874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>0802030</v>
      </c>
      <c r="C2" s="108"/>
      <c r="D2" s="109"/>
      <c r="E2" s="11" t="s">
        <v>58</v>
      </c>
      <c r="F2" s="62">
        <v>950448</v>
      </c>
      <c r="G2" s="62"/>
      <c r="H2" s="63"/>
      <c r="I2" s="11" t="s">
        <v>59</v>
      </c>
      <c r="J2" s="122">
        <v>45905</v>
      </c>
      <c r="K2" s="62"/>
      <c r="L2" s="63"/>
      <c r="M2" s="29"/>
      <c r="N2" s="11" t="s">
        <v>100</v>
      </c>
      <c r="O2" s="108" t="str">
        <f>IF(B2="","",B2)</f>
        <v>0802030</v>
      </c>
      <c r="P2" s="108"/>
      <c r="Q2" s="109"/>
      <c r="R2" s="11" t="s">
        <v>58</v>
      </c>
      <c r="S2" s="108">
        <f>IF(F2="","",F2)</f>
        <v>950448</v>
      </c>
      <c r="T2" s="108"/>
      <c r="U2" s="109"/>
      <c r="V2" s="11" t="s">
        <v>59</v>
      </c>
      <c r="W2" s="121">
        <f>J2</f>
        <v>45905</v>
      </c>
      <c r="X2" s="108"/>
      <c r="Y2" s="109"/>
    </row>
    <row r="3" spans="1:25" ht="20.149999999999999" customHeight="1" x14ac:dyDescent="0.75">
      <c r="A3" s="110" t="s">
        <v>199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 xml:space="preserve"> PET MINCE 2KG/$3.00 - MUST HAVE GOOD PRINT - NO LINES OR SMUDGES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25</v>
      </c>
      <c r="P7" s="63"/>
      <c r="Q7" s="11" t="str">
        <f>IF(ISNUMBER(SEARCH("roll",O8,1)),"Per Roll","Per Carton")</f>
        <v>Per Carton</v>
      </c>
      <c r="R7" s="62">
        <v>1000</v>
      </c>
      <c r="S7" s="63"/>
      <c r="T7" s="11" t="str">
        <f>IF(ISNUMBER(SEARCH("bag",O8,1)),"Total Bags","Total Sheets")</f>
        <v>Total Bags</v>
      </c>
      <c r="U7" s="108">
        <f>R7*O7</f>
        <v>25000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300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35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198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300</v>
      </c>
      <c r="S9" s="18" t="s">
        <v>78</v>
      </c>
      <c r="T9" s="30">
        <v>450</v>
      </c>
      <c r="U9" s="18" t="s">
        <v>78</v>
      </c>
      <c r="V9" s="30">
        <v>35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10</v>
      </c>
      <c r="C10" s="63"/>
      <c r="D10" s="47" t="s">
        <v>134</v>
      </c>
      <c r="E10" s="127">
        <f>IF(ISNUMBER(SEARCH("sheet",O8,1)),((R9*T9*H8/540000)*U7/2000*1.3),((R9*T9*H8/540000)*U7/1000*1.08))</f>
        <v>236.25000000000003</v>
      </c>
      <c r="F10" s="128"/>
      <c r="G10" s="11" t="s">
        <v>53</v>
      </c>
      <c r="H10" s="131">
        <f>IF(ISNUMBER(SEARCH("sheet",O8,1)),(U7*T9/2000*1.08),(U7*T9/1000*1.08))</f>
        <v>12150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Yes</v>
      </c>
      <c r="S10" s="94"/>
      <c r="T10" s="14" t="s">
        <v>100</v>
      </c>
      <c r="U10" s="104" t="s">
        <v>200</v>
      </c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23.625000000000004</v>
      </c>
      <c r="F11" s="130"/>
      <c r="G11" s="11" t="s">
        <v>15</v>
      </c>
      <c r="H11" s="129">
        <f>H10/B10</f>
        <v>1215</v>
      </c>
      <c r="I11" s="130"/>
      <c r="J11" s="11" t="s">
        <v>50</v>
      </c>
      <c r="K11" s="62" t="s">
        <v>64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>P</v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70</v>
      </c>
      <c r="C13" s="62"/>
      <c r="D13" s="63"/>
      <c r="E13" s="19" t="s">
        <v>61</v>
      </c>
      <c r="F13" s="62" t="s">
        <v>66</v>
      </c>
      <c r="G13" s="62"/>
      <c r="H13" s="63"/>
      <c r="I13" s="11" t="s">
        <v>62</v>
      </c>
      <c r="J13" s="62" t="s">
        <v>150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25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 t="s">
        <v>196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110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 t="s">
        <v>197</v>
      </c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201</v>
      </c>
      <c r="P25" s="34"/>
      <c r="Q25" s="10">
        <v>32</v>
      </c>
      <c r="R25" s="10">
        <v>7</v>
      </c>
      <c r="S25" s="10"/>
      <c r="T25" s="10"/>
      <c r="U25" s="10">
        <v>10</v>
      </c>
      <c r="V25" s="10"/>
      <c r="W25" s="10">
        <v>145</v>
      </c>
      <c r="X25" s="10">
        <v>145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45905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45895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8C073BD-2B7C-467D-8394-2B17E8B4E664}"/>
</file>

<file path=customXml/itemProps2.xml><?xml version="1.0" encoding="utf-8"?>
<ds:datastoreItem xmlns:ds="http://schemas.openxmlformats.org/officeDocument/2006/customXml" ds:itemID="{CC8069C4-7C97-4A6E-ABAA-F50B260D2FAA}"/>
</file>

<file path=customXml/itemProps3.xml><?xml version="1.0" encoding="utf-8"?>
<ds:datastoreItem xmlns:ds="http://schemas.openxmlformats.org/officeDocument/2006/customXml" ds:itemID="{203392B9-4FAA-481A-9CC6-AC6B239990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2025-08-05T01:19:08Z</cp:lastPrinted>
  <dcterms:created xsi:type="dcterms:W3CDTF">2019-11-27T23:28:06Z</dcterms:created>
  <dcterms:modified xsi:type="dcterms:W3CDTF">2025-08-14T01:32:33Z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