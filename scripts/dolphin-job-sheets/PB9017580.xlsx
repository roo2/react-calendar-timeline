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DEE3521-E337-45D8-ACA2-6DDA939CEE8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<sst xmlns="http://schemas.openxmlformats.org/spreadsheetml/2006/main" count="303" uniqueCount="197">
  <si>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</si>
  <si>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</si>
  <si>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</si>
  <si>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</si>
  <si>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</si>
  <si>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</si>
  <si>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</si>
  <si>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</si>
  <si>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</si>
  <si>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</si>
  <si>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</si>
  <si>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</si>
  <si>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</si>
  <si>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</si>
  <si>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</si>
  <si>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</si>
  <si>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</si>
  <si>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</si>
  <si>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</si>
  <si>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</si>
  <si>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</si>
  <si>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</si>
  <si>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</si>
  <si>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</si>
  <si>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</si>
  <si>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</si>
  <si>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</si>
  <si>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</si>
  <si>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</si>
  <si>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</si>
  <si>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</si>
  <si>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</si>
  <si>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</si>
  <si>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</si>
  <si>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</si>
  <si>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</si>
  <si>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</si>
  <si>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</si>
  <si>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</si>
  <si>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</si>
  <si>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</si>
  <si>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</si>
  <si>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</si>
  <si>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</si>
  <si>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</si>
  <si>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</si>
  <si>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</si>
  <si>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</si>
  <si>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</si>
  <si>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</si>
  <si>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</si>
  <si>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</si>
  <si>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</si>
  <si>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</si>
  <si>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</si>
  <si>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</si>
  <si>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</si>
  <si>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</si>
  <si>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</si>
  <si>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</si>
  <si>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</si>
  <si>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</si>
  <si>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</si>
  <si>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</si>
  <si>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</si>
  <si>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</si>
  <si>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</si>
  <si>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</si>
  <si>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</si>
  <si>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</si>
  <si>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</si>
  <si>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</si>
  <si>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</si>
  <si>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</si>
  <si>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</si>
  <si>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</si>
  <si>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</si>
  <si>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</si>
  <si>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</si>
  <si>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</si>
  <si>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</si>
  <si>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</si>
  <si>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</si>
  <si>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</si>
  <si>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</si>
  <si>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</si>
  <si>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</si>
  <si>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</si>
  <si>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</si>
  <si>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</si>
  <si>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</si>
  <si>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</si>
  <si>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</si>
  <si>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</si>
  <si>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</si>
  <si>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</si>
  <si>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</si>
  <si>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</si>
  <si>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</si>
  <si>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</si>
  <si>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</si>
  <si>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</si>
  <si>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</si>
  <si>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</si>
  <si>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</si>
  <si>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</si>
  <si>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</si>
  <si>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</si>
  <si>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</si>
  <si>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</si>
  <si>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</si>
  <si>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</si>
  <si>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</si>
  <si>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</si>
  <si>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</si>
  <si>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</si>
  <si>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</si>
  <si>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</si>
  <si>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</si>
  <si>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</si>
  <si>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</si>
  <si>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</si>
  <si>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</si>
  <si>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</si>
  <si>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</si>
  <si>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</si>
  <si>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</si>
  <si>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</si>
  <si>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</si>
  <si>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</si>
  <si>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</si>
  <si>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</si>
  <si>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</si>
  <si>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</si>
  <si>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</si>
  <si>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</si>
  <si>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</si>
  <si>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</si>
  <si>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</si>
  <si>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</si>
  <si>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</si>
  <si>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</si>
  <si>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</si>
  <si>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</si>
  <si>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</si>
  <si>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</si>
  <si>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</si>
  <si>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</si>
  <si>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</si>
  <si>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</si>
  <si>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</si>
  <si>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</si>
  <si>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</si>
  <si>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</si>
  <si>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</si>
  <si>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</si>
  <si>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</si>
  <si>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</si>
  <si>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</si>
  <si>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</si>
  <si>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</si>
  <si>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</si>
  <si>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</si>
  <si>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</si>
  <si>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</si>
  <si>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</si>
  <si>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</si>
  <si>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</si>
  <si>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</si>
  <si>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</si>
  <si>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</si>
  <si>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</si>
  <si>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</si>
  <si>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</si>
  <si>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</si>
  <si>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</si>
  <si>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</si>
  <si>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</si>
  <si>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</si>
  <si>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</si>
  <si>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</si>
  <si>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</si>
  <si>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</si>
  <si>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</si>
  <si>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</si>
  <si>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</si>
  <si>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</si>
  <si>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</si>
  <si>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</si>
  <si>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</si>
  <si>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</si>
  <si>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</si>
  <si>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</si>
  <si>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</si>
  <si>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</si>
  <si>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ANTISTATIC</t>
  </si>
  <si>
    <t>PACIFIC 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</si>
</sst>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PB9017580AS</v>
      </c>
      <c r="C1" s="111"/>
      <c r="D1" s="112"/>
      <c r="E1" s="11" t="s">
        <v>57</v>
      </c>
      <c r="F1" s="122" t="s">
        <v>196</v>
      </c>
      <c r="G1" s="87"/>
      <c r="H1" s="88"/>
      <c r="I1" s="12" t="s">
        <v>181</v>
      </c>
      <c r="J1" s="84">
        <f ca="1">TODAY()</f>
        <v>45548</v>
      </c>
      <c r="K1" s="84"/>
      <c r="L1" s="85"/>
      <c r="M1" s="29"/>
      <c r="N1" s="11" t="s">
        <v>56</v>
      </c>
      <c r="O1" s="111" t="str">
        <f>B1</f>
        <v>PB9017580AS</v>
      </c>
      <c r="P1" s="111"/>
      <c r="Q1" s="112"/>
      <c r="R1" s="11" t="s">
        <v>57</v>
      </c>
      <c r="S1" s="111" t="str">
        <f>F1</f>
        <v>PACIFIC NATIONAL</v>
      </c>
      <c r="T1" s="111"/>
      <c r="U1" s="112"/>
      <c r="V1" s="11" t="s">
        <v>181</v>
      </c>
      <c r="W1" s="84">
        <f ca="1">J1</f>
        <v>45548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948611</v>
      </c>
      <c r="G2" s="87"/>
      <c r="H2" s="88"/>
      <c r="I2" s="11" t="s">
        <v>59</v>
      </c>
      <c r="J2" s="86" t="s">
        <v>192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948611</v>
      </c>
      <c r="T2" s="111"/>
      <c r="U2" s="112"/>
      <c r="V2" s="11" t="s">
        <v>59</v>
      </c>
      <c r="W2" s="123" t="str">
        <f>J2</f>
        <v>ASAP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21</v>
      </c>
      <c r="P7" s="88"/>
      <c r="Q7" s="11" t="str">
        <f>IF(ISNUMBER(SEARCH("roll",O8,1)),"Per Roll","Per Carton")</f>
        <v>Per Carton</v>
      </c>
      <c r="R7" s="87">
        <v>5000</v>
      </c>
      <c r="S7" s="88"/>
      <c r="T7" s="11" t="str">
        <f>IF(ISNUMBER(SEARCH("bag",O8,1)),"Total Bags","Total Sheets")</f>
        <v>Total Bags</v>
      </c>
      <c r="U7" s="111">
        <f>R7*O7</f>
        <v>105000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90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80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90</v>
      </c>
      <c r="S9" s="18" t="s">
        <v>78</v>
      </c>
      <c r="T9" s="30">
        <v>175</v>
      </c>
      <c r="U9" s="18" t="s">
        <v>78</v>
      </c>
      <c r="V9" s="30">
        <v>80</v>
      </c>
      <c r="W9" s="17"/>
      <c r="X9" s="137"/>
      <c r="Y9" s="138"/>
    </row>
    <row r="10" spans="1:25" ht="20.149999999999999" customHeight="1" x14ac:dyDescent="0.8">
      <c r="A10" s="11" t="s">
        <v>51</v>
      </c>
      <c r="B10" s="87">
        <v>25</v>
      </c>
      <c r="C10" s="88"/>
      <c r="D10" s="47" t="s">
        <v>134</v>
      </c>
      <c r="E10" s="101">
        <f>IF(ISNUMBER(SEARCH("sheet",O8,1)),((R9*T9*H8/540000)*U7/2000*1.3),((R9*T9*H8/540000)*U7/1000*1.08))</f>
        <v>264.60000000000002</v>
      </c>
      <c r="F10" s="102"/>
      <c r="G10" s="11" t="s">
        <v>53</v>
      </c>
      <c r="H10" s="105">
        <f>IF(ISNUMBER(SEARCH("sheet",O8,1)),(U7*T9/2000*1.08),(U7*T9/1000*1.08))</f>
        <v>19845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10.584000000000001</v>
      </c>
      <c r="F11" s="104"/>
      <c r="G11" s="11" t="s">
        <v>15</v>
      </c>
      <c r="H11" s="103">
        <f>H10/B10</f>
        <v>793.8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21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130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3"/>
      <c r="Y16" s="83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1"/>
      <c r="J17" s="142"/>
      <c r="K17" s="141"/>
      <c r="L17" s="142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3"/>
      <c r="Y17" s="8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1"/>
      <c r="J18" s="142"/>
      <c r="K18" s="141"/>
      <c r="L18" s="142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3"/>
      <c r="Y18" s="8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1"/>
      <c r="J19" s="142"/>
      <c r="K19" s="141"/>
      <c r="L19" s="142"/>
      <c r="M19" s="29"/>
      <c r="N19" s="144" t="s">
        <v>116</v>
      </c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1"/>
      <c r="J20" s="142"/>
      <c r="K20" s="141"/>
      <c r="L20" s="142"/>
      <c r="M20" s="29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1"/>
      <c r="J21" s="142"/>
      <c r="K21" s="141"/>
      <c r="L21" s="142"/>
      <c r="M21" s="29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140"/>
      <c r="F22" s="83"/>
      <c r="G22" s="48" t="s">
        <v>86</v>
      </c>
      <c r="H22" s="32"/>
      <c r="I22" s="141"/>
      <c r="J22" s="142"/>
      <c r="K22" s="141"/>
      <c r="L22" s="142"/>
      <c r="M22" s="29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49999999999999" customHeight="1" x14ac:dyDescent="0.75">
      <c r="A23" s="79" t="s">
        <v>195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82"/>
      <c r="F23" s="83"/>
      <c r="G23" s="48" t="s">
        <v>87</v>
      </c>
      <c r="H23" s="32"/>
      <c r="I23" s="141"/>
      <c r="J23" s="142"/>
      <c r="K23" s="141"/>
      <c r="L23" s="142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141"/>
      <c r="J24" s="142"/>
      <c r="K24" s="141"/>
      <c r="L24" s="142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45578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45569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7F4770A-8AEB-4749-9EB7-C8E37AF2F20E}"/>
</file>

<file path=customXml/itemProps2.xml><?xml version="1.0" encoding="utf-8"?>
<ds:datastoreItem xmlns:ds="http://schemas.openxmlformats.org/officeDocument/2006/customXml" ds:itemID="{B5C37A8D-0011-4505-84E7-D8316F5A73F8}"/>
</file>

<file path=customXml/itemProps3.xml><?xml version="1.0" encoding="utf-8"?>
<ds:datastoreItem xmlns:ds="http://schemas.openxmlformats.org/officeDocument/2006/customXml" ds:itemID="{8E5D8C85-A126-45AD-B8EA-2B22E61D7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2024-09-12T23:00:07Z</cp:lastPrinted>
  <dcterms:created xsi:type="dcterms:W3CDTF">2019-11-27T23:28:06Z</dcterms:created>
  <dcterms:modified xsi:type="dcterms:W3CDTF">2024-09-16T03:26:29Z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