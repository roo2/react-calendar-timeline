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4273F3A-F234-4673-8BCB-1A75C28B55AE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<sst xmlns="http://schemas.openxmlformats.org/spreadsheetml/2006/main" count="304" uniqueCount="200">
  <si>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</si>
  <si>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</si>
  <si>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</si>
  <si>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</si>
  <si>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</si>
  <si>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</si>
  <si>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</si>
  <si>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</si>
  <si>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</si>
  <si>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</si>
  <si>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</si>
  <si>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</si>
  <si>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</si>
  <si>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</si>
  <si>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</si>
  <si>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</si>
  <si>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</si>
  <si>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</si>
  <si>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</si>
  <si>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</si>
  <si>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</si>
  <si>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</si>
  <si>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</si>
  <si>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</si>
  <si>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</si>
  <si>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</si>
  <si>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</si>
  <si>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</si>
  <si>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</si>
  <si>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</si>
  <si>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</si>
  <si>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</si>
  <si>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</si>
  <si>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</si>
  <si>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</si>
  <si>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</si>
  <si>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</si>
  <si>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</si>
  <si>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</si>
  <si>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</si>
  <si>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</si>
  <si>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</si>
  <si>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</si>
  <si>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</si>
  <si>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</si>
  <si>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</si>
  <si>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</si>
  <si>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</si>
  <si>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</si>
  <si>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</si>
  <si>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</si>
  <si>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</si>
  <si>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</si>
  <si>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</si>
  <si>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</si>
  <si>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</si>
  <si>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</si>
  <si>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</si>
  <si>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</si>
  <si>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</si>
  <si>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</si>
  <si>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</si>
  <si>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</si>
  <si>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</si>
  <si>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</si>
  <si>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</si>
  <si>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</si>
  <si>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</si>
  <si>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</si>
  <si>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</si>
  <si>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</si>
  <si>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</si>
  <si>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</si>
  <si>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</si>
  <si>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</si>
  <si>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</si>
  <si>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</si>
  <si>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</si>
  <si>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</si>
  <si>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</si>
  <si>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</si>
  <si>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</si>
  <si>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</si>
  <si>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</si>
  <si>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</si>
  <si>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</si>
  <si>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</si>
  <si>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</si>
  <si>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</si>
  <si>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</si>
  <si>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</si>
  <si>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</si>
  <si>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</si>
  <si>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</si>
  <si>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</si>
  <si>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</si>
  <si>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</si>
  <si>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</si>
  <si>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</si>
  <si>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</si>
  <si>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</si>
  <si>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</si>
  <si>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</si>
  <si>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</si>
  <si>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</si>
  <si>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</si>
  <si>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</si>
  <si>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</si>
  <si>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</si>
  <si>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</si>
  <si>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</si>
  <si>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</si>
  <si>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</si>
  <si>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</si>
  <si>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</si>
  <si>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</si>
  <si>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</si>
  <si>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</si>
  <si>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</si>
  <si>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</si>
  <si>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</si>
  <si>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</si>
  <si>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</si>
  <si>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</si>
  <si>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</si>
  <si>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</si>
  <si>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</si>
  <si>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</si>
  <si>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</si>
  <si>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</si>
  <si>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</si>
  <si>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</si>
  <si>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</si>
  <si>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</si>
  <si>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</si>
  <si>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</si>
  <si>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</si>
  <si>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</si>
  <si>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</si>
  <si>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</si>
  <si>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</si>
  <si>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</si>
  <si>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</si>
  <si>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</si>
  <si>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</si>
  <si>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</si>
  <si>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</si>
  <si>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</si>
  <si>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</si>
  <si>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</si>
  <si>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</si>
  <si>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</si>
  <si>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</si>
  <si>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</si>
  <si>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</si>
  <si>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</si>
  <si>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</si>
  <si>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</si>
  <si>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</si>
  <si>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</si>
  <si>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</si>
  <si>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</si>
  <si>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</si>
  <si>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</si>
  <si>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</si>
  <si>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</si>
  <si>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</si>
  <si>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</si>
  <si>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</si>
  <si>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</si>
  <si>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</si>
  <si>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</si>
  <si>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</si>
  <si>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</si>
  <si>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</si>
  <si>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</si>
  <si>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</si>
  <si>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</si>
  <si>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</si>
  <si>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</si>
  <si>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</si>
  <si>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</si>
  <si>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</si>
  <si>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</si>
  <si>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</si>
  <si>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</si>
  <si>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</si>
  <si>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</si>
  <si>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</si>
  <si>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</si>
  <si>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</si>
  <si>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</si>
  <si>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</si>
  <si>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</si>
  <si>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</si>
  <si>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</si>
  <si>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NEW ITEM - NEW CUSTOMER - MUST BE GOOD PRINT AND CORRECT WIDTH</t>
  </si>
  <si>
    <t>KAZZI KOVERS</t>
  </si>
  <si>
    <t>"KAZZI KOVERS"</t>
  </si>
  <si>
    <t>MUST HAVE 6MM VENT HOLE ABOVE LOGO - SEE ROHAN - AROUND 100MM FROM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</si>
</sst>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5" borderId="7" xfId="2" applyFont="1" applyFill="1" applyBorder="1" applyAlignment="1" applyProtection="1">
      <alignment horizontal="left" vertical="top" wrapText="1"/>
      <protection locked="0"/>
    </xf>
    <xf numFmtId="0" fontId="17" fillId="5" borderId="3" xfId="2" applyFont="1" applyFill="1" applyBorder="1" applyAlignment="1" applyProtection="1">
      <alignment horizontal="left" vertical="top" wrapText="1"/>
      <protection locked="0"/>
    </xf>
    <xf numFmtId="0" fontId="17" fillId="5" borderId="8" xfId="2" applyFont="1" applyFill="1" applyBorder="1" applyAlignment="1" applyProtection="1">
      <alignment horizontal="left" vertical="top" wrapText="1"/>
      <protection locked="0"/>
    </xf>
    <xf numFmtId="0" fontId="17" fillId="5" borderId="9" xfId="2" applyFont="1" applyFill="1" applyBorder="1" applyAlignment="1" applyProtection="1">
      <alignment horizontal="left" vertical="top" wrapText="1"/>
      <protection locked="0"/>
    </xf>
    <xf numFmtId="0" fontId="17" fillId="5" borderId="0" xfId="2" applyFont="1" applyFill="1" applyBorder="1" applyAlignment="1" applyProtection="1">
      <alignment horizontal="left" vertical="top" wrapText="1"/>
      <protection locked="0"/>
    </xf>
    <xf numFmtId="0" fontId="17" fillId="5" borderId="10" xfId="2" applyFont="1" applyFill="1" applyBorder="1" applyAlignment="1" applyProtection="1">
      <alignment horizontal="left" vertical="top" wrapText="1"/>
      <protection locked="0"/>
    </xf>
    <xf numFmtId="0" fontId="17" fillId="5" borderId="11" xfId="2" applyFont="1" applyFill="1" applyBorder="1" applyAlignment="1" applyProtection="1">
      <alignment horizontal="left" vertical="top" wrapText="1"/>
      <protection locked="0"/>
    </xf>
    <xf numFmtId="0" fontId="17" fillId="5" borderId="1" xfId="2" applyFont="1" applyFill="1" applyBorder="1" applyAlignment="1" applyProtection="1">
      <alignment horizontal="left" vertical="top" wrapText="1"/>
      <protection locked="0"/>
    </xf>
    <xf numFmtId="0" fontId="17" fillId="5" borderId="12" xfId="2" applyFont="1" applyFill="1" applyBorder="1" applyAlignment="1" applyProtection="1">
      <alignment horizontal="left" vertical="top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PB12530035VP</v>
      </c>
      <c r="C1" s="122"/>
      <c r="D1" s="123"/>
      <c r="E1" s="12" t="s">
        <v>57</v>
      </c>
      <c r="F1" s="133" t="s">
        <v>197</v>
      </c>
      <c r="G1" s="134"/>
      <c r="H1" s="135"/>
      <c r="I1" s="13" t="s">
        <v>181</v>
      </c>
      <c r="J1" s="95">
        <f ca="1">TODAY()</f>
        <v>44238</v>
      </c>
      <c r="K1" s="95"/>
      <c r="L1" s="96"/>
      <c r="M1" s="34"/>
      <c r="N1" s="12" t="s">
        <v>56</v>
      </c>
      <c r="O1" s="122" t="str">
        <f>B1</f>
        <v>PB12530035VP</v>
      </c>
      <c r="P1" s="122"/>
      <c r="Q1" s="123"/>
      <c r="R1" s="12" t="s">
        <v>57</v>
      </c>
      <c r="S1" s="122" t="str">
        <f>F1</f>
        <v>KAZZI KOVERS</v>
      </c>
      <c r="T1" s="122"/>
      <c r="U1" s="123"/>
      <c r="V1" s="12" t="s">
        <v>181</v>
      </c>
      <c r="W1" s="95">
        <f ca="1">J1</f>
        <v>44238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939563</v>
      </c>
      <c r="G2" s="98"/>
      <c r="H2" s="99"/>
      <c r="I2" s="12" t="s">
        <v>59</v>
      </c>
      <c r="J2" s="97">
        <v>44266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939563</v>
      </c>
      <c r="T2" s="122"/>
      <c r="U2" s="123"/>
      <c r="V2" s="12" t="s">
        <v>59</v>
      </c>
      <c r="W2" s="136">
        <f>J2</f>
        <v>44266</v>
      </c>
      <c r="X2" s="122"/>
      <c r="Y2" s="123"/>
    </row>
    <row r="3" spans="1:28" ht="20.100000000000001" customHeight="1" x14ac:dyDescent="0.25">
      <c r="A3" s="124" t="s">
        <v>196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NEW CUSTOMER - MUST BE GOOD PRINT AND CORRECT WIDTH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6000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125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125</v>
      </c>
      <c r="S9" s="20" t="s">
        <v>78</v>
      </c>
      <c r="T9" s="35">
        <v>300</v>
      </c>
      <c r="U9" s="20" t="s">
        <v>78</v>
      </c>
      <c r="V9" s="35">
        <v>35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2</v>
      </c>
      <c r="C10" s="99"/>
      <c r="D10" s="54" t="s">
        <v>134</v>
      </c>
      <c r="E10" s="112">
        <f>IF(ISNUMBER(SEARCH("sheet",O8,1)),((R9*T9*H8/540000)*U7/2000*1.3),((R9*T9*H8/540000)*U7/1000*1.08))</f>
        <v>15.75</v>
      </c>
      <c r="F10" s="113"/>
      <c r="G10" s="12" t="s">
        <v>53</v>
      </c>
      <c r="H10" s="116">
        <f>IF(ISNUMBER(SEARCH("sheet",O8,1)),(U7*T9/2000*1.08),(U7*T9/1000*1.08))</f>
        <v>1944.0000000000002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187</v>
      </c>
      <c r="P10" s="140"/>
      <c r="Q10" s="16" t="s">
        <v>50</v>
      </c>
      <c r="R10" s="137" t="str">
        <f>IF(K11="NONE","None",IF(K11="INLINE","Yes",IF(K11="OUT OF LINE","Yes")))</f>
        <v>Yes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7.875</v>
      </c>
      <c r="F11" s="115"/>
      <c r="G11" s="12" t="s">
        <v>15</v>
      </c>
      <c r="H11" s="114">
        <f>H10/B10</f>
        <v>972.00000000000011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>V</v>
      </c>
      <c r="P11" s="101"/>
      <c r="Q11" s="15"/>
      <c r="R11" s="100" t="str">
        <f>IF(R10="None","","P")</f>
        <v>P</v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69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177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 t="s">
        <v>198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199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44266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44259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DE83AB5-624B-40D3-A9A5-410665422748}"/>
</file>

<file path=customXml/itemProps2.xml><?xml version="1.0" encoding="utf-8"?>
<ds:datastoreItem xmlns:ds="http://schemas.openxmlformats.org/officeDocument/2006/customXml" ds:itemID="{091B49E1-EB42-4344-8DE1-840E199A1826}"/>
</file>

<file path=customXml/itemProps3.xml><?xml version="1.0" encoding="utf-8"?>
<ds:datastoreItem xmlns:ds="http://schemas.openxmlformats.org/officeDocument/2006/customXml" ds:itemID="{B520E589-9067-4808-A39D-85A23D84DE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2021-02-11T04:40:26Z</cp:lastPrinted>
  <dcterms:created xsi:type="dcterms:W3CDTF">2019-11-27T23:28:06Z</dcterms:created>
  <dcterms:modified xsi:type="dcterms:W3CDTF">2021-02-11T04:40:43Z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