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3C1331D-4366-4732-98BB-68101C1120F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<sst xmlns="http://schemas.openxmlformats.org/spreadsheetml/2006/main" count="308" uniqueCount="203">
  <si>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</si>
  <si>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</si>
  <si>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</si>
  <si>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</si>
  <si>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</si>
  <si>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</si>
  <si>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</si>
  <si>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</si>
  <si>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</si>
  <si>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</si>
  <si>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</si>
  <si>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</si>
  <si>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</si>
  <si>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</si>
  <si>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</si>
  <si>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</si>
  <si>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</si>
  <si>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</si>
  <si>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</si>
  <si>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</si>
  <si>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</si>
  <si>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</si>
  <si>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</si>
  <si>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</si>
  <si>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</si>
  <si>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</si>
  <si>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</si>
  <si>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</si>
  <si>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</si>
  <si>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</si>
  <si>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</si>
  <si>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</si>
  <si>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</si>
  <si>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</si>
  <si>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</si>
  <si>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</si>
  <si>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</si>
  <si>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</si>
  <si>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</si>
  <si>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</si>
  <si>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</si>
  <si>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</si>
  <si>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</si>
  <si>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</si>
  <si>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</si>
  <si>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</si>
  <si>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</si>
  <si>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</si>
  <si>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</si>
  <si>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</si>
  <si>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</si>
  <si>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</si>
  <si>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</si>
  <si>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</si>
  <si>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</si>
  <si>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</si>
  <si>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</si>
  <si>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</si>
  <si>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</si>
  <si>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</si>
  <si>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</si>
  <si>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</si>
  <si>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</si>
  <si>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</si>
  <si>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</si>
  <si>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</si>
  <si>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</si>
  <si>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</si>
  <si>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</si>
  <si>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</si>
  <si>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</si>
  <si>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</si>
  <si>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</si>
  <si>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</si>
  <si>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</si>
  <si>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</si>
  <si>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</si>
  <si>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</si>
  <si>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</si>
  <si>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</si>
  <si>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</si>
  <si>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</si>
  <si>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</si>
  <si>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</si>
  <si>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</si>
  <si>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</si>
  <si>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</si>
  <si>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</si>
  <si>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</si>
  <si>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</si>
  <si>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</si>
  <si>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</si>
  <si>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</si>
  <si>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</si>
  <si>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</si>
  <si>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</si>
  <si>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</si>
  <si>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</si>
  <si>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</si>
  <si>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</si>
  <si>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</si>
  <si>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</si>
  <si>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</si>
  <si>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</si>
  <si>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</si>
  <si>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</si>
  <si>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</si>
  <si>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</si>
  <si>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</si>
  <si>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</si>
  <si>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</si>
  <si>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</si>
  <si>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</si>
  <si>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</si>
  <si>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</si>
  <si>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</si>
  <si>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</si>
  <si>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</si>
  <si>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</si>
  <si>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</si>
  <si>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</si>
  <si>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</si>
  <si>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</si>
  <si>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</si>
  <si>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</si>
  <si>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</si>
  <si>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</si>
  <si>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</si>
  <si>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</si>
  <si>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</si>
  <si>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</si>
  <si>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</si>
  <si>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</si>
  <si>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</si>
  <si>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</si>
  <si>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</si>
  <si>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</si>
  <si>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</si>
  <si>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</si>
  <si>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</si>
  <si>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</si>
  <si>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</si>
  <si>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</si>
  <si>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</si>
  <si>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</si>
  <si>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</si>
  <si>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</si>
  <si>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</si>
  <si>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</si>
  <si>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</si>
  <si>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</si>
  <si>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</si>
  <si>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</si>
  <si>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</si>
  <si>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</si>
  <si>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</si>
  <si>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</si>
  <si>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</si>
  <si>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</si>
  <si>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</si>
  <si>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</si>
  <si>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</si>
  <si>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</si>
  <si>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</si>
  <si>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</si>
  <si>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</si>
  <si>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</si>
  <si>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</si>
  <si>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</si>
  <si>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</si>
  <si>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</si>
  <si>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</si>
  <si>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</si>
  <si>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</si>
  <si>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</si>
  <si>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</si>
  <si>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</si>
  <si>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</si>
  <si>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</si>
  <si>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</si>
  <si>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</si>
  <si>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</si>
  <si>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</si>
  <si>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</si>
  <si>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</si>
  <si>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</si>
  <si>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</si>
  <si>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</si>
  <si>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</si>
  <si>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</si>
  <si>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</si>
  <si>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</si>
  <si>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</si>
  <si>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</si>
  <si>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MUST HAVE SOFT FILM - MUST HAVE WATER TIGHT SEALS, PLEASE CHECK FREQUENTLY.</t>
  </si>
  <si>
    <t>RUN AT 140-150um</t>
  </si>
  <si>
    <t xml:space="preserve"> +5mm/-0mm</t>
  </si>
  <si>
    <t>ANTIBLOCK</t>
  </si>
  <si>
    <t>LIMAX/ORION 1</t>
  </si>
  <si>
    <t>20/20</t>
  </si>
  <si>
    <t>18/205</t>
  </si>
  <si>
    <t>16/205</t>
  </si>
  <si>
    <t>TINDALL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</si>
</sst>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topLeftCell="B1" zoomScale="80" zoomScaleNormal="80" workbookViewId="0">
      <selection activeCell="I18" sqref="I18:J18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08" t="str">
        <f>O9&amp;R9&amp;IF(X8="G","G","")&amp;IF(O8="Centrefold Roll","("&amp;E8&amp;")","")&amp;T9&amp;V9&amp;C22&amp;C23&amp;C24&amp;O11&amp;R11</f>
        <v>PB3105101100</v>
      </c>
      <c r="C1" s="108"/>
      <c r="D1" s="109"/>
      <c r="E1" s="11" t="s">
        <v>57</v>
      </c>
      <c r="F1" s="62" t="s">
        <v>202</v>
      </c>
      <c r="G1" s="62"/>
      <c r="H1" s="63"/>
      <c r="I1" s="12" t="s">
        <v>181</v>
      </c>
      <c r="J1" s="119">
        <f ca="1">TODAY()</f>
        <v>46066</v>
      </c>
      <c r="K1" s="119"/>
      <c r="L1" s="120"/>
      <c r="M1" s="29"/>
      <c r="N1" s="11" t="s">
        <v>56</v>
      </c>
      <c r="O1" s="108" t="str">
        <f>B1</f>
        <v>PB3105101100</v>
      </c>
      <c r="P1" s="108"/>
      <c r="Q1" s="109"/>
      <c r="R1" s="11" t="s">
        <v>57</v>
      </c>
      <c r="S1" s="108" t="str">
        <f>F1</f>
        <v>TINDALL</v>
      </c>
      <c r="T1" s="108"/>
      <c r="U1" s="109"/>
      <c r="V1" s="11" t="s">
        <v>181</v>
      </c>
      <c r="W1" s="119">
        <f ca="1">J1</f>
        <v>46066</v>
      </c>
      <c r="X1" s="119"/>
      <c r="Y1" s="120"/>
    </row>
    <row r="2" spans="1:25" ht="20.100000000000001" customHeight="1" x14ac:dyDescent="0.25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951429</v>
      </c>
      <c r="G2" s="62"/>
      <c r="H2" s="63"/>
      <c r="I2" s="11" t="s">
        <v>59</v>
      </c>
      <c r="J2" s="122" t="s">
        <v>192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951429</v>
      </c>
      <c r="T2" s="108"/>
      <c r="U2" s="109"/>
      <c r="V2" s="11" t="s">
        <v>59</v>
      </c>
      <c r="W2" s="121" t="str">
        <f>J2</f>
        <v>ASAP</v>
      </c>
      <c r="X2" s="108"/>
      <c r="Y2" s="109"/>
    </row>
    <row r="3" spans="1:25" ht="20.100000000000001" customHeight="1" x14ac:dyDescent="0.25">
      <c r="A3" s="110" t="s">
        <v>194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>MUST HAVE SOFT FILM - MUST HAVE WATER TIGHT SEALS, PLEASE CHECK FREQUENTLY.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20</v>
      </c>
      <c r="P7" s="63"/>
      <c r="Q7" s="11" t="str">
        <f>IF(ISNUMBER(SEARCH("roll",O8,1)),"Per Roll","Per Carton")</f>
        <v>Per Carton</v>
      </c>
      <c r="R7" s="62">
        <v>500</v>
      </c>
      <c r="S7" s="63"/>
      <c r="T7" s="11" t="str">
        <f>IF(ISNUMBER(SEARCH("bag",O8,1)),"Total Bags","Total Sheets")</f>
        <v>Total Bags</v>
      </c>
      <c r="U7" s="108">
        <f>R7*O7</f>
        <v>10000</v>
      </c>
      <c r="V7" s="109"/>
      <c r="W7" s="11" t="s">
        <v>102</v>
      </c>
      <c r="X7" s="62" t="s">
        <v>31</v>
      </c>
      <c r="Y7" s="63"/>
    </row>
    <row r="8" spans="1:25" ht="20.100000000000001" customHeight="1" x14ac:dyDescent="0.25">
      <c r="A8" s="13" t="s">
        <v>16</v>
      </c>
      <c r="B8" s="96">
        <f>R9</f>
        <v>310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110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3">
      <c r="A9" s="16" t="s">
        <v>48</v>
      </c>
      <c r="B9" s="125" t="s">
        <v>196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195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310</v>
      </c>
      <c r="S9" s="18" t="s">
        <v>78</v>
      </c>
      <c r="T9" s="30">
        <v>510</v>
      </c>
      <c r="U9" s="18" t="s">
        <v>78</v>
      </c>
      <c r="V9" s="30">
        <v>110</v>
      </c>
      <c r="W9" s="17"/>
      <c r="X9" s="88"/>
      <c r="Y9" s="89"/>
    </row>
    <row r="10" spans="1:25" ht="20.100000000000001" customHeight="1" x14ac:dyDescent="0.25">
      <c r="A10" s="11" t="s">
        <v>51</v>
      </c>
      <c r="B10" s="62">
        <v>10</v>
      </c>
      <c r="C10" s="63"/>
      <c r="D10" s="47" t="s">
        <v>134</v>
      </c>
      <c r="E10" s="127">
        <f>IF(ISNUMBER(SEARCH("sheet",O8,1)),((R9*T9*H8/540000)*U7/2000*1.3),((R9*T9*H8/540000)*U7/1000*1.08))</f>
        <v>347.82</v>
      </c>
      <c r="F10" s="128"/>
      <c r="G10" s="11" t="s">
        <v>53</v>
      </c>
      <c r="H10" s="131">
        <f>IF(ISNUMBER(SEARCH("sheet",O8,1)),(U7*T9/2000*1.08),(U7*T9/1000*1.08))</f>
        <v>5508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34.781999999999996</v>
      </c>
      <c r="F11" s="130"/>
      <c r="G11" s="11" t="s">
        <v>15</v>
      </c>
      <c r="H11" s="129">
        <f>H10/B10</f>
        <v>550.79999999999995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20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150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38" t="s">
        <v>197</v>
      </c>
      <c r="B23" s="138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198</v>
      </c>
      <c r="P25" s="34"/>
      <c r="Q25" s="10" t="s">
        <v>199</v>
      </c>
      <c r="R25" s="10"/>
      <c r="S25" s="10"/>
      <c r="T25" s="10"/>
      <c r="U25" s="10"/>
      <c r="V25" s="10"/>
      <c r="W25" s="10" t="s">
        <v>200</v>
      </c>
      <c r="X25" s="10" t="s">
        <v>201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46094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46087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828938A-B50C-472C-BC8F-C0739672B41E}"/>
</file>

<file path=customXml/itemProps2.xml><?xml version="1.0" encoding="utf-8"?>
<ds:datastoreItem xmlns:ds="http://schemas.openxmlformats.org/officeDocument/2006/customXml" ds:itemID="{02D445A7-451A-4354-8518-59C2A76F90F7}"/>
</file>

<file path=customXml/itemProps3.xml><?xml version="1.0" encoding="utf-8"?>
<ds:datastoreItem xmlns:ds="http://schemas.openxmlformats.org/officeDocument/2006/customXml" ds:itemID="{F41C89B2-1E66-4930-A0DF-AF50968564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2025-03-13T01:58:23Z</cp:lastPrinted>
  <dcterms:created xsi:type="dcterms:W3CDTF">2019-11-27T23:28:06Z</dcterms:created>
  <dcterms:modified xsi:type="dcterms:W3CDTF">2026-02-13T08:25:25Z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