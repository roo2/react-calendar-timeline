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F826A9D-E365-40A4-814D-6A3540A253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<sst xmlns="http://schemas.openxmlformats.org/spreadsheetml/2006/main" count="302" uniqueCount="200">
  <si>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</si>
  <si>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</si>
  <si>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</si>
  <si>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</si>
  <si>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</si>
  <si>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</si>
  <si>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</si>
  <si>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</si>
  <si>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</si>
  <si>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</si>
  <si>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</si>
  <si>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</si>
  <si>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</si>
  <si>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</si>
  <si>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</si>
  <si>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</si>
  <si>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</si>
  <si>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</si>
  <si>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</si>
  <si>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</si>
  <si>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</si>
  <si>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</si>
  <si>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</si>
  <si>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</si>
  <si>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</si>
  <si>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</si>
  <si>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</si>
  <si>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</si>
  <si>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</si>
  <si>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</si>
  <si>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</si>
  <si>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</si>
  <si>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</si>
  <si>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</si>
  <si>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</si>
  <si>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</si>
  <si>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</si>
  <si>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</si>
  <si>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</si>
  <si>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</si>
  <si>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</si>
  <si>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</si>
  <si>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</si>
  <si>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</si>
  <si>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</si>
  <si>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</si>
  <si>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</si>
  <si>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</si>
  <si>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</si>
  <si>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</si>
  <si>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</si>
  <si>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</si>
  <si>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</si>
  <si>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</si>
  <si>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</si>
  <si>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</si>
  <si>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</si>
  <si>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</si>
  <si>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</si>
  <si>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</si>
  <si>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</si>
  <si>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</si>
  <si>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</si>
  <si>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</si>
  <si>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</si>
  <si>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</si>
  <si>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</si>
  <si>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</si>
  <si>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</si>
  <si>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</si>
  <si>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</si>
  <si>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</si>
  <si>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</si>
  <si>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</si>
  <si>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</si>
  <si>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</si>
  <si>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</si>
  <si>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</si>
  <si>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</si>
  <si>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</si>
  <si>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</si>
  <si>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</si>
  <si>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</si>
  <si>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</si>
  <si>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</si>
  <si>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</si>
  <si>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</si>
  <si>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</si>
  <si>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</si>
  <si>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</si>
  <si>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</si>
  <si>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</si>
  <si>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</si>
  <si>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</si>
  <si>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</si>
  <si>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</si>
  <si>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</si>
  <si>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</si>
  <si>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</si>
  <si>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</si>
  <si>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</si>
  <si>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</si>
  <si>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</si>
  <si>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</si>
  <si>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</si>
  <si>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</si>
  <si>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</si>
  <si>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</si>
  <si>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</si>
  <si>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</si>
  <si>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</si>
  <si>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</si>
  <si>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</si>
  <si>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</si>
  <si>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</si>
  <si>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</si>
  <si>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</si>
  <si>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</si>
  <si>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</si>
  <si>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</si>
  <si>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</si>
  <si>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</si>
  <si>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</si>
  <si>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</si>
  <si>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</si>
  <si>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</si>
  <si>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</si>
  <si>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</si>
  <si>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</si>
  <si>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</si>
  <si>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</si>
  <si>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</si>
  <si>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</si>
  <si>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</si>
  <si>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</si>
  <si>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</si>
  <si>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</si>
  <si>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</si>
  <si>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</si>
  <si>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</si>
  <si>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</si>
  <si>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</si>
  <si>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</si>
  <si>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</si>
  <si>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</si>
  <si>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</si>
  <si>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</si>
  <si>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</si>
  <si>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</si>
  <si>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</si>
  <si>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</si>
  <si>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</si>
  <si>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</si>
  <si>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</si>
  <si>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</si>
  <si>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</si>
  <si>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</si>
  <si>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</si>
  <si>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</si>
  <si>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</si>
  <si>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</si>
  <si>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</si>
  <si>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</si>
  <si>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</si>
  <si>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</si>
  <si>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</si>
  <si>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</si>
  <si>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</si>
  <si>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</si>
  <si>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</si>
  <si>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</si>
  <si>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</si>
  <si>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</si>
  <si>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</si>
  <si>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</si>
  <si>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</si>
  <si>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</si>
  <si>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</si>
  <si>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</si>
  <si>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</si>
  <si>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</si>
  <si>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</si>
  <si>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</si>
  <si>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</si>
  <si>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</si>
  <si>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</si>
  <si>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</si>
  <si>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</si>
  <si>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</si>
  <si>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</si>
  <si>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</si>
  <si>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</si>
  <si>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</si>
  <si>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</si>
  <si>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70UM</t>
  </si>
  <si>
    <t>EAGLESHAMS MENSWEAR</t>
  </si>
  <si>
    <t xml:space="preserve"> +/- 10mm</t>
  </si>
  <si>
    <t>PERF</t>
  </si>
  <si>
    <t xml:space="preserve">ANTIBLOCK 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</si>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</sst>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27" sqref="F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PBR48055075</v>
      </c>
      <c r="C1" s="108"/>
      <c r="D1" s="109"/>
      <c r="E1" s="10" t="s">
        <v>57</v>
      </c>
      <c r="F1" s="61" t="s">
        <v>195</v>
      </c>
      <c r="G1" s="61"/>
      <c r="H1" s="62"/>
      <c r="I1" s="11" t="s">
        <v>181</v>
      </c>
      <c r="J1" s="119">
        <f ca="1">TODAY()</f>
        <v>45824</v>
      </c>
      <c r="K1" s="119"/>
      <c r="L1" s="120"/>
      <c r="M1" s="28"/>
      <c r="N1" s="10" t="s">
        <v>56</v>
      </c>
      <c r="O1" s="108" t="str">
        <f>B1</f>
        <v>PBR48055075</v>
      </c>
      <c r="P1" s="108"/>
      <c r="Q1" s="109"/>
      <c r="R1" s="10" t="s">
        <v>57</v>
      </c>
      <c r="S1" s="108" t="str">
        <f>F1</f>
        <v>EAGLESHAMS MENSWEAR</v>
      </c>
      <c r="T1" s="108"/>
      <c r="U1" s="109"/>
      <c r="V1" s="10" t="s">
        <v>181</v>
      </c>
      <c r="W1" s="119">
        <f ca="1">J1</f>
        <v>45824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/>
      </c>
      <c r="C2" s="108"/>
      <c r="D2" s="109"/>
      <c r="E2" s="10" t="s">
        <v>58</v>
      </c>
      <c r="F2" s="61">
        <v>949978</v>
      </c>
      <c r="G2" s="61"/>
      <c r="H2" s="62"/>
      <c r="I2" s="10" t="s">
        <v>59</v>
      </c>
      <c r="J2" s="122">
        <v>45814</v>
      </c>
      <c r="K2" s="61"/>
      <c r="L2" s="62"/>
      <c r="M2" s="28"/>
      <c r="N2" s="10" t="s">
        <v>100</v>
      </c>
      <c r="O2" s="108" t="str">
        <f>IF(B2="","",B2)</f>
        <v/>
      </c>
      <c r="P2" s="108"/>
      <c r="Q2" s="109"/>
      <c r="R2" s="10" t="s">
        <v>58</v>
      </c>
      <c r="S2" s="108">
        <f>IF(F2="","",F2)</f>
        <v>949978</v>
      </c>
      <c r="T2" s="108"/>
      <c r="U2" s="109"/>
      <c r="V2" s="10" t="s">
        <v>59</v>
      </c>
      <c r="W2" s="121">
        <f>J2</f>
        <v>45814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8"/>
      <c r="N7" s="10" t="str">
        <f>IF(ISNUMBER(SEARCH("roll",O8,1)),"No. Rolls","No. Cartons")</f>
        <v>No. Rolls</v>
      </c>
      <c r="O7" s="61">
        <v>12</v>
      </c>
      <c r="P7" s="62"/>
      <c r="Q7" s="10" t="str">
        <f>IF(ISNUMBER(SEARCH("roll",O8,1)),"Per Roll","Per Carton")</f>
        <v>Per Roll</v>
      </c>
      <c r="R7" s="61">
        <v>250</v>
      </c>
      <c r="S7" s="62"/>
      <c r="T7" s="10" t="str">
        <f>IF(ISNUMBER(SEARCH("bag",O8,1)),"Total Bags","Total Sheets")</f>
        <v>Total Bags</v>
      </c>
      <c r="U7" s="108">
        <f>R7*O7</f>
        <v>3000</v>
      </c>
      <c r="V7" s="109"/>
      <c r="W7" s="10" t="s">
        <v>102</v>
      </c>
      <c r="X7" s="61" t="s">
        <v>31</v>
      </c>
      <c r="Y7" s="62"/>
    </row>
    <row r="8" spans="1:25" ht="20.100000000000001" customHeight="1" x14ac:dyDescent="0.25">
      <c r="A8" s="12" t="s">
        <v>16</v>
      </c>
      <c r="B8" s="95">
        <f>R9</f>
        <v>480</v>
      </c>
      <c r="C8" s="96"/>
      <c r="D8" s="26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2" t="s">
        <v>52</v>
      </c>
      <c r="H8" s="95">
        <f>(IF(V9&lt;30,"30",V9))</f>
        <v>75</v>
      </c>
      <c r="I8" s="96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7" t="s">
        <v>165</v>
      </c>
      <c r="P8" s="9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5" t="s">
        <v>48</v>
      </c>
      <c r="B9" s="125" t="s">
        <v>196</v>
      </c>
      <c r="C9" s="126"/>
      <c r="D9" s="133" t="str">
        <f>IF(K10="Middle","RUN 2 UP",IF(AND(O8="Centrefold Roll",B8=380),"RUN 2 UP",""))</f>
        <v/>
      </c>
      <c r="E9" s="99"/>
      <c r="F9" s="100"/>
      <c r="G9" s="15" t="s">
        <v>48</v>
      </c>
      <c r="H9" s="125" t="s">
        <v>194</v>
      </c>
      <c r="I9" s="126"/>
      <c r="J9" s="10" t="s">
        <v>55</v>
      </c>
      <c r="K9" s="61" t="s">
        <v>34</v>
      </c>
      <c r="L9" s="62"/>
      <c r="M9" s="28"/>
      <c r="N9" s="16"/>
      <c r="O9" s="101" t="str">
        <f>IF(O8="Poly Bag","PB",IF(O8="Poly Bag Roll","PBR",IF(O8="Centrefold Roll","CFR",IF(O8="Sheet","S",IF(O8="Sheet Roll","SR")))))</f>
        <v>PBR</v>
      </c>
      <c r="P9" s="102"/>
      <c r="Q9" s="16"/>
      <c r="R9" s="29">
        <v>480</v>
      </c>
      <c r="S9" s="17" t="s">
        <v>78</v>
      </c>
      <c r="T9" s="29">
        <v>550</v>
      </c>
      <c r="U9" s="17" t="s">
        <v>78</v>
      </c>
      <c r="V9" s="29">
        <v>75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3</v>
      </c>
      <c r="C10" s="62"/>
      <c r="D10" s="46" t="s">
        <v>134</v>
      </c>
      <c r="E10" s="127">
        <f>IF(ISNUMBER(SEARCH("sheet",O8,1)),((R9*T9*H8/540000)*U7/2000*1.3),((R9*T9*H8/540000)*U7/1000*1.08))</f>
        <v>118.80000000000001</v>
      </c>
      <c r="F10" s="128"/>
      <c r="G10" s="10" t="s">
        <v>53</v>
      </c>
      <c r="H10" s="131">
        <f>IF(ISNUMBER(SEARCH("sheet",O8,1)),(U7*T9/2000*1.08),(U7*T9/1000*1.08))</f>
        <v>1782.0000000000002</v>
      </c>
      <c r="I10" s="132"/>
      <c r="J10" s="10" t="s">
        <v>41</v>
      </c>
      <c r="K10" s="61" t="s">
        <v>44</v>
      </c>
      <c r="L10" s="62"/>
      <c r="M10" s="28"/>
      <c r="N10" s="13" t="s">
        <v>141</v>
      </c>
      <c r="O10" s="97" t="s">
        <v>44</v>
      </c>
      <c r="P10" s="98"/>
      <c r="Q10" s="13" t="s">
        <v>50</v>
      </c>
      <c r="R10" s="93" t="str">
        <f>IF(K11="NONE","None",IF(K11="INLINE","Yes",IF(K11="OUT OF LINE","Yes")))</f>
        <v>None</v>
      </c>
      <c r="S10" s="93"/>
      <c r="T10" s="13" t="s">
        <v>100</v>
      </c>
      <c r="U10" s="103"/>
      <c r="V10" s="103"/>
      <c r="W10" s="103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39.6</v>
      </c>
      <c r="F11" s="130"/>
      <c r="G11" s="10" t="s">
        <v>15</v>
      </c>
      <c r="H11" s="129">
        <f>H10/B10</f>
        <v>594.00000000000011</v>
      </c>
      <c r="I11" s="130"/>
      <c r="J11" s="10" t="s">
        <v>50</v>
      </c>
      <c r="K11" s="61" t="s">
        <v>44</v>
      </c>
      <c r="L11" s="62"/>
      <c r="M11" s="28"/>
      <c r="N11" s="12"/>
      <c r="O11" s="95" t="str">
        <f>IF(O10="NONE","","V")</f>
        <v/>
      </c>
      <c r="P11" s="96"/>
      <c r="Q11" s="12"/>
      <c r="R11" s="95" t="str">
        <f>IF(R10="None","","P")</f>
        <v/>
      </c>
      <c r="S11" s="96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44</v>
      </c>
      <c r="C13" s="61"/>
      <c r="D13" s="62"/>
      <c r="E13" s="18" t="s">
        <v>61</v>
      </c>
      <c r="F13" s="61" t="s">
        <v>44</v>
      </c>
      <c r="G13" s="61"/>
      <c r="H13" s="62"/>
      <c r="I13" s="10" t="s">
        <v>62</v>
      </c>
      <c r="J13" s="61" t="s">
        <v>44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12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7" t="s">
        <v>4</v>
      </c>
      <c r="F16" s="137"/>
      <c r="G16" s="137" t="s">
        <v>5</v>
      </c>
      <c r="H16" s="137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/>
      <c r="P16" s="62"/>
      <c r="Q16" s="10" t="s">
        <v>105</v>
      </c>
      <c r="R16" s="61" t="s">
        <v>23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/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Rolls</v>
      </c>
      <c r="U17" s="61" t="s">
        <v>31</v>
      </c>
      <c r="V17" s="62"/>
      <c r="W17" s="10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/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8" t="s">
        <v>198</v>
      </c>
      <c r="B23" s="138"/>
      <c r="C23" s="91"/>
      <c r="D23" s="92"/>
      <c r="E23" s="58"/>
      <c r="F23" s="59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39"/>
      <c r="B24" s="140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197</v>
      </c>
      <c r="P25" s="33"/>
      <c r="Q25" s="9">
        <v>28</v>
      </c>
      <c r="R25" s="9">
        <v>8</v>
      </c>
      <c r="S25" s="9"/>
      <c r="T25" s="9">
        <v>10</v>
      </c>
      <c r="U25" s="9"/>
      <c r="V25" s="9">
        <v>3</v>
      </c>
      <c r="W25" s="9">
        <v>175</v>
      </c>
      <c r="X25" s="9">
        <v>175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0" t="s">
        <v>132</v>
      </c>
      <c r="H26" s="90"/>
      <c r="I26" s="90" t="s">
        <v>131</v>
      </c>
      <c r="J26" s="90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199</v>
      </c>
      <c r="C27" s="7"/>
      <c r="D27" s="141">
        <v>21</v>
      </c>
      <c r="E27" s="142">
        <v>5</v>
      </c>
      <c r="F27" s="7"/>
      <c r="G27" s="89"/>
      <c r="H27" s="89"/>
      <c r="I27" s="89"/>
      <c r="J27" s="8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89"/>
      <c r="H28" s="89"/>
      <c r="I28" s="89"/>
      <c r="J28" s="8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45854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45845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5F01764-8C5D-478C-B6B1-1AD28486F5B0}"/>
</file>

<file path=customXml/itemProps2.xml><?xml version="1.0" encoding="utf-8"?>
<ds:datastoreItem xmlns:ds="http://schemas.openxmlformats.org/officeDocument/2006/customXml" ds:itemID="{88478FD2-6AEA-4D44-B9EA-1DB2EB1077F4}"/>
</file>

<file path=customXml/itemProps3.xml><?xml version="1.0" encoding="utf-8"?>
<ds:datastoreItem xmlns:ds="http://schemas.openxmlformats.org/officeDocument/2006/customXml" ds:itemID="{AC18D7FF-ED9C-4FB0-909C-4236CD8A7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2025-05-16T01:32:17Z</cp:lastPrinted>
  <dcterms:created xsi:type="dcterms:W3CDTF">2019-11-27T23:28:06Z</dcterms:created>
  <dcterms:modified xsi:type="dcterms:W3CDTF">2025-06-16T04:44:36Z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