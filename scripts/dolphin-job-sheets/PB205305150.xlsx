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29CA879-CBCF-4F36-8C02-6B19AE01F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<sst xmlns="http://schemas.openxmlformats.org/spreadsheetml/2006/main" count="303" uniqueCount="200">
  <si>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</si>
  <si>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</si>
  <si>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</si>
  <si>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</si>
  <si>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</si>
  <si>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</si>
  <si>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</si>
  <si>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</si>
  <si>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</si>
  <si>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</si>
  <si>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</si>
  <si>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</si>
  <si>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</si>
  <si>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</si>
  <si>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</si>
  <si>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</si>
  <si>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</si>
  <si>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</si>
  <si>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</si>
  <si>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</si>
  <si>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</si>
  <si>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</si>
  <si>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</si>
  <si>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</si>
  <si>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</si>
  <si>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</si>
  <si>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</si>
  <si>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</si>
  <si>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</si>
  <si>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</si>
  <si>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</si>
  <si>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</si>
  <si>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</si>
  <si>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</si>
  <si>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</si>
  <si>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</si>
  <si>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</si>
  <si>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</si>
  <si>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</si>
  <si>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</si>
  <si>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</si>
  <si>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</si>
  <si>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</si>
  <si>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</si>
  <si>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</si>
  <si>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</si>
  <si>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</si>
  <si>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</si>
  <si>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</si>
  <si>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</si>
  <si>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</si>
  <si>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</si>
  <si>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</si>
  <si>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</si>
  <si>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</si>
  <si>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</si>
  <si>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</si>
  <si>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</si>
  <si>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</si>
  <si>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</si>
  <si>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</si>
  <si>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</si>
  <si>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</si>
  <si>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</si>
  <si>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</si>
  <si>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</si>
  <si>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</si>
  <si>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</si>
  <si>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</si>
  <si>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</si>
  <si>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</si>
  <si>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</si>
  <si>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</si>
  <si>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</si>
  <si>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</si>
  <si>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</si>
  <si>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</si>
  <si>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</si>
  <si>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</si>
  <si>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</si>
  <si>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</si>
  <si>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</si>
  <si>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</si>
  <si>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</si>
  <si>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</si>
  <si>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</si>
  <si>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</si>
  <si>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</si>
  <si>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</si>
  <si>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</si>
  <si>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</si>
  <si>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</si>
  <si>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</si>
  <si>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</si>
  <si>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</si>
  <si>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</si>
  <si>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</si>
  <si>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</si>
  <si>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</si>
  <si>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</si>
  <si>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</si>
  <si>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</si>
  <si>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</si>
  <si>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</si>
  <si>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</si>
  <si>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</si>
  <si>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</si>
  <si>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</si>
  <si>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</si>
  <si>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</si>
  <si>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</si>
  <si>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</si>
  <si>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</si>
  <si>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</si>
  <si>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</si>
  <si>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</si>
  <si>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</si>
  <si>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</si>
  <si>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</si>
  <si>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</si>
  <si>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</si>
  <si>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</si>
  <si>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</si>
  <si>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</si>
  <si>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</si>
  <si>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</si>
  <si>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</si>
  <si>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</si>
  <si>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</si>
  <si>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</si>
  <si>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</si>
  <si>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</si>
  <si>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</si>
  <si>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</si>
  <si>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</si>
  <si>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</si>
  <si>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</si>
  <si>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</si>
  <si>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</si>
  <si>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</si>
  <si>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</si>
  <si>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</si>
  <si>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</si>
  <si>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</si>
  <si>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</si>
  <si>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</si>
  <si>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</si>
  <si>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</si>
  <si>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</si>
  <si>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</si>
  <si>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</si>
  <si>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</si>
  <si>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</si>
  <si>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</si>
  <si>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</si>
  <si>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</si>
  <si>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</si>
  <si>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</si>
  <si>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</si>
  <si>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</si>
  <si>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</si>
  <si>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</si>
  <si>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</si>
  <si>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</si>
  <si>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</si>
  <si>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</si>
  <si>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</si>
  <si>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</si>
  <si>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</si>
  <si>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</si>
  <si>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</si>
  <si>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</si>
  <si>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</si>
  <si>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</si>
  <si>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</si>
  <si>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</si>
  <si>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</si>
  <si>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</si>
  <si>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</si>
  <si>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</si>
  <si>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</si>
  <si>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</si>
  <si>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</si>
  <si>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</si>
  <si>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</si>
  <si>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</si>
  <si>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</si>
  <si>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</si>
  <si>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</si>
  <si>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</si>
  <si>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</si>
  <si>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</si>
  <si>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</si>
  <si>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</si>
  <si>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140um</t>
  </si>
  <si>
    <t xml:space="preserve"> +/- 10mm</t>
  </si>
  <si>
    <t>NO OVERS/UNDERS</t>
  </si>
  <si>
    <t>HQ PLANTATIONS</t>
  </si>
  <si>
    <t>ANTIBLOCK</t>
  </si>
  <si>
    <t>Notes(PACK TYPE G15)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</si>
</sst>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PB2053051500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45582</v>
      </c>
      <c r="K1" s="84"/>
      <c r="L1" s="85"/>
      <c r="M1" s="29"/>
      <c r="N1" s="11" t="s">
        <v>56</v>
      </c>
      <c r="O1" s="111" t="str">
        <f>B1</f>
        <v>PB2053051500</v>
      </c>
      <c r="P1" s="111"/>
      <c r="Q1" s="112"/>
      <c r="R1" s="11" t="s">
        <v>57</v>
      </c>
      <c r="S1" s="111" t="str">
        <f>F1</f>
        <v>HQ PLANTATIONS</v>
      </c>
      <c r="T1" s="111"/>
      <c r="U1" s="112"/>
      <c r="V1" s="11" t="s">
        <v>181</v>
      </c>
      <c r="W1" s="84">
        <f ca="1">J1</f>
        <v>45582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936558</v>
      </c>
      <c r="G2" s="87"/>
      <c r="H2" s="88"/>
      <c r="I2" s="11" t="s">
        <v>59</v>
      </c>
      <c r="J2" s="86">
        <v>43915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936558</v>
      </c>
      <c r="T2" s="111"/>
      <c r="U2" s="112"/>
      <c r="V2" s="11" t="s">
        <v>59</v>
      </c>
      <c r="W2" s="122">
        <f>J2</f>
        <v>43915</v>
      </c>
      <c r="X2" s="111"/>
      <c r="Y2" s="112"/>
    </row>
    <row r="3" spans="1:25" ht="20.100000000000001" customHeight="1" x14ac:dyDescent="0.25">
      <c r="A3" s="113" t="s">
        <v>196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NO OVERS/UNDERS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3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3000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205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205</v>
      </c>
      <c r="S9" s="18" t="s">
        <v>78</v>
      </c>
      <c r="T9" s="30">
        <v>305</v>
      </c>
      <c r="U9" s="18" t="s">
        <v>78</v>
      </c>
      <c r="V9" s="30">
        <v>150</v>
      </c>
      <c r="W9" s="17"/>
      <c r="X9" s="136"/>
      <c r="Y9" s="137"/>
    </row>
    <row r="10" spans="1:25" ht="20.100000000000001" customHeight="1" x14ac:dyDescent="0.25">
      <c r="A10" s="11" t="s">
        <v>51</v>
      </c>
      <c r="B10" s="87">
        <v>3</v>
      </c>
      <c r="C10" s="88"/>
      <c r="D10" s="47" t="s">
        <v>134</v>
      </c>
      <c r="E10" s="101">
        <f>IF(ISNUMBER(SEARCH("sheet",O8,1)),((R9*T9*H8/540000)*U7/2000*1.3),((R9*T9*H8/540000)*U7/1000*1.08))</f>
        <v>56.272500000000008</v>
      </c>
      <c r="F10" s="102"/>
      <c r="G10" s="11" t="s">
        <v>53</v>
      </c>
      <c r="H10" s="105">
        <f>IF(ISNUMBER(SEARCH("sheet",O8,1)),(U7*T9/2000*1.08),(U7*T9/1000*1.08))</f>
        <v>988.2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18.757500000000004</v>
      </c>
      <c r="F11" s="104"/>
      <c r="G11" s="11" t="s">
        <v>15</v>
      </c>
      <c r="H11" s="103">
        <f>H10/B10</f>
        <v>329.40000000000003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3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180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23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199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198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45613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45603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5D25EEA-05AA-41D3-B509-55C246378026}"/>
</file>

<file path=customXml/itemProps2.xml><?xml version="1.0" encoding="utf-8"?>
<ds:datastoreItem xmlns:ds="http://schemas.openxmlformats.org/officeDocument/2006/customXml" ds:itemID="{43372D51-83E1-44A0-8FA3-661E7B6D4161}"/>
</file>

<file path=customXml/itemProps3.xml><?xml version="1.0" encoding="utf-8"?>
<ds:datastoreItem xmlns:ds="http://schemas.openxmlformats.org/officeDocument/2006/customXml" ds:itemID="{2404367E-03AB-45F6-AF4C-25D6204AD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2020-02-21T02:40:21Z</cp:lastPrinted>
  <dcterms:created xsi:type="dcterms:W3CDTF">2019-11-27T23:28:06Z</dcterms:created>
  <dcterms:modified xsi:type="dcterms:W3CDTF">2024-10-16T23:43:06Z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