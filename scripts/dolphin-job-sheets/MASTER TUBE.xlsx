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64E3ABC8-45CC-43D4-8669-A1C2D5EB6DE9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<sst xmlns="http://schemas.openxmlformats.org/spreadsheetml/2006/main" count="225" uniqueCount="167">
  <si>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</si>
  <si>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</si>
  <si>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</si>
  <si>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</si>
  <si>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</si>
  <si>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</si>
  <si>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</si>
  <si>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</si>
  <si>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</si>
  <si>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</si>
  <si>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</si>
  <si>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</si>
  <si>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</si>
  <si>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</si>
  <si>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</si>
  <si>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</si>
  <si>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</si>
  <si>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</si>
  <si>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</si>
  <si>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</si>
  <si>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</si>
  <si>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</si>
  <si>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</si>
  <si>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</si>
  <si>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</si>
  <si>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</si>
  <si>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</si>
  <si>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</si>
  <si>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</si>
  <si>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</si>
  <si>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</si>
  <si>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</si>
  <si>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</si>
  <si>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</si>
  <si>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</si>
  <si>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</si>
  <si>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</si>
  <si>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</si>
  <si>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</si>
  <si>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</si>
  <si>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</si>
  <si>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</si>
  <si>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</si>
  <si>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</si>
  <si>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</si>
  <si>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</si>
  <si>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</si>
  <si>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</si>
  <si>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</si>
  <si>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</si>
  <si>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</si>
  <si>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</si>
  <si>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</si>
  <si>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</si>
  <si>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</si>
  <si>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</si>
  <si>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</si>
  <si>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</si>
  <si>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</si>
  <si>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</si>
  <si>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</si>
  <si>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</si>
  <si>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</si>
  <si>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</si>
  <si>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</si>
  <si>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</si>
  <si>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</si>
  <si>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</si>
  <si>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</si>
  <si>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</si>
  <si>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</si>
  <si>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</si>
  <si>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</si>
  <si>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</si>
  <si>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</si>
  <si>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</si>
  <si>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</si>
  <si>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</si>
  <si>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</si>
  <si>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</si>
  <si>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</si>
  <si>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</si>
  <si>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</si>
  <si>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</si>
  <si>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</si>
  <si>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</si>
  <si>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</si>
  <si>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</si>
  <si>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</si>
  <si>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</si>
  <si>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</si>
  <si>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</si>
  <si>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</si>
  <si>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</si>
  <si>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</si>
  <si>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</si>
  <si>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</si>
  <si>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</si>
  <si>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</si>
  <si>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</si>
  <si>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</si>
  <si>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</si>
  <si>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</si>
  <si>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</si>
  <si>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</si>
  <si>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</si>
  <si>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</si>
  <si>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</si>
  <si>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</si>
  <si>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</si>
  <si>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</si>
  <si>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</si>
  <si>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</si>
  <si>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</si>
  <si>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</si>
  <si>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</si>
  <si>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</si>
  <si>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</si>
  <si>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</si>
  <si>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</si>
  <si>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</si>
  <si>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</si>
  <si>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</si>
  <si>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</si>
  <si>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</si>
  <si>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</si>
  <si>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</si>
  <si>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</si>
  <si>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</si>
  <si>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</si>
  <si>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</si>
  <si>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</si>
  <si>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</si>
  <si>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</si>
  <si>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</si>
  <si>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</si>
  <si>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</si>
  <si>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</si>
  <si>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</si>
  <si>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</si>
  <si>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</si>
  <si>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</si>
  <si>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</si>
  <si>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</si>
  <si>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</si>
  <si>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</si>
  <si>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</si>
  <si>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</si>
  <si>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</si>
  <si>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</si>
  <si>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</si>
  <si>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</si>
  <si>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</si>
  <si>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</si>
  <si>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</si>
  <si>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</si>
  <si>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</si>
  <si>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</si>
  <si>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</si>
  <si>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</si>
  <si>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</si>
  <si>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</si>
  <si>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</si>
  <si>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+/- 3mm</t>
  </si>
  <si>
    <t>HEL PERFORMANCE</t>
  </si>
  <si>
    <t>WHITE AND RED PRINT - HEL PERFORMANCE</t>
  </si>
  <si>
    <t>RUN AT 95um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</si>
</sst>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J2" sqref="J2:L2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T250100</v>
      </c>
      <c r="C1" s="70"/>
      <c r="D1" s="71"/>
      <c r="E1" s="12" t="s">
        <v>55</v>
      </c>
      <c r="F1" s="85" t="s">
        <v>164</v>
      </c>
      <c r="G1" s="85"/>
      <c r="H1" s="86"/>
      <c r="I1" s="12" t="s">
        <v>147</v>
      </c>
      <c r="J1" s="87">
        <f ca="1">TODAY()</f>
        <v>44126</v>
      </c>
      <c r="K1" s="87"/>
      <c r="L1" s="88"/>
    </row>
    <row r="2" spans="1:14" ht="20.100000000000001" customHeight="1" x14ac:dyDescent="0.25">
      <c r="A2" s="12" t="s">
        <v>94</v>
      </c>
      <c r="B2" s="74" t="str">
        <f>IF(B7="Tube",(ROUNDUP(E11,0)&amp;"KG"),(ROUNDUP(H11,0)&amp;"M"))</f>
        <v>10KG</v>
      </c>
      <c r="C2" s="74"/>
      <c r="D2" s="75"/>
      <c r="E2" s="12" t="s">
        <v>56</v>
      </c>
      <c r="F2" s="60">
        <v>938240</v>
      </c>
      <c r="G2" s="60"/>
      <c r="H2" s="61"/>
      <c r="I2" s="12" t="s">
        <v>57</v>
      </c>
      <c r="J2" s="89">
        <v>44102</v>
      </c>
      <c r="K2" s="60"/>
      <c r="L2" s="61"/>
    </row>
    <row r="3" spans="1:14" ht="20.100000000000001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100000000000001" customHeight="1" x14ac:dyDescent="0.25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100000000000001" customHeight="1" x14ac:dyDescent="0.25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100000000000001" customHeight="1" x14ac:dyDescent="0.25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100000000000001" customHeight="1" x14ac:dyDescent="0.3">
      <c r="A7" s="12" t="s">
        <v>157</v>
      </c>
      <c r="B7" s="60" t="s">
        <v>158</v>
      </c>
      <c r="C7" s="61"/>
      <c r="D7" s="12" t="s">
        <v>47</v>
      </c>
      <c r="E7" s="121" t="s">
        <v>131</v>
      </c>
      <c r="F7" s="121"/>
      <c r="G7" s="121"/>
      <c r="H7" s="121"/>
      <c r="I7" s="121"/>
      <c r="J7" s="102" t="s">
        <v>145</v>
      </c>
      <c r="K7" s="102"/>
      <c r="L7" s="103"/>
    </row>
    <row r="8" spans="1:14" ht="20.100000000000001" customHeight="1" x14ac:dyDescent="0.25">
      <c r="A8" s="13" t="s">
        <v>14</v>
      </c>
      <c r="B8" s="108">
        <v>250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100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100000000000001" customHeight="1" x14ac:dyDescent="0.3">
      <c r="A9" s="14" t="s">
        <v>46</v>
      </c>
      <c r="B9" s="92" t="s">
        <v>163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166</v>
      </c>
      <c r="I9" s="93"/>
      <c r="J9" s="12" t="s">
        <v>53</v>
      </c>
      <c r="K9" s="60" t="s">
        <v>28</v>
      </c>
      <c r="L9" s="61"/>
    </row>
    <row r="10" spans="1:14" ht="20.100000000000001" customHeight="1" x14ac:dyDescent="0.25">
      <c r="A10" s="12" t="s">
        <v>49</v>
      </c>
      <c r="B10" s="60">
        <v>10</v>
      </c>
      <c r="C10" s="61"/>
      <c r="D10" s="42" t="s">
        <v>104</v>
      </c>
      <c r="E10" s="96">
        <f>E11*B10</f>
        <v>100</v>
      </c>
      <c r="F10" s="97"/>
      <c r="G10" s="12" t="s">
        <v>51</v>
      </c>
      <c r="H10" s="74">
        <f>H11*B10</f>
        <v>2160</v>
      </c>
      <c r="I10" s="75"/>
      <c r="J10" s="12" t="s">
        <v>39</v>
      </c>
      <c r="K10" s="60" t="s">
        <v>42</v>
      </c>
      <c r="L10" s="61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10</v>
      </c>
      <c r="F11" s="99"/>
      <c r="G11" s="51" t="s">
        <v>13</v>
      </c>
      <c r="H11" s="100">
        <f>E11*540000/B8/H8</f>
        <v>216</v>
      </c>
      <c r="I11" s="101"/>
      <c r="J11" s="51" t="s">
        <v>48</v>
      </c>
      <c r="K11" s="106" t="s">
        <v>42</v>
      </c>
      <c r="L11" s="107"/>
      <c r="N11"/>
    </row>
    <row r="12" spans="1:14" ht="20.100000000000001" customHeight="1" x14ac:dyDescent="0.25">
      <c r="A12" s="119" t="s">
        <v>11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100000000000001" customHeight="1" x14ac:dyDescent="0.25">
      <c r="A13" s="12" t="s">
        <v>59</v>
      </c>
      <c r="B13" s="60" t="s">
        <v>69</v>
      </c>
      <c r="C13" s="60"/>
      <c r="D13" s="61"/>
      <c r="E13" s="16" t="s">
        <v>60</v>
      </c>
      <c r="F13" s="60" t="s">
        <v>65</v>
      </c>
      <c r="G13" s="60"/>
      <c r="H13" s="61"/>
      <c r="I13" s="17" t="s">
        <v>61</v>
      </c>
      <c r="J13" s="60" t="s">
        <v>119</v>
      </c>
      <c r="K13" s="60"/>
      <c r="L13" s="61"/>
    </row>
    <row r="14" spans="1:14" ht="20.100000000000001" customHeight="1" x14ac:dyDescent="0.3">
      <c r="A14" s="13" t="s">
        <v>58</v>
      </c>
      <c r="B14" s="121" t="s">
        <v>165</v>
      </c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100000000000001" customHeight="1" x14ac:dyDescent="0.25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100000000000001" customHeight="1" x14ac:dyDescent="0.25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10</v>
      </c>
      <c r="G16" s="70"/>
      <c r="H16" s="71"/>
      <c r="I16" s="12" t="s">
        <v>74</v>
      </c>
      <c r="J16" s="60"/>
      <c r="K16" s="60"/>
      <c r="L16" s="61"/>
    </row>
    <row r="17" spans="1:12" ht="20.100000000000001" customHeight="1" x14ac:dyDescent="0.25">
      <c r="A17" s="62" t="s">
        <v>148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100000000000001" customHeight="1" x14ac:dyDescent="0.25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100000000000001" customHeight="1" x14ac:dyDescent="0.25">
      <c r="A19" s="58" t="s">
        <v>5</v>
      </c>
      <c r="B19" s="58"/>
      <c r="C19" s="72" t="s">
        <v>115</v>
      </c>
      <c r="D19" s="73"/>
      <c r="E19" s="117"/>
      <c r="F19" s="118"/>
      <c r="G19" s="11" t="s">
        <v>76</v>
      </c>
      <c r="H19" s="35"/>
      <c r="I19" s="65"/>
      <c r="J19" s="66"/>
      <c r="K19" s="65"/>
      <c r="L19" s="66"/>
    </row>
    <row r="20" spans="1:12" ht="20.100000000000001" customHeight="1" x14ac:dyDescent="0.25">
      <c r="A20" s="58" t="s">
        <v>6</v>
      </c>
      <c r="B20" s="58"/>
      <c r="C20" s="72" t="s">
        <v>114</v>
      </c>
      <c r="D20" s="73"/>
      <c r="E20" s="117"/>
      <c r="F20" s="118"/>
      <c r="G20" s="11" t="s">
        <v>77</v>
      </c>
      <c r="H20" s="35"/>
      <c r="I20" s="65"/>
      <c r="J20" s="66"/>
      <c r="K20" s="65"/>
      <c r="L20" s="66"/>
    </row>
    <row r="21" spans="1:12" ht="20.100000000000001" customHeight="1" x14ac:dyDescent="0.25">
      <c r="A21" s="58" t="s">
        <v>7</v>
      </c>
      <c r="B21" s="58"/>
      <c r="C21" s="72" t="s">
        <v>113</v>
      </c>
      <c r="D21" s="73"/>
      <c r="E21" s="117"/>
      <c r="F21" s="118"/>
      <c r="G21" s="11" t="s">
        <v>78</v>
      </c>
      <c r="H21" s="35"/>
      <c r="I21" s="65"/>
      <c r="J21" s="66"/>
      <c r="K21" s="65"/>
      <c r="L21" s="66"/>
    </row>
    <row r="22" spans="1:12" ht="20.100000000000001" customHeight="1" x14ac:dyDescent="0.25">
      <c r="A22" s="58" t="s">
        <v>8</v>
      </c>
      <c r="B22" s="58"/>
      <c r="C22" s="72" t="s">
        <v>112</v>
      </c>
      <c r="D22" s="73"/>
      <c r="E22" s="117"/>
      <c r="F22" s="118"/>
      <c r="G22" s="11" t="s">
        <v>79</v>
      </c>
      <c r="H22" s="35"/>
      <c r="I22" s="65"/>
      <c r="J22" s="66"/>
      <c r="K22" s="65"/>
      <c r="L22" s="66"/>
    </row>
    <row r="23" spans="1:12" ht="20.100000000000001" customHeight="1" x14ac:dyDescent="0.25">
      <c r="A23" s="58" t="s">
        <v>149</v>
      </c>
      <c r="B23" s="58"/>
      <c r="C23" s="72" t="s">
        <v>150</v>
      </c>
      <c r="D23" s="73"/>
      <c r="E23" s="117"/>
      <c r="F23" s="118"/>
      <c r="G23" s="11" t="s">
        <v>80</v>
      </c>
      <c r="H23" s="35"/>
      <c r="I23" s="65"/>
      <c r="J23" s="66"/>
      <c r="K23" s="65"/>
      <c r="L23" s="66"/>
    </row>
    <row r="24" spans="1:12" ht="20.100000000000001" customHeight="1" x14ac:dyDescent="0.25">
      <c r="A24" s="58" t="str">
        <f>(IF(E7="NATURAL","",E7))</f>
        <v/>
      </c>
      <c r="B24" s="58"/>
      <c r="C24" s="13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36"/>
      <c r="E24" s="117"/>
      <c r="F24" s="118"/>
      <c r="G24" s="11" t="s">
        <v>81</v>
      </c>
      <c r="H24" s="35"/>
      <c r="I24" s="65"/>
      <c r="J24" s="66"/>
      <c r="K24" s="65"/>
      <c r="L24" s="66"/>
    </row>
    <row r="25" spans="1:12" ht="20.100000000000001" customHeight="1" x14ac:dyDescent="0.25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73"/>
      <c r="E25" s="117"/>
      <c r="F25" s="118"/>
      <c r="G25" s="11" t="s">
        <v>82</v>
      </c>
      <c r="H25" s="35"/>
      <c r="I25" s="65"/>
      <c r="J25" s="66"/>
      <c r="K25" s="65"/>
      <c r="L25" s="66"/>
    </row>
    <row r="26" spans="1:12" ht="20.100000000000001" customHeight="1" x14ac:dyDescent="0.25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100000000000001" customHeight="1" x14ac:dyDescent="0.25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100000000000001" customHeight="1" x14ac:dyDescent="0.25">
      <c r="A30" s="132" t="s">
        <v>93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123" t="s">
        <v>101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100000000000001" customHeight="1" x14ac:dyDescent="0.2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100000000000001" customHeight="1" x14ac:dyDescent="0.25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100000000000001" customHeight="1" x14ac:dyDescent="0.25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44157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44147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09029D2-AE26-47C0-AD08-53E0CED50C7F}"/>
</file>

<file path=customXml/itemProps2.xml><?xml version="1.0" encoding="utf-8"?>
<ds:datastoreItem xmlns:ds="http://schemas.openxmlformats.org/officeDocument/2006/customXml" ds:itemID="{55F086AC-46BF-4C5D-AA65-E4EAE2AC2968}"/>
</file>

<file path=customXml/itemProps3.xml><?xml version="1.0" encoding="utf-8"?>
<ds:datastoreItem xmlns:ds="http://schemas.openxmlformats.org/officeDocument/2006/customXml" ds:itemID="{79F394D3-604E-47E8-AFE1-40DB95F0E2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2020-10-22T01:31:52Z</cp:lastPrinted>
  <dcterms:created xsi:type="dcterms:W3CDTF">2019-11-27T23:28:06Z</dcterms:created>
  <dcterms:modified xsi:type="dcterms:W3CDTF">2020-10-22T01:31:58Z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