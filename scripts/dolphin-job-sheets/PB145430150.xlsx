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EFB3AEE6-CB3B-43A7-AC1A-5C85C474626F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<sst xmlns="http://schemas.openxmlformats.org/spreadsheetml/2006/main" count="306" uniqueCount="202">
  <si>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</si>
  <si>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</si>
  <si>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</si>
  <si>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</si>
  <si>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</si>
  <si>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</si>
  <si>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</si>
  <si>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</si>
  <si>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</si>
  <si>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</si>
  <si>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</si>
  <si>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</si>
  <si>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</si>
  <si>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</si>
  <si>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</si>
  <si>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</si>
  <si>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</si>
  <si>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</si>
  <si>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</si>
  <si>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</si>
  <si>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</si>
  <si>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</si>
  <si>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</si>
  <si>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</si>
  <si>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</si>
  <si>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</si>
  <si>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</si>
  <si>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</si>
  <si>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</si>
  <si>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</si>
  <si>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</si>
  <si>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</si>
  <si>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</si>
  <si>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</si>
  <si>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</si>
  <si>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</si>
  <si>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</si>
  <si>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</si>
  <si>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</si>
  <si>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</si>
  <si>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</si>
  <si>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</si>
  <si>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</si>
  <si>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</si>
  <si>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</si>
  <si>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</si>
  <si>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</si>
  <si>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</si>
  <si>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</si>
  <si>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</si>
  <si>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</si>
  <si>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</si>
  <si>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</si>
  <si>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</si>
  <si>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</si>
  <si>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</si>
  <si>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</si>
  <si>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</si>
  <si>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</si>
  <si>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</si>
  <si>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</si>
  <si>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</si>
  <si>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</si>
  <si>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</si>
  <si>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</si>
  <si>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</si>
  <si>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</si>
  <si>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</si>
  <si>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</si>
  <si>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</si>
  <si>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</si>
  <si>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</si>
  <si>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</si>
  <si>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</si>
  <si>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</si>
  <si>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</si>
  <si>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</si>
  <si>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</si>
  <si>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</si>
  <si>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</si>
  <si>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</si>
  <si>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</si>
  <si>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</si>
  <si>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</si>
  <si>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</si>
  <si>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</si>
  <si>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</si>
  <si>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</si>
  <si>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</si>
  <si>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</si>
  <si>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</si>
  <si>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</si>
  <si>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</si>
  <si>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</si>
  <si>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</si>
  <si>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</si>
  <si>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</si>
  <si>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</si>
  <si>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</si>
  <si>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</si>
  <si>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</si>
  <si>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</si>
  <si>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</si>
  <si>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</si>
  <si>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</si>
  <si>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</si>
  <si>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</si>
  <si>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</si>
  <si>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</si>
  <si>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</si>
  <si>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</si>
  <si>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</si>
  <si>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</si>
  <si>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</si>
  <si>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</si>
  <si>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</si>
  <si>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</si>
  <si>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</si>
  <si>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</si>
  <si>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</si>
  <si>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</si>
  <si>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</si>
  <si>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</si>
  <si>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</si>
  <si>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</si>
  <si>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</si>
  <si>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</si>
  <si>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</si>
  <si>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</si>
  <si>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</si>
  <si>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</si>
  <si>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</si>
  <si>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</si>
  <si>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</si>
  <si>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</si>
  <si>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</si>
  <si>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</si>
  <si>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</si>
  <si>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</si>
  <si>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</si>
  <si>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</si>
  <si>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</si>
  <si>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</si>
  <si>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</si>
  <si>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</si>
  <si>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</si>
  <si>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</si>
  <si>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</si>
  <si>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</si>
  <si>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</si>
  <si>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</si>
  <si>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</si>
  <si>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</si>
  <si>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</si>
  <si>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</si>
  <si>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</si>
  <si>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</si>
  <si>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</si>
  <si>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</si>
  <si>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</si>
  <si>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</si>
  <si>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</si>
  <si>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</si>
  <si>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</si>
  <si>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</si>
  <si>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</si>
  <si>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</si>
  <si>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</si>
  <si>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</si>
  <si>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</si>
  <si>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</si>
  <si>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</si>
  <si>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</si>
  <si>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</si>
  <si>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</si>
  <si>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</si>
  <si>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</si>
  <si>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</si>
  <si>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</si>
  <si>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</si>
  <si>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</si>
  <si>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</si>
  <si>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</si>
  <si>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</si>
  <si>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</si>
  <si>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</si>
  <si>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</si>
  <si>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</si>
  <si>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</si>
  <si>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</si>
  <si>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</si>
  <si>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</si>
  <si>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</si>
  <si>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</si>
  <si>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+/- 3mm</t>
  </si>
  <si>
    <t>NOT OVER</t>
  </si>
  <si>
    <t>GEL PACK</t>
  </si>
  <si>
    <t xml:space="preserve">FILM NUST NOT BE SPLITTY - MUST HAVE WATERPROOF SEALS - GEL PACKS </t>
  </si>
  <si>
    <t>LIMAX</t>
  </si>
  <si>
    <t>ANTIBLOCK</t>
  </si>
  <si>
    <t>#2</t>
  </si>
  <si>
    <t>PRIME FISH AUST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</si>
</sst>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0" t="s">
        <v>56</v>
      </c>
      <c r="B1" s="108" t="str">
        <f>O9&amp;R9&amp;IF(X8="G","G","")&amp;IF(O8="Centrefold Roll","("&amp;E8&amp;")","")&amp;T9&amp;V9&amp;C22&amp;C23&amp;C24&amp;O11&amp;R11</f>
        <v>PB1454301500</v>
      </c>
      <c r="C1" s="108"/>
      <c r="D1" s="109"/>
      <c r="E1" s="10" t="s">
        <v>57</v>
      </c>
      <c r="F1" s="62" t="s">
        <v>201</v>
      </c>
      <c r="G1" s="62"/>
      <c r="H1" s="63"/>
      <c r="I1" s="11" t="s">
        <v>181</v>
      </c>
      <c r="J1" s="119">
        <f ca="1">TODAY()</f>
        <v>45938</v>
      </c>
      <c r="K1" s="119"/>
      <c r="L1" s="120"/>
      <c r="M1" s="28"/>
      <c r="N1" s="10" t="s">
        <v>56</v>
      </c>
      <c r="O1" s="108" t="str">
        <f>B1</f>
        <v>PB1454301500</v>
      </c>
      <c r="P1" s="108"/>
      <c r="Q1" s="109"/>
      <c r="R1" s="10" t="s">
        <v>57</v>
      </c>
      <c r="S1" s="108" t="str">
        <f>F1</f>
        <v>PRIME FISH AUST</v>
      </c>
      <c r="T1" s="108"/>
      <c r="U1" s="109"/>
      <c r="V1" s="10" t="s">
        <v>181</v>
      </c>
      <c r="W1" s="119">
        <f ca="1">J1</f>
        <v>45938</v>
      </c>
      <c r="X1" s="119"/>
      <c r="Y1" s="120"/>
    </row>
    <row r="2" spans="1:25" ht="20.149999999999999" customHeight="1" x14ac:dyDescent="0.8">
      <c r="A2" s="10" t="s">
        <v>100</v>
      </c>
      <c r="B2" s="108" t="str">
        <f>IF(U10="","",U10)</f>
        <v>GEL PACK</v>
      </c>
      <c r="C2" s="108"/>
      <c r="D2" s="109"/>
      <c r="E2" s="10" t="s">
        <v>58</v>
      </c>
      <c r="F2" s="62">
        <v>950699</v>
      </c>
      <c r="G2" s="62"/>
      <c r="H2" s="63"/>
      <c r="I2" s="10" t="s">
        <v>59</v>
      </c>
      <c r="J2" s="122">
        <v>45953</v>
      </c>
      <c r="K2" s="62"/>
      <c r="L2" s="63"/>
      <c r="M2" s="28"/>
      <c r="N2" s="10" t="s">
        <v>100</v>
      </c>
      <c r="O2" s="108" t="str">
        <f>IF(B2="","",B2)</f>
        <v>GEL PACK</v>
      </c>
      <c r="P2" s="108"/>
      <c r="Q2" s="109"/>
      <c r="R2" s="10" t="s">
        <v>58</v>
      </c>
      <c r="S2" s="108">
        <f>IF(F2="","",F2)</f>
        <v>950699</v>
      </c>
      <c r="T2" s="108"/>
      <c r="U2" s="109"/>
      <c r="V2" s="10" t="s">
        <v>59</v>
      </c>
      <c r="W2" s="121">
        <f>J2</f>
        <v>45953</v>
      </c>
      <c r="X2" s="108"/>
      <c r="Y2" s="109"/>
    </row>
    <row r="3" spans="1:25" ht="20.149999999999999" customHeight="1" x14ac:dyDescent="0.75">
      <c r="A3" s="110" t="s">
        <v>197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8"/>
      <c r="N3" s="110" t="str">
        <f>A3</f>
        <v xml:space="preserve">FILM NUST NOT BE SPLITTY - MUST HAVE WATERPROOF SEALS - GEL PACKS 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8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8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8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0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8"/>
      <c r="N7" s="10" t="str">
        <f>IF(ISNUMBER(SEARCH("roll",O8,1)),"No. Rolls","No. Cartons")</f>
        <v>No. Cartons</v>
      </c>
      <c r="O7" s="62">
        <v>8</v>
      </c>
      <c r="P7" s="63"/>
      <c r="Q7" s="10" t="str">
        <f>IF(ISNUMBER(SEARCH("roll",O8,1)),"Per Roll","Per Carton")</f>
        <v>Per Carton</v>
      </c>
      <c r="R7" s="62">
        <v>1000</v>
      </c>
      <c r="S7" s="63"/>
      <c r="T7" s="10" t="str">
        <f>IF(ISNUMBER(SEARCH("bag",O8,1)),"Total Bags","Total Sheets")</f>
        <v>Total Bags</v>
      </c>
      <c r="U7" s="108">
        <f>R7*O7</f>
        <v>8000</v>
      </c>
      <c r="V7" s="109"/>
      <c r="W7" s="10" t="s">
        <v>102</v>
      </c>
      <c r="X7" s="62" t="s">
        <v>23</v>
      </c>
      <c r="Y7" s="63"/>
    </row>
    <row r="8" spans="1:25" ht="20.149999999999999" customHeight="1" x14ac:dyDescent="0.8">
      <c r="A8" s="12" t="s">
        <v>16</v>
      </c>
      <c r="B8" s="96">
        <f>R9</f>
        <v>145</v>
      </c>
      <c r="C8" s="97"/>
      <c r="D8" s="26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2" t="s">
        <v>52</v>
      </c>
      <c r="H8" s="96">
        <f>(IF(V9&lt;30,"30",V9))</f>
        <v>150</v>
      </c>
      <c r="I8" s="97"/>
      <c r="J8" s="10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8"/>
      <c r="N8" s="13" t="s">
        <v>54</v>
      </c>
      <c r="O8" s="98" t="s">
        <v>164</v>
      </c>
      <c r="P8" s="99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5" t="s">
        <v>48</v>
      </c>
      <c r="B9" s="125" t="s">
        <v>194</v>
      </c>
      <c r="C9" s="126"/>
      <c r="D9" s="133" t="str">
        <f>IF(K10="Middle","RUN 2 UP",IF(AND(O8="Centrefold Roll",B8=380),"RUN 2 UP",""))</f>
        <v/>
      </c>
      <c r="E9" s="100"/>
      <c r="F9" s="101"/>
      <c r="G9" s="15" t="s">
        <v>48</v>
      </c>
      <c r="H9" s="125" t="s">
        <v>195</v>
      </c>
      <c r="I9" s="126"/>
      <c r="J9" s="10" t="s">
        <v>55</v>
      </c>
      <c r="K9" s="62" t="s">
        <v>30</v>
      </c>
      <c r="L9" s="63"/>
      <c r="M9" s="28"/>
      <c r="N9" s="16"/>
      <c r="O9" s="102" t="str">
        <f>IF(O8="Poly Bag","PB",IF(O8="Poly Bag Roll","PBR",IF(O8="Centrefold Roll","CFR",IF(O8="Sheet","S",IF(O8="Sheet Roll","SR")))))</f>
        <v>PB</v>
      </c>
      <c r="P9" s="103"/>
      <c r="Q9" s="16"/>
      <c r="R9" s="29">
        <v>145</v>
      </c>
      <c r="S9" s="17" t="s">
        <v>78</v>
      </c>
      <c r="T9" s="29">
        <v>430</v>
      </c>
      <c r="U9" s="17" t="s">
        <v>78</v>
      </c>
      <c r="V9" s="29">
        <v>150</v>
      </c>
      <c r="W9" s="16"/>
      <c r="X9" s="88"/>
      <c r="Y9" s="89"/>
    </row>
    <row r="10" spans="1:25" ht="20.149999999999999" customHeight="1" x14ac:dyDescent="0.8">
      <c r="A10" s="10" t="s">
        <v>51</v>
      </c>
      <c r="B10" s="62">
        <v>12</v>
      </c>
      <c r="C10" s="63"/>
      <c r="D10" s="46" t="s">
        <v>134</v>
      </c>
      <c r="E10" s="127">
        <f>IF(ISNUMBER(SEARCH("sheet",O8,1)),((R9*T9*H8/540000)*U7/2000*1.3),((R9*T9*H8/540000)*U7/1000*1.08))</f>
        <v>149.63999999999999</v>
      </c>
      <c r="F10" s="128"/>
      <c r="G10" s="10" t="s">
        <v>53</v>
      </c>
      <c r="H10" s="131">
        <f>IF(ISNUMBER(SEARCH("sheet",O8,1)),(U7*T9/2000*1.08),(U7*T9/1000*1.08))</f>
        <v>3715.2000000000003</v>
      </c>
      <c r="I10" s="132"/>
      <c r="J10" s="10" t="s">
        <v>41</v>
      </c>
      <c r="K10" s="62" t="s">
        <v>44</v>
      </c>
      <c r="L10" s="63"/>
      <c r="M10" s="28"/>
      <c r="N10" s="13" t="s">
        <v>141</v>
      </c>
      <c r="O10" s="98" t="s">
        <v>44</v>
      </c>
      <c r="P10" s="99"/>
      <c r="Q10" s="13" t="s">
        <v>50</v>
      </c>
      <c r="R10" s="94" t="str">
        <f>IF(K11="NONE","None",IF(K11="INLINE","Yes",IF(K11="OUT OF LINE","Yes")))</f>
        <v>None</v>
      </c>
      <c r="S10" s="94"/>
      <c r="T10" s="13" t="s">
        <v>100</v>
      </c>
      <c r="U10" s="104" t="s">
        <v>196</v>
      </c>
      <c r="V10" s="104"/>
      <c r="W10" s="104"/>
      <c r="X10" s="104"/>
      <c r="Y10" s="105"/>
    </row>
    <row r="11" spans="1:25" ht="20.149999999999999" customHeight="1" x14ac:dyDescent="0.8">
      <c r="A11" s="10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0" t="s">
        <v>135</v>
      </c>
      <c r="E11" s="129">
        <f>E10/B10</f>
        <v>12.469999999999999</v>
      </c>
      <c r="F11" s="130"/>
      <c r="G11" s="10" t="s">
        <v>15</v>
      </c>
      <c r="H11" s="129">
        <f>H10/B10</f>
        <v>309.60000000000002</v>
      </c>
      <c r="I11" s="130"/>
      <c r="J11" s="10" t="s">
        <v>50</v>
      </c>
      <c r="K11" s="62" t="s">
        <v>44</v>
      </c>
      <c r="L11" s="63"/>
      <c r="M11" s="28"/>
      <c r="N11" s="12"/>
      <c r="O11" s="96" t="str">
        <f>IF(O10="NONE","","V")</f>
        <v/>
      </c>
      <c r="P11" s="97"/>
      <c r="Q11" s="12"/>
      <c r="R11" s="96" t="str">
        <f>IF(R10="None","","P")</f>
        <v/>
      </c>
      <c r="S11" s="97"/>
      <c r="T11" s="12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8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0" t="s">
        <v>68</v>
      </c>
      <c r="B13" s="62" t="s">
        <v>44</v>
      </c>
      <c r="C13" s="62"/>
      <c r="D13" s="63"/>
      <c r="E13" s="18" t="s">
        <v>61</v>
      </c>
      <c r="F13" s="62" t="s">
        <v>44</v>
      </c>
      <c r="G13" s="62"/>
      <c r="H13" s="63"/>
      <c r="I13" s="10" t="s">
        <v>62</v>
      </c>
      <c r="J13" s="62" t="s">
        <v>44</v>
      </c>
      <c r="K13" s="62"/>
      <c r="L13" s="63"/>
      <c r="M13" s="28"/>
      <c r="N13" s="10" t="s">
        <v>72</v>
      </c>
      <c r="O13" s="30" t="s">
        <v>77</v>
      </c>
      <c r="P13" s="10" t="s">
        <v>73</v>
      </c>
      <c r="Q13" s="19">
        <f>O7</f>
        <v>8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/>
      </c>
      <c r="X13" s="10" t="s">
        <v>76</v>
      </c>
      <c r="Y13" s="31"/>
    </row>
    <row r="14" spans="1:25" ht="20.149999999999999" customHeight="1" x14ac:dyDescent="0.9">
      <c r="A14" s="12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8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8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8"/>
      <c r="N16" s="10" t="s">
        <v>28</v>
      </c>
      <c r="O16" s="62">
        <v>180</v>
      </c>
      <c r="P16" s="63"/>
      <c r="Q16" s="10" t="s">
        <v>105</v>
      </c>
      <c r="R16" s="62" t="s">
        <v>31</v>
      </c>
      <c r="S16" s="63"/>
      <c r="T16" s="11" t="s">
        <v>103</v>
      </c>
      <c r="U16" s="62" t="s">
        <v>31</v>
      </c>
      <c r="V16" s="63"/>
      <c r="W16" s="10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7" t="s">
        <v>81</v>
      </c>
      <c r="H17" s="31"/>
      <c r="I17" s="59"/>
      <c r="J17" s="60"/>
      <c r="K17" s="59"/>
      <c r="L17" s="60"/>
      <c r="M17" s="28"/>
      <c r="N17" s="10" t="s">
        <v>26</v>
      </c>
      <c r="O17" s="62" t="s">
        <v>171</v>
      </c>
      <c r="P17" s="63"/>
      <c r="Q17" s="10" t="s">
        <v>104</v>
      </c>
      <c r="R17" s="62" t="s">
        <v>31</v>
      </c>
      <c r="S17" s="63"/>
      <c r="T17" s="11" t="str">
        <f>IF(ISNUMBER(SEARCH("roll",O8,1)),"Part Rolls","Part Ctns")</f>
        <v>Part Ctns</v>
      </c>
      <c r="U17" s="62" t="s">
        <v>31</v>
      </c>
      <c r="V17" s="63"/>
      <c r="W17" s="10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7" t="s">
        <v>82</v>
      </c>
      <c r="H18" s="31"/>
      <c r="I18" s="59"/>
      <c r="J18" s="60"/>
      <c r="K18" s="59"/>
      <c r="L18" s="60"/>
      <c r="M18" s="28"/>
      <c r="N18" s="10" t="s">
        <v>101</v>
      </c>
      <c r="O18" s="62" t="s">
        <v>38</v>
      </c>
      <c r="P18" s="63"/>
      <c r="Q18" s="10" t="s">
        <v>106</v>
      </c>
      <c r="R18" s="62" t="s">
        <v>31</v>
      </c>
      <c r="S18" s="63"/>
      <c r="T18" s="20" t="s">
        <v>27</v>
      </c>
      <c r="U18" s="62" t="s">
        <v>36</v>
      </c>
      <c r="V18" s="63"/>
      <c r="W18" s="10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7" t="s">
        <v>83</v>
      </c>
      <c r="H19" s="31"/>
      <c r="I19" s="59"/>
      <c r="J19" s="60"/>
      <c r="K19" s="59"/>
      <c r="L19" s="60"/>
      <c r="M19" s="28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7" t="s">
        <v>84</v>
      </c>
      <c r="H20" s="31"/>
      <c r="I20" s="59"/>
      <c r="J20" s="60"/>
      <c r="K20" s="59"/>
      <c r="L20" s="60"/>
      <c r="M20" s="28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7" t="s">
        <v>85</v>
      </c>
      <c r="H21" s="31"/>
      <c r="I21" s="59"/>
      <c r="J21" s="60"/>
      <c r="K21" s="59"/>
      <c r="L21" s="60"/>
      <c r="M21" s="28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7" t="s">
        <v>86</v>
      </c>
      <c r="H22" s="31"/>
      <c r="I22" s="59"/>
      <c r="J22" s="60"/>
      <c r="K22" s="59"/>
      <c r="L22" s="60"/>
      <c r="M22" s="28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38" t="s">
        <v>199</v>
      </c>
      <c r="B23" s="138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59"/>
      <c r="F23" s="60"/>
      <c r="G23" s="47" t="s">
        <v>87</v>
      </c>
      <c r="H23" s="31"/>
      <c r="I23" s="59"/>
      <c r="J23" s="60"/>
      <c r="K23" s="59"/>
      <c r="L23" s="60"/>
      <c r="M23" s="28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39"/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7" t="s">
        <v>88</v>
      </c>
      <c r="H24" s="31"/>
      <c r="I24" s="59"/>
      <c r="J24" s="60"/>
      <c r="K24" s="59"/>
      <c r="L24" s="60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8"/>
      <c r="N25" s="21" t="s">
        <v>96</v>
      </c>
      <c r="O25" s="9" t="s">
        <v>198</v>
      </c>
      <c r="P25" s="33"/>
      <c r="Q25" s="9">
        <v>18</v>
      </c>
      <c r="R25" s="9"/>
      <c r="S25" s="9"/>
      <c r="T25" s="9"/>
      <c r="U25" s="9"/>
      <c r="V25" s="9"/>
      <c r="W25" s="9">
        <v>18</v>
      </c>
      <c r="X25" s="9">
        <v>14</v>
      </c>
      <c r="Y25" s="9"/>
    </row>
    <row r="26" spans="1:25" ht="20.149999999999999" customHeight="1" x14ac:dyDescent="0.7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1" t="s">
        <v>132</v>
      </c>
      <c r="H26" s="91"/>
      <c r="I26" s="91" t="s">
        <v>131</v>
      </c>
      <c r="J26" s="91"/>
      <c r="K26" s="23" t="s">
        <v>94</v>
      </c>
      <c r="L26" s="23" t="s">
        <v>95</v>
      </c>
      <c r="M26" s="28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1" t="s">
        <v>96</v>
      </c>
      <c r="B27" s="7" t="s">
        <v>200</v>
      </c>
      <c r="C27" s="7"/>
      <c r="D27" s="9">
        <v>64</v>
      </c>
      <c r="E27" s="58">
        <v>3.5</v>
      </c>
      <c r="F27" s="7"/>
      <c r="G27" s="90"/>
      <c r="H27" s="90"/>
      <c r="I27" s="90"/>
      <c r="J27" s="90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49999999999999" customHeight="1" x14ac:dyDescent="0.75">
      <c r="A28" s="21" t="s">
        <v>97</v>
      </c>
      <c r="B28" s="7"/>
      <c r="C28" s="7"/>
      <c r="D28" s="7"/>
      <c r="E28" s="8"/>
      <c r="F28" s="7"/>
      <c r="G28" s="90"/>
      <c r="H28" s="90"/>
      <c r="I28" s="90"/>
      <c r="J28" s="90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49999999999999" customHeight="1" x14ac:dyDescent="0.7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49999999999999" customHeight="1" x14ac:dyDescent="0.7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49999999999999" customHeight="1" x14ac:dyDescent="0.7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49999999999999" customHeight="1" x14ac:dyDescent="0.7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49999999999999" customHeight="1" x14ac:dyDescent="0.7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49999999999999" customHeight="1" x14ac:dyDescent="0.7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49999999999999" customHeight="1" x14ac:dyDescent="0.7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49999999999999" customHeight="1" x14ac:dyDescent="0.7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49999999999999" customHeight="1" x14ac:dyDescent="0.7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49999999999999" customHeight="1" x14ac:dyDescent="0.7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49999999999999" customHeight="1" x14ac:dyDescent="0.75">
      <c r="N43" s="50"/>
    </row>
    <row r="44" spans="1:25" ht="20.149999999999999" customHeight="1" x14ac:dyDescent="0.7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49999999999999" customHeight="1" x14ac:dyDescent="0.7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49999999999999" customHeight="1" x14ac:dyDescent="0.7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49999999999999" customHeight="1" x14ac:dyDescent="0.7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49999999999999" customHeight="1" x14ac:dyDescent="0.7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49999999999999" customHeight="1" x14ac:dyDescent="0.7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49999999999999" customHeight="1" x14ac:dyDescent="0.7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49999999999999" customHeight="1" x14ac:dyDescent="0.7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49999999999999" customHeight="1" x14ac:dyDescent="0.7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49999999999999" customHeight="1" x14ac:dyDescent="0.7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49999999999999" customHeight="1" x14ac:dyDescent="0.7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49999999999999" customHeight="1" x14ac:dyDescent="0.7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49999999999999" customHeight="1" x14ac:dyDescent="0.7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49999999999999" customHeight="1" x14ac:dyDescent="0.7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49999999999999" customHeight="1" x14ac:dyDescent="0.7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49999999999999" customHeight="1" x14ac:dyDescent="0.7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49999999999999" customHeight="1" x14ac:dyDescent="0.7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49999999999999" customHeight="1" x14ac:dyDescent="0.7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49999999999999" customHeight="1" x14ac:dyDescent="0.7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49999999999999" customHeight="1" x14ac:dyDescent="0.7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49999999999999" customHeight="1" x14ac:dyDescent="0.7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49999999999999" customHeight="1" x14ac:dyDescent="0.7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49999999999999" customHeight="1" x14ac:dyDescent="0.7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49999999999999" customHeight="1" x14ac:dyDescent="0.7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49999999999999" customHeight="1" x14ac:dyDescent="0.7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49999999999999" customHeight="1" x14ac:dyDescent="0.7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49999999999999" customHeight="1" x14ac:dyDescent="0.7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49999999999999" customHeight="1" x14ac:dyDescent="0.7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49999999999999" customHeight="1" x14ac:dyDescent="0.7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49999999999999" customHeight="1" x14ac:dyDescent="0.7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49999999999999" customHeight="1" x14ac:dyDescent="0.7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49999999999999" customHeight="1" x14ac:dyDescent="0.7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49999999999999" customHeight="1" x14ac:dyDescent="0.7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49999999999999" customHeight="1" x14ac:dyDescent="0.7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49999999999999" customHeight="1" x14ac:dyDescent="0.7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49999999999999" customHeight="1" x14ac:dyDescent="0.7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49999999999999" customHeight="1" x14ac:dyDescent="0.7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49999999999999" customHeight="1" x14ac:dyDescent="0.7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49999999999999" customHeight="1" x14ac:dyDescent="0.7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49999999999999" customHeight="1" x14ac:dyDescent="0.7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49999999999999" customHeight="1" x14ac:dyDescent="0.7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49999999999999" customHeight="1" x14ac:dyDescent="0.7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5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7">
        <f ca="1">DATE(YEAR(Sheet1!J1),MONTH(Sheet1!J1)+1,DAY(Sheet1!J1))</f>
        <v>45969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7">
        <f ca="1">DATE(YEAR(Sheet1!J1),MONTH(Sheet1!J1),DAY(Sheet1!J1)+21)</f>
        <v>45959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7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7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7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7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7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7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7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7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7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7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7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7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7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7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7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7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7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7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7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7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7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7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7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7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7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7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7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7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7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7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7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7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7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7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7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75">
      <c r="A59" s="54" t="s">
        <v>148</v>
      </c>
    </row>
    <row r="60" spans="1:20" x14ac:dyDescent="0.75">
      <c r="A60" s="54" t="s">
        <v>149</v>
      </c>
      <c r="O60" s="1"/>
      <c r="Q60" s="1"/>
      <c r="R60" s="3"/>
      <c r="S60" s="1"/>
    </row>
    <row r="61" spans="1:20" x14ac:dyDescent="0.75">
      <c r="A61" s="54" t="s">
        <v>150</v>
      </c>
      <c r="O61" s="1"/>
      <c r="Q61" s="1"/>
      <c r="R61" s="1"/>
      <c r="S61" s="1"/>
    </row>
    <row r="62" spans="1:20" x14ac:dyDescent="0.75">
      <c r="A62" s="54" t="s">
        <v>151</v>
      </c>
      <c r="O62" s="1"/>
      <c r="Q62" s="1"/>
      <c r="R62" s="1"/>
      <c r="S62" s="1"/>
    </row>
    <row r="63" spans="1:20" x14ac:dyDescent="0.75">
      <c r="A63" s="54" t="s">
        <v>152</v>
      </c>
      <c r="O63" s="1"/>
      <c r="Q63" s="1"/>
      <c r="R63" s="1"/>
      <c r="S63" s="1"/>
      <c r="T63" s="1"/>
    </row>
    <row r="64" spans="1:20" x14ac:dyDescent="0.75">
      <c r="A64" s="54" t="s">
        <v>153</v>
      </c>
      <c r="O64" s="1"/>
      <c r="Q64" s="1"/>
      <c r="R64" s="1"/>
      <c r="S64" s="1"/>
      <c r="T64" s="1"/>
    </row>
    <row r="65" spans="1:20" x14ac:dyDescent="0.7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467009C-A1AE-483A-AB46-07D4F9B3F24D}"/>
</file>

<file path=customXml/itemProps2.xml><?xml version="1.0" encoding="utf-8"?>
<ds:datastoreItem xmlns:ds="http://schemas.openxmlformats.org/officeDocument/2006/customXml" ds:itemID="{B6536868-269B-442C-BADE-04815B0DB7F4}"/>
</file>

<file path=customXml/itemProps3.xml><?xml version="1.0" encoding="utf-8"?>
<ds:datastoreItem xmlns:ds="http://schemas.openxmlformats.org/officeDocument/2006/customXml" ds:itemID="{FF0BFA10-A2E0-48FB-B8EF-63B20B086C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2025-10-02T04:23:03Z</cp:lastPrinted>
  <dcterms:created xsi:type="dcterms:W3CDTF">2019-11-27T23:28:06Z</dcterms:created>
  <dcterms:modified xsi:type="dcterms:W3CDTF">2025-10-09T00:32:59Z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