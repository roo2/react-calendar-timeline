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6573CA-C891-4610-908C-1F1A48CBEB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<sst xmlns="http://schemas.openxmlformats.org/spreadsheetml/2006/main" count="306" uniqueCount="201">
  <si>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</si>
  <si>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</si>
  <si>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</si>
  <si>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</si>
  <si>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</si>
  <si>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</si>
  <si>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</si>
  <si>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</si>
  <si>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</si>
  <si>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</si>
  <si>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</si>
  <si>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</si>
  <si>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</si>
  <si>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</si>
  <si>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</si>
  <si>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</si>
  <si>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</si>
  <si>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</si>
  <si>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</si>
  <si>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</si>
  <si>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</si>
  <si>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</si>
  <si>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</si>
  <si>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</si>
  <si>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</si>
  <si>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</si>
  <si>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</si>
  <si>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</si>
  <si>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</si>
  <si>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</si>
  <si>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</si>
  <si>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</si>
  <si>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</si>
  <si>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</si>
  <si>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</si>
  <si>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</si>
  <si>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</si>
  <si>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</si>
  <si>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</si>
  <si>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</si>
  <si>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</si>
  <si>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</si>
  <si>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</si>
  <si>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</si>
  <si>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</si>
  <si>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</si>
  <si>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</si>
  <si>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</si>
  <si>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</si>
  <si>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</si>
  <si>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</si>
  <si>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</si>
  <si>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</si>
  <si>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</si>
  <si>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</si>
  <si>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</si>
  <si>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</si>
  <si>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</si>
  <si>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</si>
  <si>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</si>
  <si>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</si>
  <si>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</si>
  <si>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</si>
  <si>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</si>
  <si>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</si>
  <si>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</si>
  <si>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</si>
  <si>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</si>
  <si>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</si>
  <si>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</si>
  <si>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</si>
  <si>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</si>
  <si>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</si>
  <si>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</si>
  <si>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</si>
  <si>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</si>
  <si>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</si>
  <si>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</si>
  <si>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</si>
  <si>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</si>
  <si>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</si>
  <si>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</si>
  <si>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</si>
  <si>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</si>
  <si>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</si>
  <si>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</si>
  <si>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</si>
  <si>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</si>
  <si>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</si>
  <si>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</si>
  <si>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</si>
  <si>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</si>
  <si>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</si>
  <si>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</si>
  <si>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</si>
  <si>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</si>
  <si>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</si>
  <si>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</si>
  <si>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</si>
  <si>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</si>
  <si>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</si>
  <si>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</si>
  <si>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</si>
  <si>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</si>
  <si>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</si>
  <si>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</si>
  <si>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</si>
  <si>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</si>
  <si>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</si>
  <si>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</si>
  <si>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</si>
  <si>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</si>
  <si>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</si>
  <si>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</si>
  <si>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</si>
  <si>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</si>
  <si>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</si>
  <si>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</si>
  <si>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</si>
  <si>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</si>
  <si>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</si>
  <si>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</si>
  <si>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</si>
  <si>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</si>
  <si>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</si>
  <si>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</si>
  <si>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</si>
  <si>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</si>
  <si>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</si>
  <si>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</si>
  <si>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</si>
  <si>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</si>
  <si>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</si>
  <si>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</si>
  <si>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</si>
  <si>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</si>
  <si>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</si>
  <si>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</si>
  <si>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</si>
  <si>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</si>
  <si>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</si>
  <si>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</si>
  <si>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</si>
  <si>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</si>
  <si>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</si>
  <si>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</si>
  <si>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</si>
  <si>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</si>
  <si>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</si>
  <si>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</si>
  <si>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</si>
  <si>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</si>
  <si>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</si>
  <si>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</si>
  <si>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</si>
  <si>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</si>
  <si>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</si>
  <si>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</si>
  <si>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</si>
  <si>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</si>
  <si>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</si>
  <si>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</si>
  <si>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</si>
  <si>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</si>
  <si>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</si>
  <si>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</si>
  <si>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</si>
  <si>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</si>
  <si>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</si>
  <si>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</si>
  <si>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</si>
  <si>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</si>
  <si>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</si>
  <si>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</si>
  <si>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</si>
  <si>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</si>
  <si>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</si>
  <si>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</si>
  <si>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</si>
  <si>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</si>
  <si>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</si>
  <si>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</si>
  <si>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</si>
  <si>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</si>
  <si>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</si>
  <si>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</si>
  <si>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</si>
  <si>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</si>
  <si>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</si>
  <si>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</si>
  <si>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</si>
  <si>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</si>
  <si>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</si>
  <si>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</si>
  <si>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</si>
  <si>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>RUN AT 45 - 50UM</t>
  </si>
  <si>
    <t xml:space="preserve"> +/- 10mm</t>
  </si>
  <si>
    <t>(385+385)</t>
  </si>
  <si>
    <t xml:space="preserve">LIMAX </t>
  </si>
  <si>
    <t>APACK</t>
  </si>
  <si>
    <t>75LT APACK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</si>
</sst>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14D9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8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8" borderId="2" xfId="0" applyFont="1" applyFill="1" applyBorder="1" applyAlignment="1" applyProtection="1">
      <alignment horizontal="center"/>
      <protection locked="0"/>
    </xf>
    <xf numFmtId="0" fontId="10" fillId="8" borderId="5" xfId="0" applyFont="1" applyFill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14D9F"/>
      <color rgb="FFFF99CC"/>
      <color rgb="FFE8407C"/>
      <color rgb="FFE04882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I21" sqref="I21:J2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PB770G95050YP</v>
      </c>
      <c r="C1" s="123"/>
      <c r="D1" s="124"/>
      <c r="E1" s="12" t="s">
        <v>57</v>
      </c>
      <c r="F1" s="136" t="s">
        <v>199</v>
      </c>
      <c r="G1" s="136"/>
      <c r="H1" s="137"/>
      <c r="I1" s="13" t="s">
        <v>181</v>
      </c>
      <c r="J1" s="138">
        <f ca="1">TODAY()</f>
        <v>44594</v>
      </c>
      <c r="K1" s="138"/>
      <c r="L1" s="139"/>
      <c r="M1" s="34"/>
      <c r="N1" s="12" t="s">
        <v>56</v>
      </c>
      <c r="O1" s="123" t="str">
        <f>B1</f>
        <v>PB770G95050YP</v>
      </c>
      <c r="P1" s="123"/>
      <c r="Q1" s="124"/>
      <c r="R1" s="12" t="s">
        <v>57</v>
      </c>
      <c r="S1" s="123" t="str">
        <f>F1</f>
        <v>APACK</v>
      </c>
      <c r="T1" s="123"/>
      <c r="U1" s="124"/>
      <c r="V1" s="12" t="s">
        <v>181</v>
      </c>
      <c r="W1" s="138">
        <f ca="1">J1</f>
        <v>44594</v>
      </c>
      <c r="X1" s="138"/>
      <c r="Y1" s="139"/>
    </row>
    <row r="2" spans="1:28" ht="20.100000000000001" customHeight="1" x14ac:dyDescent="0.25">
      <c r="A2" s="12" t="s">
        <v>100</v>
      </c>
      <c r="B2" s="123" t="str">
        <f>IF(U10="","",U10)</f>
        <v>75LT APACK</v>
      </c>
      <c r="C2" s="123"/>
      <c r="D2" s="124"/>
      <c r="E2" s="12" t="s">
        <v>58</v>
      </c>
      <c r="F2" s="73">
        <v>942015</v>
      </c>
      <c r="G2" s="73"/>
      <c r="H2" s="74"/>
      <c r="I2" s="12" t="s">
        <v>59</v>
      </c>
      <c r="J2" s="141" t="s">
        <v>192</v>
      </c>
      <c r="K2" s="73"/>
      <c r="L2" s="74"/>
      <c r="M2" s="34"/>
      <c r="N2" s="12" t="s">
        <v>100</v>
      </c>
      <c r="O2" s="123" t="str">
        <f>IF(B2="","",B2)</f>
        <v>75LT APACK</v>
      </c>
      <c r="P2" s="123"/>
      <c r="Q2" s="124"/>
      <c r="R2" s="12" t="s">
        <v>58</v>
      </c>
      <c r="S2" s="123">
        <f>IF(F2="","",F2)</f>
        <v>942015</v>
      </c>
      <c r="T2" s="123"/>
      <c r="U2" s="124"/>
      <c r="V2" s="12" t="s">
        <v>59</v>
      </c>
      <c r="W2" s="140" t="str">
        <f>J2</f>
        <v>ASAP</v>
      </c>
      <c r="X2" s="123"/>
      <c r="Y2" s="124"/>
    </row>
    <row r="3" spans="1:28" ht="20.100000000000001" customHeight="1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3" t="s">
        <v>2</v>
      </c>
      <c r="B6" s="144"/>
      <c r="C6" s="144"/>
      <c r="D6" s="144"/>
      <c r="E6" s="144"/>
      <c r="F6" s="144"/>
      <c r="G6" s="144"/>
      <c r="H6" s="144"/>
      <c r="I6" s="144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148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40</v>
      </c>
      <c r="P7" s="74"/>
      <c r="Q7" s="12" t="str">
        <f>IF(ISNUMBER(SEARCH("roll",O8,1)),"Per Roll","Per Carton")</f>
        <v>Per Carton</v>
      </c>
      <c r="R7" s="134">
        <v>100</v>
      </c>
      <c r="S7" s="135"/>
      <c r="T7" s="12" t="str">
        <f>IF(ISNUMBER(SEARCH("bag",O8,1)),"Total Bags","Total Sheets")</f>
        <v>Total Bags</v>
      </c>
      <c r="U7" s="123">
        <f>R7*O7</f>
        <v>4000</v>
      </c>
      <c r="V7" s="124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770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(385+385)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8" ht="20.100000000000001" customHeight="1" x14ac:dyDescent="0.3">
      <c r="A9" s="18" t="s">
        <v>48</v>
      </c>
      <c r="B9" s="145" t="s">
        <v>196</v>
      </c>
      <c r="C9" s="146"/>
      <c r="D9" s="153" t="str">
        <f>IF(K10="Middle","RUN 2 UP",IF(AND(O8="Centrefold Roll",B8=380),"RUN 2 UP",""))</f>
        <v/>
      </c>
      <c r="E9" s="115"/>
      <c r="F9" s="116"/>
      <c r="G9" s="18" t="s">
        <v>48</v>
      </c>
      <c r="H9" s="145" t="s">
        <v>195</v>
      </c>
      <c r="I9" s="146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770</v>
      </c>
      <c r="S9" s="20" t="s">
        <v>78</v>
      </c>
      <c r="T9" s="35">
        <v>950</v>
      </c>
      <c r="U9" s="20" t="s">
        <v>78</v>
      </c>
      <c r="V9" s="35">
        <v>50</v>
      </c>
      <c r="W9" s="19"/>
      <c r="X9" s="99" t="s">
        <v>197</v>
      </c>
      <c r="Y9" s="100"/>
    </row>
    <row r="10" spans="1:28" ht="20.100000000000001" customHeight="1" x14ac:dyDescent="0.25">
      <c r="A10" s="12" t="s">
        <v>51</v>
      </c>
      <c r="B10" s="73">
        <v>8</v>
      </c>
      <c r="C10" s="74"/>
      <c r="D10" s="54" t="s">
        <v>134</v>
      </c>
      <c r="E10" s="147">
        <f>IF(ISNUMBER(SEARCH("sheet",O8,1)),((R9*T9*H8/540000)*U7/2000*1.3),((R9*T9*H8/540000)*U7/1000*1.08))</f>
        <v>292.60000000000002</v>
      </c>
      <c r="F10" s="148"/>
      <c r="G10" s="12" t="s">
        <v>53</v>
      </c>
      <c r="H10" s="151">
        <f>IF(ISNUMBER(SEARCH("sheet",O8,1)),(U7*T9/2000*1.08),(U7*T9/1000*1.08))</f>
        <v>4104</v>
      </c>
      <c r="I10" s="152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 t="s">
        <v>200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9">
        <f>E10/B10</f>
        <v>36.575000000000003</v>
      </c>
      <c r="F11" s="150"/>
      <c r="G11" s="12" t="s">
        <v>15</v>
      </c>
      <c r="H11" s="149">
        <f>H10/B10</f>
        <v>513</v>
      </c>
      <c r="I11" s="150"/>
      <c r="J11" s="12" t="s">
        <v>50</v>
      </c>
      <c r="K11" s="73" t="s">
        <v>65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2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70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177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40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7</v>
      </c>
      <c r="V13" s="12" t="s">
        <v>75</v>
      </c>
      <c r="W13" s="69">
        <v>25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 t="s">
        <v>194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7" t="s">
        <v>4</v>
      </c>
      <c r="F16" s="157"/>
      <c r="G16" s="157" t="s">
        <v>5</v>
      </c>
      <c r="H16" s="157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180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YELLOW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8"/>
      <c r="B23" s="158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9"/>
      <c r="B24" s="160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24</v>
      </c>
      <c r="R25" s="10"/>
      <c r="S25" s="10"/>
      <c r="T25" s="10"/>
      <c r="U25" s="10"/>
      <c r="V25" s="10"/>
      <c r="W25" s="10">
        <v>18</v>
      </c>
      <c r="X25" s="10">
        <v>13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4" t="s">
        <v>136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44622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44615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CBDD34A-5255-4552-BC50-FDE9709AD6E7}"/>
</file>

<file path=customXml/itemProps2.xml><?xml version="1.0" encoding="utf-8"?>
<ds:datastoreItem xmlns:ds="http://schemas.openxmlformats.org/officeDocument/2006/customXml" ds:itemID="{97A46E6B-E4DB-40DF-805D-9119E05104B6}"/>
</file>

<file path=customXml/itemProps3.xml><?xml version="1.0" encoding="utf-8"?>
<ds:datastoreItem xmlns:ds="http://schemas.openxmlformats.org/officeDocument/2006/customXml" ds:itemID="{EEB75E0E-1E02-44B0-BB9B-372C0F696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2021-11-30T00:09:39Z</cp:lastPrinted>
  <dcterms:created xsi:type="dcterms:W3CDTF">2019-11-27T23:28:06Z</dcterms:created>
  <dcterms:modified xsi:type="dcterms:W3CDTF">2022-02-02T01:56:54Z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