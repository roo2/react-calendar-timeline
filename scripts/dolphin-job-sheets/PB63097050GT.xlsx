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1690C4F-4F00-458A-BE01-EA5758D6F2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<sst xmlns="http://schemas.openxmlformats.org/spreadsheetml/2006/main" count="310" uniqueCount="203">
  <si>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</si>
  <si>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</si>
  <si>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</si>
  <si>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</si>
  <si>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</si>
  <si>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</si>
  <si>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</si>
  <si>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</si>
  <si>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</si>
  <si>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</si>
  <si>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</si>
  <si>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</si>
  <si>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</si>
  <si>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</si>
  <si>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</si>
  <si>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</si>
  <si>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</si>
  <si>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</si>
  <si>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</si>
  <si>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</si>
  <si>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</si>
  <si>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</si>
  <si>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</si>
  <si>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</si>
  <si>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</si>
  <si>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</si>
  <si>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</si>
  <si>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</si>
  <si>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</si>
  <si>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</si>
  <si>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</si>
  <si>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</si>
  <si>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</si>
  <si>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</si>
  <si>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</si>
  <si>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</si>
  <si>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</si>
  <si>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</si>
  <si>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</si>
  <si>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</si>
  <si>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</si>
  <si>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</si>
  <si>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</si>
  <si>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</si>
  <si>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</si>
  <si>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</si>
  <si>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</si>
  <si>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</si>
  <si>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</si>
  <si>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</si>
  <si>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</si>
  <si>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</si>
  <si>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</si>
  <si>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</si>
  <si>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</si>
  <si>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</si>
  <si>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</si>
  <si>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</si>
  <si>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</si>
  <si>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</si>
  <si>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</si>
  <si>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</si>
  <si>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</si>
  <si>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</si>
  <si>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</si>
  <si>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</si>
  <si>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</si>
  <si>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</si>
  <si>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</si>
  <si>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</si>
  <si>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</si>
  <si>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</si>
  <si>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</si>
  <si>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</si>
  <si>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</si>
  <si>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</si>
  <si>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</si>
  <si>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</si>
  <si>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</si>
  <si>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</si>
  <si>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</si>
  <si>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</si>
  <si>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</si>
  <si>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</si>
  <si>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</si>
  <si>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</si>
  <si>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</si>
  <si>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</si>
  <si>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</si>
  <si>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</si>
  <si>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</si>
  <si>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</si>
  <si>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</si>
  <si>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</si>
  <si>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</si>
  <si>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</si>
  <si>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</si>
  <si>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</si>
  <si>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</si>
  <si>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</si>
  <si>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</si>
  <si>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</si>
  <si>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</si>
  <si>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</si>
  <si>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</si>
  <si>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</si>
  <si>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</si>
  <si>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</si>
  <si>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</si>
  <si>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</si>
  <si>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</si>
  <si>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</si>
  <si>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</si>
  <si>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</si>
  <si>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</si>
  <si>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</si>
  <si>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</si>
  <si>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</si>
  <si>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</si>
  <si>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</si>
  <si>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</si>
  <si>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</si>
  <si>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</si>
  <si>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</si>
  <si>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</si>
  <si>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</si>
  <si>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</si>
  <si>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</si>
  <si>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</si>
  <si>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</si>
  <si>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</si>
  <si>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</si>
  <si>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</si>
  <si>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</si>
  <si>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</si>
  <si>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</si>
  <si>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</si>
  <si>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</si>
  <si>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</si>
  <si>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</si>
  <si>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</si>
  <si>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</si>
  <si>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</si>
  <si>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</si>
  <si>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</si>
  <si>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</si>
  <si>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</si>
  <si>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</si>
  <si>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</si>
  <si>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</si>
  <si>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</si>
  <si>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</si>
  <si>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</si>
  <si>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</si>
  <si>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</si>
  <si>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</si>
  <si>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</si>
  <si>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</si>
  <si>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</si>
  <si>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</si>
  <si>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</si>
  <si>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</si>
  <si>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</si>
  <si>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</si>
  <si>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</si>
  <si>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</si>
  <si>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</si>
  <si>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</si>
  <si>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</si>
  <si>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</si>
  <si>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</si>
  <si>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</si>
  <si>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</si>
  <si>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</si>
  <si>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</si>
  <si>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</si>
  <si>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</si>
  <si>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</si>
  <si>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</si>
  <si>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</si>
  <si>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</si>
  <si>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</si>
  <si>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</si>
  <si>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</si>
  <si>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</si>
  <si>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</si>
  <si>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</si>
  <si>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</si>
  <si>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</si>
  <si>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</si>
  <si>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</si>
  <si>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</si>
  <si>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</si>
  <si>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</si>
  <si>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</si>
  <si>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PRO-PAC</t>
  </si>
  <si>
    <t>NEW ITEM - GREEN TINT</t>
  </si>
  <si>
    <t xml:space="preserve">ORION 1/LIMAX </t>
  </si>
  <si>
    <t>150/16</t>
  </si>
  <si>
    <t>150/12</t>
  </si>
  <si>
    <t>ANTIBLOCK</t>
  </si>
  <si>
    <t>ANTISTATIC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</si>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</sst>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9" fontId="8" fillId="5" borderId="4" xfId="0" applyNumberFormat="1" applyFont="1" applyFill="1" applyBorder="1" applyAlignment="1" applyProtection="1">
      <alignment horizontal="center"/>
      <protection locked="0"/>
    </xf>
    <xf numFmtId="0" fontId="8" fillId="5" borderId="5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PB63097050GT0AS</v>
      </c>
      <c r="C1" s="110"/>
      <c r="D1" s="111"/>
      <c r="E1" s="10" t="s">
        <v>57</v>
      </c>
      <c r="F1" s="86" t="s">
        <v>195</v>
      </c>
      <c r="G1" s="86"/>
      <c r="H1" s="87"/>
      <c r="I1" s="11" t="s">
        <v>181</v>
      </c>
      <c r="J1" s="83">
        <f ca="1">TODAY()</f>
        <v>45838</v>
      </c>
      <c r="K1" s="83"/>
      <c r="L1" s="84"/>
      <c r="M1" s="28"/>
      <c r="N1" s="10" t="s">
        <v>56</v>
      </c>
      <c r="O1" s="110" t="str">
        <f>B1</f>
        <v>PB63097050GT0AS</v>
      </c>
      <c r="P1" s="110"/>
      <c r="Q1" s="111"/>
      <c r="R1" s="10" t="s">
        <v>57</v>
      </c>
      <c r="S1" s="110" t="str">
        <f>F1</f>
        <v>PRO-PAC</v>
      </c>
      <c r="T1" s="110"/>
      <c r="U1" s="111"/>
      <c r="V1" s="10" t="s">
        <v>181</v>
      </c>
      <c r="W1" s="83">
        <f ca="1">J1</f>
        <v>45838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/>
      </c>
      <c r="C2" s="110"/>
      <c r="D2" s="111"/>
      <c r="E2" s="10" t="s">
        <v>58</v>
      </c>
      <c r="F2" s="86">
        <v>948967</v>
      </c>
      <c r="G2" s="86"/>
      <c r="H2" s="87"/>
      <c r="I2" s="10" t="s">
        <v>59</v>
      </c>
      <c r="J2" s="85" t="s">
        <v>192</v>
      </c>
      <c r="K2" s="86"/>
      <c r="L2" s="87"/>
      <c r="M2" s="28"/>
      <c r="N2" s="10" t="s">
        <v>100</v>
      </c>
      <c r="O2" s="110" t="str">
        <f>IF(B2="","",B2)</f>
        <v/>
      </c>
      <c r="P2" s="110"/>
      <c r="Q2" s="111"/>
      <c r="R2" s="10" t="s">
        <v>58</v>
      </c>
      <c r="S2" s="110">
        <f>IF(F2="","",F2)</f>
        <v>948967</v>
      </c>
      <c r="T2" s="110"/>
      <c r="U2" s="111"/>
      <c r="V2" s="10" t="s">
        <v>59</v>
      </c>
      <c r="W2" s="121" t="str">
        <f>J2</f>
        <v>ASAP</v>
      </c>
      <c r="X2" s="110"/>
      <c r="Y2" s="111"/>
    </row>
    <row r="3" spans="1:25" ht="20.100000000000001" customHeight="1" x14ac:dyDescent="0.25">
      <c r="A3" s="112" t="s">
        <v>196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tr">
        <f>A3</f>
        <v>NEW ITEM - GREEN TINT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161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10</v>
      </c>
      <c r="P7" s="87"/>
      <c r="Q7" s="10" t="str">
        <f>IF(ISNUMBER(SEARCH("roll",O8,1)),"Per Roll","Per Carton")</f>
        <v>Per Carton</v>
      </c>
      <c r="R7" s="86">
        <v>400</v>
      </c>
      <c r="S7" s="87"/>
      <c r="T7" s="10" t="str">
        <f>IF(ISNUMBER(SEARCH("bag",O8,1)),"Total Bags","Total Sheets")</f>
        <v>Total Bags</v>
      </c>
      <c r="U7" s="110">
        <f>R7*O7</f>
        <v>4000</v>
      </c>
      <c r="V7" s="111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630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50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4" t="s">
        <v>164</v>
      </c>
      <c r="P8" s="125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5" t="s">
        <v>48</v>
      </c>
      <c r="B9" s="98" t="s">
        <v>194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194</v>
      </c>
      <c r="I9" s="99"/>
      <c r="J9" s="10" t="s">
        <v>55</v>
      </c>
      <c r="K9" s="86" t="s">
        <v>30</v>
      </c>
      <c r="L9" s="87"/>
      <c r="M9" s="28"/>
      <c r="N9" s="16"/>
      <c r="O9" s="126" t="str">
        <f>IF(O8="Poly Bag","PB",IF(O8="Poly Bag Roll","PBR",IF(O8="Centrefold Roll","CFR",IF(O8="Sheet","S",IF(O8="Sheet Roll","SR")))))</f>
        <v>PB</v>
      </c>
      <c r="P9" s="127"/>
      <c r="Q9" s="16"/>
      <c r="R9" s="29">
        <v>630</v>
      </c>
      <c r="S9" s="17" t="s">
        <v>78</v>
      </c>
      <c r="T9" s="29">
        <v>970</v>
      </c>
      <c r="U9" s="17" t="s">
        <v>78</v>
      </c>
      <c r="V9" s="29">
        <v>50</v>
      </c>
      <c r="W9" s="16"/>
      <c r="X9" s="135"/>
      <c r="Y9" s="136"/>
    </row>
    <row r="10" spans="1:25" ht="20.100000000000001" customHeight="1" x14ac:dyDescent="0.25">
      <c r="A10" s="10" t="s">
        <v>51</v>
      </c>
      <c r="B10" s="86">
        <v>8</v>
      </c>
      <c r="C10" s="87"/>
      <c r="D10" s="46" t="s">
        <v>134</v>
      </c>
      <c r="E10" s="100">
        <f>IF(ISNUMBER(SEARCH("sheet",O8,1)),((R9*T9*H8/540000)*U7/2000*1.3),((R9*T9*H8/540000)*U7/1000*1.08))</f>
        <v>244.44000000000003</v>
      </c>
      <c r="F10" s="101"/>
      <c r="G10" s="10" t="s">
        <v>53</v>
      </c>
      <c r="H10" s="104">
        <f>IF(ISNUMBER(SEARCH("sheet",O8,1)),(U7*T9/2000*1.08),(U7*T9/1000*1.08))</f>
        <v>4190.4000000000005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4" t="s">
        <v>44</v>
      </c>
      <c r="P10" s="125"/>
      <c r="Q10" s="13" t="s">
        <v>50</v>
      </c>
      <c r="R10" s="122" t="str">
        <f>IF(K11="NONE","None",IF(K11="INLINE","Yes",IF(K11="OUT OF LINE","Yes")))</f>
        <v>None</v>
      </c>
      <c r="S10" s="122"/>
      <c r="T10" s="13" t="s">
        <v>100</v>
      </c>
      <c r="U10" s="129"/>
      <c r="V10" s="129"/>
      <c r="W10" s="129"/>
      <c r="X10" s="129"/>
      <c r="Y10" s="130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30.555000000000003</v>
      </c>
      <c r="F11" s="103"/>
      <c r="G11" s="10" t="s">
        <v>15</v>
      </c>
      <c r="H11" s="102">
        <f>H10/B10</f>
        <v>523.80000000000007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 t="s">
        <v>169</v>
      </c>
      <c r="P16" s="87"/>
      <c r="Q16" s="10" t="s">
        <v>105</v>
      </c>
      <c r="R16" s="86" t="s">
        <v>23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40"/>
      <c r="Y16" s="141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31</v>
      </c>
      <c r="V17" s="87"/>
      <c r="W17" s="10" t="str">
        <f>IF(ISNUMBER(SEARCH("roll",O8,1)),"Total Rolls","Total Ctns")</f>
        <v>Total Ctns</v>
      </c>
      <c r="X17" s="140"/>
      <c r="Y17" s="141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40"/>
      <c r="Y18" s="141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>GREEN TINT</v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GT</v>
      </c>
      <c r="D22" s="77"/>
      <c r="E22" s="138">
        <v>0.04</v>
      </c>
      <c r="F22" s="139"/>
      <c r="G22" s="47" t="s">
        <v>86</v>
      </c>
      <c r="H22" s="31"/>
      <c r="I22" s="81"/>
      <c r="J22" s="82"/>
      <c r="K22" s="81"/>
      <c r="L22" s="82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200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 t="s">
        <v>201</v>
      </c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197</v>
      </c>
      <c r="P25" s="33"/>
      <c r="Q25" s="9">
        <v>28</v>
      </c>
      <c r="R25" s="9">
        <v>54</v>
      </c>
      <c r="S25" s="9"/>
      <c r="T25" s="9"/>
      <c r="U25" s="9"/>
      <c r="V25" s="9"/>
      <c r="W25" s="9" t="s">
        <v>198</v>
      </c>
      <c r="X25" s="9" t="s">
        <v>199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7" t="s">
        <v>132</v>
      </c>
      <c r="H26" s="137"/>
      <c r="I26" s="137" t="s">
        <v>131</v>
      </c>
      <c r="J26" s="137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202</v>
      </c>
      <c r="C27" s="7"/>
      <c r="D27" s="142">
        <v>21</v>
      </c>
      <c r="E27" s="143">
        <v>7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45868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45859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6D7DB02-DAA9-4854-9579-DFB214FC0E46}"/>
</file>

<file path=customXml/itemProps2.xml><?xml version="1.0" encoding="utf-8"?>
<ds:datastoreItem xmlns:ds="http://schemas.openxmlformats.org/officeDocument/2006/customXml" ds:itemID="{BBBFD0A8-1ED4-41D1-A88E-3AB8EEBA38E5}"/>
</file>

<file path=customXml/itemProps3.xml><?xml version="1.0" encoding="utf-8"?>
<ds:datastoreItem xmlns:ds="http://schemas.openxmlformats.org/officeDocument/2006/customXml" ds:itemID="{971DA2A8-3EC1-423C-9875-70DA183A8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2024-11-11T01:07:35Z</cp:lastPrinted>
  <dcterms:created xsi:type="dcterms:W3CDTF">2019-11-27T23:28:06Z</dcterms:created>
  <dcterms:modified xsi:type="dcterms:W3CDTF">2025-06-30T00:51:34Z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