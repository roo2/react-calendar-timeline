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4653101C-5636-4161-A7CE-A0FE2F36DD9F}" xr6:coauthVersionLast="44" xr6:coauthVersionMax="44" xr10:uidLastSave="{00000000-0000-0000-0000-000000000000}"/>
  <bookViews>
    <workbookView xWindow="0" yWindow="0" windowWidth="28800" windowHeight="1560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3" i="1" l="1"/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E10" i="1" l="1"/>
  <c r="H10" i="1"/>
  <c r="H11" i="1" s="1"/>
  <c r="U13" i="1"/>
  <c r="H8" i="1"/>
  <c r="E11" i="1" l="1"/>
  <c r="B8" i="1"/>
  <c r="S2" i="1"/>
  <c r="O2" i="1"/>
  <c r="D9" i="1" l="1"/>
  <c r="B11" i="1" s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<sst xmlns="http://schemas.openxmlformats.org/spreadsheetml/2006/main" count="307" uniqueCount="202">
  <si>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</si>
  <si>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</si>
  <si>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</si>
  <si>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</si>
  <si>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</si>
  <si>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</si>
  <si>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</si>
  <si>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</si>
  <si>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</si>
  <si>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</si>
  <si>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</si>
  <si>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</si>
  <si>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</si>
  <si>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</si>
  <si>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</si>
  <si>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</si>
  <si>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</si>
  <si>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</si>
  <si>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</si>
  <si>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</si>
  <si>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</si>
  <si>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</si>
  <si>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</si>
  <si>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</si>
  <si>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</si>
  <si>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</si>
  <si>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</si>
  <si>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</si>
  <si>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</si>
  <si>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</si>
  <si>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</si>
  <si>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</si>
  <si>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</si>
  <si>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</si>
  <si>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</si>
  <si>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</si>
  <si>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</si>
  <si>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</si>
  <si>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</si>
  <si>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</si>
  <si>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</si>
  <si>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</si>
  <si>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</si>
  <si>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</si>
  <si>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</si>
  <si>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</si>
  <si>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</si>
  <si>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</si>
  <si>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</si>
  <si>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</si>
  <si>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</si>
  <si>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</si>
  <si>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</si>
  <si>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</si>
  <si>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</si>
  <si>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</si>
  <si>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</si>
  <si>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</si>
  <si>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</si>
  <si>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</si>
  <si>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</si>
  <si>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</si>
  <si>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</si>
  <si>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</si>
  <si>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</si>
  <si>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</si>
  <si>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</si>
  <si>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</si>
  <si>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</si>
  <si>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</si>
  <si>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</si>
  <si>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</si>
  <si>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</si>
  <si>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</si>
  <si>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</si>
  <si>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</si>
  <si>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</si>
  <si>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</si>
  <si>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</si>
  <si>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</si>
  <si>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</si>
  <si>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</si>
  <si>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</si>
  <si>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</si>
  <si>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</si>
  <si>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</si>
  <si>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</si>
  <si>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</si>
  <si>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</si>
  <si>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</si>
  <si>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</si>
  <si>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</si>
  <si>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</si>
  <si>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</si>
  <si>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</si>
  <si>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</si>
  <si>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</si>
  <si>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</si>
  <si>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</si>
  <si>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</si>
  <si>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</si>
  <si>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</si>
  <si>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</si>
  <si>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</si>
  <si>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</si>
  <si>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</si>
  <si>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</si>
  <si>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</si>
  <si>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</si>
  <si>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</si>
  <si>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</si>
  <si>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</si>
  <si>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</si>
  <si>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</si>
  <si>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</si>
  <si>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</si>
  <si>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</si>
  <si>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</si>
  <si>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</si>
  <si>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</si>
  <si>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</si>
  <si>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</si>
  <si>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</si>
  <si>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</si>
  <si>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</si>
  <si>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</si>
  <si>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</si>
  <si>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</si>
  <si>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</si>
  <si>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</si>
  <si>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</si>
  <si>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</si>
  <si>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</si>
  <si>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</si>
  <si>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</si>
  <si>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</si>
  <si>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</si>
  <si>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</si>
  <si>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</si>
  <si>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</si>
  <si>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</si>
  <si>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</si>
  <si>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</si>
  <si>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</si>
  <si>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</si>
  <si>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</si>
  <si>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</si>
  <si>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</si>
  <si>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</si>
  <si>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</si>
  <si>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</si>
  <si>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</si>
  <si>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</si>
  <si>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</si>
  <si>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</si>
  <si>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</si>
  <si>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</si>
  <si>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</si>
  <si>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</si>
  <si>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</si>
  <si>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</si>
  <si>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</si>
  <si>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</si>
  <si>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</si>
  <si>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</si>
  <si>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</si>
  <si>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</si>
  <si>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</si>
  <si>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</si>
  <si>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</si>
  <si>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</si>
  <si>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</si>
  <si>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</si>
  <si>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</si>
  <si>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</si>
  <si>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</si>
  <si>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</si>
  <si>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</si>
  <si>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</si>
  <si>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</si>
  <si>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</si>
  <si>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</si>
  <si>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</si>
  <si>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</si>
  <si>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</si>
  <si>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</si>
  <si>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</si>
  <si>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</si>
  <si>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</si>
  <si>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</si>
  <si>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</si>
  <si>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</si>
  <si>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UV</t>
  </si>
  <si>
    <t>ASAP</t>
  </si>
  <si>
    <t>Centrefold Roll</t>
  </si>
  <si>
    <t>(120+115)</t>
  </si>
  <si>
    <t>SPOT ON FINISH. MUST NOT BE BLOCKED.</t>
  </si>
  <si>
    <t>RUN AT 140um</t>
  </si>
  <si>
    <t xml:space="preserve"> +5mm/-0mm</t>
  </si>
  <si>
    <t>FERNLAND AGENCIES</t>
  </si>
  <si>
    <t>CUSBAG150/300XHD-W</t>
  </si>
  <si>
    <t xml:space="preserve">PERF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</si>
</sst>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W13" sqref="W1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PB235G355150WHUVV</v>
      </c>
      <c r="C1" s="123"/>
      <c r="D1" s="124"/>
      <c r="E1" s="12" t="s">
        <v>57</v>
      </c>
      <c r="F1" s="134" t="s">
        <v>199</v>
      </c>
      <c r="G1" s="134"/>
      <c r="H1" s="135"/>
      <c r="I1" s="13" t="s">
        <v>181</v>
      </c>
      <c r="J1" s="96">
        <f ca="1">TODAY()</f>
        <v>43971</v>
      </c>
      <c r="K1" s="96"/>
      <c r="L1" s="97"/>
      <c r="M1" s="35"/>
      <c r="N1" s="12" t="s">
        <v>56</v>
      </c>
      <c r="O1" s="123" t="str">
        <f>B1</f>
        <v>PB235G355150WHUVV</v>
      </c>
      <c r="P1" s="123"/>
      <c r="Q1" s="124"/>
      <c r="R1" s="12" t="s">
        <v>57</v>
      </c>
      <c r="S1" s="123" t="str">
        <f>F1</f>
        <v>FERNLAND AGENCIES</v>
      </c>
      <c r="T1" s="123"/>
      <c r="U1" s="124"/>
      <c r="V1" s="12" t="s">
        <v>181</v>
      </c>
      <c r="W1" s="96">
        <f ca="1">J1</f>
        <v>43971</v>
      </c>
      <c r="X1" s="96"/>
      <c r="Y1" s="97"/>
    </row>
    <row r="2" spans="1:28" ht="20.100000000000001" customHeight="1" x14ac:dyDescent="0.25">
      <c r="A2" s="12" t="s">
        <v>100</v>
      </c>
      <c r="B2" s="123" t="str">
        <f>IF(U10="","",U10)</f>
        <v>CUSBAG150/300XHD-W</v>
      </c>
      <c r="C2" s="123"/>
      <c r="D2" s="124"/>
      <c r="E2" s="12" t="s">
        <v>58</v>
      </c>
      <c r="F2" s="99">
        <v>937167</v>
      </c>
      <c r="G2" s="99"/>
      <c r="H2" s="100"/>
      <c r="I2" s="12" t="s">
        <v>59</v>
      </c>
      <c r="J2" s="98">
        <v>43987</v>
      </c>
      <c r="K2" s="99"/>
      <c r="L2" s="100"/>
      <c r="M2" s="35"/>
      <c r="N2" s="12" t="s">
        <v>100</v>
      </c>
      <c r="O2" s="123" t="str">
        <f>IF(B2="","",B2)</f>
        <v>CUSBAG150/300XHD-W</v>
      </c>
      <c r="P2" s="123"/>
      <c r="Q2" s="124"/>
      <c r="R2" s="12" t="s">
        <v>58</v>
      </c>
      <c r="S2" s="123">
        <f>IF(F2="","",F2)</f>
        <v>937167</v>
      </c>
      <c r="T2" s="123"/>
      <c r="U2" s="124"/>
      <c r="V2" s="12" t="s">
        <v>59</v>
      </c>
      <c r="W2" s="136">
        <f>J2</f>
        <v>43987</v>
      </c>
      <c r="X2" s="123"/>
      <c r="Y2" s="124"/>
    </row>
    <row r="3" spans="1:28" ht="20.100000000000001" customHeight="1" x14ac:dyDescent="0.25">
      <c r="A3" s="125" t="s">
        <v>196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5"/>
      <c r="N3" s="125" t="str">
        <f>A3</f>
        <v>SPOT ON FINISH. MUST NOT BE BLOCKED.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5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5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07" t="s">
        <v>2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5"/>
      <c r="N6" s="122" t="s">
        <v>2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6"/>
    </row>
    <row r="7" spans="1:28" ht="20.100000000000001" customHeight="1" x14ac:dyDescent="0.3">
      <c r="A7" s="12" t="s">
        <v>49</v>
      </c>
      <c r="B7" s="120" t="s">
        <v>155</v>
      </c>
      <c r="C7" s="120"/>
      <c r="D7" s="120"/>
      <c r="E7" s="120"/>
      <c r="F7" s="120"/>
      <c r="G7" s="120"/>
      <c r="H7" s="120"/>
      <c r="I7" s="121"/>
      <c r="J7" s="87" t="s">
        <v>179</v>
      </c>
      <c r="K7" s="87"/>
      <c r="L7" s="85"/>
      <c r="M7" s="35"/>
      <c r="N7" s="12" t="str">
        <f>IF(ISNUMBER(SEARCH("roll",O8,1)),"No. Rolls","No. Cartons")</f>
        <v>No. Cartons</v>
      </c>
      <c r="O7" s="99">
        <v>10</v>
      </c>
      <c r="P7" s="100"/>
      <c r="Q7" s="12" t="str">
        <f>IF(ISNUMBER(SEARCH("roll",O8,1)),"Per Roll","Per Carton")</f>
        <v>Per Carton</v>
      </c>
      <c r="R7" s="99">
        <v>1000</v>
      </c>
      <c r="S7" s="100"/>
      <c r="T7" s="12" t="str">
        <f>IF(ISNUMBER(SEARCH("bag",O8,1)),"Total Bags","Total Sheets")</f>
        <v>Total Bags</v>
      </c>
      <c r="U7" s="123">
        <f>R7*O7</f>
        <v>10000</v>
      </c>
      <c r="V7" s="124"/>
      <c r="W7" s="12" t="s">
        <v>102</v>
      </c>
      <c r="X7" s="99" t="s">
        <v>23</v>
      </c>
      <c r="Y7" s="100"/>
      <c r="AB7" s="14"/>
    </row>
    <row r="8" spans="1:28" ht="20.100000000000001" customHeight="1" x14ac:dyDescent="0.25">
      <c r="A8" s="15" t="s">
        <v>16</v>
      </c>
      <c r="B8" s="101">
        <f>R9</f>
        <v>235</v>
      </c>
      <c r="C8" s="102"/>
      <c r="D8" s="15" t="str">
        <f>IF(ISNUMBER(SEARCH("bag",O8,1)),"Gusset","Centrefold")</f>
        <v>Gusset</v>
      </c>
      <c r="E8" s="101" t="str">
        <f>IF(O8="Centrefold Roll",B8*2,IF(X9="","None",X9))</f>
        <v>(120+115)</v>
      </c>
      <c r="F8" s="102"/>
      <c r="G8" s="15" t="s">
        <v>52</v>
      </c>
      <c r="H8" s="101">
        <f>(IF(V9&lt;30,"30",V9))</f>
        <v>150</v>
      </c>
      <c r="I8" s="102"/>
      <c r="J8" s="12" t="s">
        <v>54</v>
      </c>
      <c r="K8" s="123" t="str">
        <f>IF(X8="None","Layflat Tube",IF(X8="","Layflat Tube",IF(X8="CF","Layflat Tube",IF(X8="G","Gusset Tube",IF(X9="","Layflat Tube",)))))</f>
        <v>Gusset Tube</v>
      </c>
      <c r="L8" s="124"/>
      <c r="M8" s="35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18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G</v>
      </c>
      <c r="Y8" s="138"/>
    </row>
    <row r="9" spans="1:28" ht="20.100000000000001" customHeight="1" x14ac:dyDescent="0.3">
      <c r="A9" s="19" t="s">
        <v>48</v>
      </c>
      <c r="B9" s="111" t="s">
        <v>198</v>
      </c>
      <c r="C9" s="112"/>
      <c r="D9" s="119" t="str">
        <f>IF(K10="Middle","RUN 2 UP",IF(AND(O8="Centrefold Roll",B8=380),"RUN 2 UP",""))</f>
        <v/>
      </c>
      <c r="E9" s="120"/>
      <c r="F9" s="121"/>
      <c r="G9" s="19" t="s">
        <v>48</v>
      </c>
      <c r="H9" s="111" t="s">
        <v>197</v>
      </c>
      <c r="I9" s="112"/>
      <c r="J9" s="12" t="s">
        <v>55</v>
      </c>
      <c r="K9" s="99" t="s">
        <v>30</v>
      </c>
      <c r="L9" s="100"/>
      <c r="M9" s="35"/>
      <c r="N9" s="20"/>
      <c r="O9" s="141" t="str">
        <f>IF(O8="Poly Bag","PB",IF(O8="Poly Bag Roll","PBR",IF(O8="Centrefold Roll","CFR",IF(O8="Sheet","S",IF(O8="Sheet Roll","SR")))))</f>
        <v>PB</v>
      </c>
      <c r="P9" s="142"/>
      <c r="Q9" s="20"/>
      <c r="R9" s="36">
        <v>235</v>
      </c>
      <c r="S9" s="21" t="s">
        <v>78</v>
      </c>
      <c r="T9" s="36">
        <v>355</v>
      </c>
      <c r="U9" s="21" t="s">
        <v>78</v>
      </c>
      <c r="V9" s="36">
        <v>150</v>
      </c>
      <c r="W9" s="20"/>
      <c r="X9" s="152" t="s">
        <v>195</v>
      </c>
      <c r="Y9" s="153"/>
    </row>
    <row r="10" spans="1:28" ht="20.100000000000001" customHeight="1" x14ac:dyDescent="0.25">
      <c r="A10" s="12" t="s">
        <v>51</v>
      </c>
      <c r="B10" s="99">
        <v>10</v>
      </c>
      <c r="C10" s="100"/>
      <c r="D10" s="55" t="s">
        <v>134</v>
      </c>
      <c r="E10" s="113">
        <f>IF(ISNUMBER(SEARCH("sheet",O8,1)),((R9*T9*H8/540000)*U7/2000*1.3),((R9*T9*H8/540000)*U7/1000*1.08))</f>
        <v>250.27499999999998</v>
      </c>
      <c r="F10" s="114"/>
      <c r="G10" s="12" t="s">
        <v>53</v>
      </c>
      <c r="H10" s="117">
        <f>IF(ISNUMBER(SEARCH("sheet",O8,1)),(U7*T9/2000*1.08),(U7*T9/1000*1.08))</f>
        <v>3834.0000000000005</v>
      </c>
      <c r="I10" s="118"/>
      <c r="J10" s="12" t="s">
        <v>41</v>
      </c>
      <c r="K10" s="99" t="s">
        <v>44</v>
      </c>
      <c r="L10" s="100"/>
      <c r="M10" s="35"/>
      <c r="N10" s="22" t="s">
        <v>141</v>
      </c>
      <c r="O10" s="139" t="s">
        <v>188</v>
      </c>
      <c r="P10" s="140"/>
      <c r="Q10" s="16" t="s">
        <v>50</v>
      </c>
      <c r="R10" s="137" t="str">
        <f>IF(K11="NONE","None",IF(K11="INLINE","Yes",IF(K11="OUT OF LINE","Yes")))</f>
        <v>None</v>
      </c>
      <c r="S10" s="137"/>
      <c r="T10" s="16" t="s">
        <v>100</v>
      </c>
      <c r="U10" s="144" t="s">
        <v>200</v>
      </c>
      <c r="V10" s="144"/>
      <c r="W10" s="144"/>
      <c r="X10" s="144"/>
      <c r="Y10" s="14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15">
        <f>E10/B10</f>
        <v>25.027499999999996</v>
      </c>
      <c r="F11" s="116"/>
      <c r="G11" s="12" t="s">
        <v>15</v>
      </c>
      <c r="H11" s="115">
        <f>H10/B10</f>
        <v>383.40000000000003</v>
      </c>
      <c r="I11" s="116"/>
      <c r="J11" s="12" t="s">
        <v>50</v>
      </c>
      <c r="K11" s="99" t="s">
        <v>44</v>
      </c>
      <c r="L11" s="100"/>
      <c r="M11" s="35"/>
      <c r="N11" s="15"/>
      <c r="O11" s="101" t="str">
        <f>IF(O10="NONE","","V")</f>
        <v>V</v>
      </c>
      <c r="P11" s="102"/>
      <c r="Q11" s="15"/>
      <c r="R11" s="101" t="str">
        <f>IF(R10="None","","P")</f>
        <v/>
      </c>
      <c r="S11" s="102"/>
      <c r="T11" s="15"/>
      <c r="U11" s="146"/>
      <c r="V11" s="146"/>
      <c r="W11" s="146"/>
      <c r="X11" s="146"/>
      <c r="Y11" s="147"/>
    </row>
    <row r="12" spans="1:28" ht="20.100000000000001" customHeight="1" x14ac:dyDescent="0.25">
      <c r="A12" s="103" t="s">
        <v>13</v>
      </c>
      <c r="B12" s="104"/>
      <c r="C12" s="104"/>
      <c r="D12" s="104"/>
      <c r="E12" s="105"/>
      <c r="F12" s="105"/>
      <c r="G12" s="105"/>
      <c r="H12" s="105"/>
      <c r="I12" s="105"/>
      <c r="J12" s="105"/>
      <c r="K12" s="105"/>
      <c r="L12" s="106"/>
      <c r="M12" s="35"/>
      <c r="N12" s="143" t="s">
        <v>71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8" ht="20.100000000000001" customHeight="1" x14ac:dyDescent="0.25">
      <c r="A13" s="12" t="s">
        <v>68</v>
      </c>
      <c r="B13" s="99" t="s">
        <v>44</v>
      </c>
      <c r="C13" s="99"/>
      <c r="D13" s="100"/>
      <c r="E13" s="23" t="s">
        <v>61</v>
      </c>
      <c r="F13" s="99" t="s">
        <v>44</v>
      </c>
      <c r="G13" s="99"/>
      <c r="H13" s="100"/>
      <c r="I13" s="24" t="s">
        <v>62</v>
      </c>
      <c r="J13" s="99" t="s">
        <v>44</v>
      </c>
      <c r="K13" s="99"/>
      <c r="L13" s="100"/>
      <c r="M13" s="35"/>
      <c r="N13" s="12" t="s">
        <v>72</v>
      </c>
      <c r="O13" s="37" t="s">
        <v>57</v>
      </c>
      <c r="P13" s="12" t="s">
        <v>73</v>
      </c>
      <c r="Q13" s="25">
        <f>O7</f>
        <v>10</v>
      </c>
      <c r="R13" s="12" t="s">
        <v>74</v>
      </c>
      <c r="S13" s="37" t="s">
        <v>23</v>
      </c>
      <c r="T13" s="12" t="s">
        <v>178</v>
      </c>
      <c r="U13" s="25" t="str">
        <f>IF(S13="No","",(ROUNDUP(U7/W13/24,0)))</f>
        <v/>
      </c>
      <c r="V13" s="12" t="s">
        <v>75</v>
      </c>
      <c r="W13" s="70" t="str">
        <f>IF(AND((O17="LOOSE"),(NOT(O18="BUNDLE"))),"",IF(AND((O17="LINED"),(NOT(O18="BUNDLE"))),"",(IF(R7&lt;=500,"50",IF(R7&gt;500,"50")))))</f>
        <v>50</v>
      </c>
      <c r="X13" s="12" t="s">
        <v>76</v>
      </c>
      <c r="Y13" s="38"/>
    </row>
    <row r="14" spans="1:28" ht="20.100000000000001" customHeight="1" x14ac:dyDescent="0.3">
      <c r="A14" s="15" t="s">
        <v>60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1"/>
      <c r="M14" s="35"/>
      <c r="N14" s="143" t="s">
        <v>110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8" ht="20.100000000000001" customHeight="1" x14ac:dyDescent="0.25">
      <c r="A15" s="122" t="s">
        <v>0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00000000000001" customHeight="1" x14ac:dyDescent="0.25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5"/>
      <c r="N16" s="12" t="s">
        <v>28</v>
      </c>
      <c r="O16" s="99" t="s">
        <v>169</v>
      </c>
      <c r="P16" s="100"/>
      <c r="Q16" s="12" t="s">
        <v>105</v>
      </c>
      <c r="R16" s="99" t="s">
        <v>23</v>
      </c>
      <c r="S16" s="100"/>
      <c r="T16" s="13" t="s">
        <v>103</v>
      </c>
      <c r="U16" s="99" t="s">
        <v>31</v>
      </c>
      <c r="V16" s="100"/>
      <c r="W16" s="12" t="str">
        <f>IF(ISNUMBER(SEARCH("bag",O8,1)),"Total Bags","Total Sheets")</f>
        <v>Total Bags</v>
      </c>
      <c r="X16" s="161"/>
      <c r="Y16" s="95"/>
    </row>
    <row r="17" spans="1:25" ht="20.100000000000001" customHeight="1" x14ac:dyDescent="0.25">
      <c r="A17" s="86" t="s">
        <v>6</v>
      </c>
      <c r="B17" s="86"/>
      <c r="C17" s="89" t="s">
        <v>147</v>
      </c>
      <c r="D17" s="90"/>
      <c r="E17" s="94"/>
      <c r="F17" s="95"/>
      <c r="G17" s="57" t="s">
        <v>81</v>
      </c>
      <c r="H17" s="38"/>
      <c r="I17" s="159"/>
      <c r="J17" s="160"/>
      <c r="K17" s="159"/>
      <c r="L17" s="160"/>
      <c r="M17" s="35"/>
      <c r="N17" s="12" t="s">
        <v>26</v>
      </c>
      <c r="O17" s="99" t="s">
        <v>37</v>
      </c>
      <c r="P17" s="100"/>
      <c r="Q17" s="12" t="s">
        <v>104</v>
      </c>
      <c r="R17" s="99" t="s">
        <v>31</v>
      </c>
      <c r="S17" s="100"/>
      <c r="T17" s="13" t="str">
        <f>IF(ISNUMBER(SEARCH("roll",O8,1)),"Part Rolls","Part Ctns")</f>
        <v>Part Ctns</v>
      </c>
      <c r="U17" s="99" t="s">
        <v>31</v>
      </c>
      <c r="V17" s="100"/>
      <c r="W17" s="12" t="str">
        <f>IF(ISNUMBER(SEARCH("roll",O8,1)),"Total Rolls","Total Ctns")</f>
        <v>Total Ctns</v>
      </c>
      <c r="X17" s="161"/>
      <c r="Y17" s="95"/>
    </row>
    <row r="18" spans="1:25" ht="20.100000000000001" customHeight="1" x14ac:dyDescent="0.25">
      <c r="A18" s="86" t="s">
        <v>7</v>
      </c>
      <c r="B18" s="86"/>
      <c r="C18" s="89" t="s">
        <v>146</v>
      </c>
      <c r="D18" s="90"/>
      <c r="E18" s="94"/>
      <c r="F18" s="95"/>
      <c r="G18" s="57" t="s">
        <v>82</v>
      </c>
      <c r="H18" s="38"/>
      <c r="I18" s="159"/>
      <c r="J18" s="160"/>
      <c r="K18" s="159"/>
      <c r="L18" s="160"/>
      <c r="M18" s="35"/>
      <c r="N18" s="12" t="s">
        <v>101</v>
      </c>
      <c r="O18" s="99" t="s">
        <v>185</v>
      </c>
      <c r="P18" s="100"/>
      <c r="Q18" s="12" t="s">
        <v>106</v>
      </c>
      <c r="R18" s="99" t="s">
        <v>31</v>
      </c>
      <c r="S18" s="100"/>
      <c r="T18" s="26" t="s">
        <v>27</v>
      </c>
      <c r="U18" s="99" t="s">
        <v>36</v>
      </c>
      <c r="V18" s="100"/>
      <c r="W18" s="12" t="s">
        <v>109</v>
      </c>
      <c r="X18" s="161"/>
      <c r="Y18" s="95"/>
    </row>
    <row r="19" spans="1:25" ht="20.100000000000001" customHeight="1" x14ac:dyDescent="0.25">
      <c r="A19" s="86" t="s">
        <v>8</v>
      </c>
      <c r="B19" s="86"/>
      <c r="C19" s="89" t="s">
        <v>145</v>
      </c>
      <c r="D19" s="90"/>
      <c r="E19" s="94"/>
      <c r="F19" s="95"/>
      <c r="G19" s="57" t="s">
        <v>83</v>
      </c>
      <c r="H19" s="38"/>
      <c r="I19" s="159"/>
      <c r="J19" s="160"/>
      <c r="K19" s="159"/>
      <c r="L19" s="160"/>
      <c r="M19" s="35"/>
      <c r="N19" s="72" t="s">
        <v>116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4"/>
    </row>
    <row r="20" spans="1:25" ht="20.100000000000001" customHeight="1" x14ac:dyDescent="0.25">
      <c r="A20" s="86" t="s">
        <v>9</v>
      </c>
      <c r="B20" s="86"/>
      <c r="C20" s="89" t="s">
        <v>144</v>
      </c>
      <c r="D20" s="90"/>
      <c r="E20" s="94"/>
      <c r="F20" s="95"/>
      <c r="G20" s="57" t="s">
        <v>84</v>
      </c>
      <c r="H20" s="38"/>
      <c r="I20" s="159"/>
      <c r="J20" s="160"/>
      <c r="K20" s="159"/>
      <c r="L20" s="160"/>
      <c r="M20" s="35"/>
      <c r="N20" s="75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7"/>
    </row>
    <row r="21" spans="1:25" ht="20.100000000000001" customHeight="1" x14ac:dyDescent="0.25">
      <c r="A21" s="86" t="s">
        <v>10</v>
      </c>
      <c r="B21" s="86"/>
      <c r="C21" s="89" t="s">
        <v>143</v>
      </c>
      <c r="D21" s="90"/>
      <c r="E21" s="94"/>
      <c r="F21" s="95"/>
      <c r="G21" s="57" t="s">
        <v>85</v>
      </c>
      <c r="H21" s="38"/>
      <c r="I21" s="159"/>
      <c r="J21" s="160"/>
      <c r="K21" s="159"/>
      <c r="L21" s="160"/>
      <c r="M21" s="35"/>
      <c r="N21" s="75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7"/>
    </row>
    <row r="22" spans="1:25" ht="20.100000000000001" customHeight="1" x14ac:dyDescent="0.25">
      <c r="A22" s="86" t="str">
        <f>(IF(B7="NATURAL","",B7))</f>
        <v>WHITE</v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0"/>
      <c r="E22" s="94"/>
      <c r="F22" s="95"/>
      <c r="G22" s="57" t="s">
        <v>86</v>
      </c>
      <c r="H22" s="38"/>
      <c r="I22" s="159"/>
      <c r="J22" s="160"/>
      <c r="K22" s="159"/>
      <c r="L22" s="160"/>
      <c r="M22" s="35"/>
      <c r="N22" s="78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80"/>
    </row>
    <row r="23" spans="1:25" ht="20.100000000000001" customHeight="1" x14ac:dyDescent="0.25">
      <c r="A23" s="91" t="s">
        <v>192</v>
      </c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0"/>
      <c r="E23" s="154">
        <v>0.02</v>
      </c>
      <c r="F23" s="95"/>
      <c r="G23" s="57" t="s">
        <v>87</v>
      </c>
      <c r="H23" s="38"/>
      <c r="I23" s="159"/>
      <c r="J23" s="160"/>
      <c r="K23" s="159"/>
      <c r="L23" s="160"/>
      <c r="M23" s="35"/>
      <c r="N23" s="143" t="s">
        <v>133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7" t="s">
        <v>88</v>
      </c>
      <c r="H24" s="38"/>
      <c r="I24" s="159"/>
      <c r="J24" s="160"/>
      <c r="K24" s="159"/>
      <c r="L24" s="160"/>
      <c r="M24" s="35"/>
      <c r="N24" s="39"/>
      <c r="O24" s="27" t="s">
        <v>119</v>
      </c>
      <c r="P24" s="27" t="s">
        <v>129</v>
      </c>
      <c r="Q24" s="27" t="s">
        <v>120</v>
      </c>
      <c r="R24" s="27" t="s">
        <v>121</v>
      </c>
      <c r="S24" s="27" t="s">
        <v>122</v>
      </c>
      <c r="T24" s="27" t="s">
        <v>123</v>
      </c>
      <c r="U24" s="27" t="s">
        <v>124</v>
      </c>
      <c r="V24" s="27" t="s">
        <v>125</v>
      </c>
      <c r="W24" s="27" t="s">
        <v>126</v>
      </c>
      <c r="X24" s="27" t="s">
        <v>127</v>
      </c>
      <c r="Y24" s="27" t="s">
        <v>176</v>
      </c>
    </row>
    <row r="25" spans="1:25" ht="20.100000000000001" customHeight="1" x14ac:dyDescent="0.25">
      <c r="A25" s="122" t="s">
        <v>1</v>
      </c>
      <c r="B25" s="105"/>
      <c r="C25" s="105"/>
      <c r="D25" s="105"/>
      <c r="E25" s="105"/>
      <c r="F25" s="104"/>
      <c r="G25" s="104"/>
      <c r="H25" s="104"/>
      <c r="I25" s="104"/>
      <c r="J25" s="104"/>
      <c r="K25" s="105"/>
      <c r="L25" s="106"/>
      <c r="M25" s="35"/>
      <c r="N25" s="27" t="s">
        <v>96</v>
      </c>
      <c r="O25" s="10" t="s">
        <v>201</v>
      </c>
      <c r="P25" s="40"/>
      <c r="Q25" s="10">
        <v>21</v>
      </c>
      <c r="R25" s="10">
        <v>6</v>
      </c>
      <c r="S25" s="10"/>
      <c r="T25" s="10">
        <v>11</v>
      </c>
      <c r="U25" s="10"/>
      <c r="V25" s="10">
        <v>3</v>
      </c>
      <c r="W25" s="10">
        <v>245</v>
      </c>
      <c r="X25" s="10">
        <v>245</v>
      </c>
      <c r="Y25" s="10"/>
    </row>
    <row r="26" spans="1:25" ht="20.100000000000001" customHeight="1" x14ac:dyDescent="0.25">
      <c r="A26" s="28"/>
      <c r="B26" s="27" t="s">
        <v>180</v>
      </c>
      <c r="C26" s="27" t="s">
        <v>92</v>
      </c>
      <c r="D26" s="29" t="s">
        <v>90</v>
      </c>
      <c r="E26" s="29" t="s">
        <v>91</v>
      </c>
      <c r="F26" s="29" t="s">
        <v>93</v>
      </c>
      <c r="G26" s="158" t="s">
        <v>132</v>
      </c>
      <c r="H26" s="158"/>
      <c r="I26" s="158" t="s">
        <v>131</v>
      </c>
      <c r="J26" s="158"/>
      <c r="K26" s="29" t="s">
        <v>94</v>
      </c>
      <c r="L26" s="29" t="s">
        <v>95</v>
      </c>
      <c r="M26" s="35"/>
      <c r="N26" s="155" t="s">
        <v>137</v>
      </c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7"/>
    </row>
    <row r="27" spans="1:25" ht="20.100000000000001" customHeight="1" x14ac:dyDescent="0.25">
      <c r="A27" s="27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6" t="s">
        <v>182</v>
      </c>
      <c r="O27" s="56" t="s">
        <v>21</v>
      </c>
      <c r="P27" s="56" t="s">
        <v>17</v>
      </c>
      <c r="Q27" s="56" t="s">
        <v>14</v>
      </c>
      <c r="R27" s="56" t="s">
        <v>128</v>
      </c>
      <c r="S27" s="56" t="s">
        <v>129</v>
      </c>
      <c r="T27" s="56" t="s">
        <v>112</v>
      </c>
      <c r="U27" s="30" t="s">
        <v>130</v>
      </c>
      <c r="V27" s="30" t="s">
        <v>116</v>
      </c>
      <c r="W27" s="56" t="s">
        <v>190</v>
      </c>
      <c r="X27" s="56" t="s">
        <v>191</v>
      </c>
      <c r="Y27" s="56" t="s">
        <v>22</v>
      </c>
    </row>
    <row r="28" spans="1:25" ht="20.100000000000001" customHeight="1" x14ac:dyDescent="0.25">
      <c r="A28" s="27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39"/>
      <c r="U28" s="6"/>
      <c r="V28" s="6"/>
      <c r="W28" s="6"/>
      <c r="X28" s="6"/>
      <c r="Y28" s="6"/>
    </row>
    <row r="29" spans="1:25" ht="20.100000000000001" customHeight="1" x14ac:dyDescent="0.25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5"/>
      <c r="N29" s="58">
        <v>2</v>
      </c>
      <c r="O29" s="6"/>
      <c r="P29" s="6"/>
      <c r="Q29" s="6"/>
      <c r="R29" s="6"/>
      <c r="S29" s="6"/>
      <c r="T29" s="39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1"/>
      <c r="C30" s="38"/>
      <c r="D30" s="13" t="s">
        <v>92</v>
      </c>
      <c r="E30" s="42"/>
      <c r="F30" s="38"/>
      <c r="G30" s="32" t="s">
        <v>98</v>
      </c>
      <c r="H30" s="43"/>
      <c r="I30" s="43"/>
      <c r="J30" s="44"/>
      <c r="K30" s="43"/>
      <c r="L30" s="45"/>
      <c r="M30" s="35"/>
      <c r="N30" s="58">
        <v>3</v>
      </c>
      <c r="O30" s="6"/>
      <c r="P30" s="6"/>
      <c r="Q30" s="6"/>
      <c r="R30" s="6"/>
      <c r="S30" s="6"/>
      <c r="T30" s="39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1"/>
      <c r="C31" s="38"/>
      <c r="D31" s="13" t="s">
        <v>112</v>
      </c>
      <c r="E31" s="42"/>
      <c r="F31" s="46"/>
      <c r="G31" s="13" t="s">
        <v>98</v>
      </c>
      <c r="H31" s="42"/>
      <c r="I31" s="42"/>
      <c r="J31" s="42"/>
      <c r="K31" s="42"/>
      <c r="L31" s="38"/>
      <c r="M31" s="35"/>
      <c r="N31" s="58">
        <v>4</v>
      </c>
      <c r="O31" s="6"/>
      <c r="P31" s="6"/>
      <c r="Q31" s="6"/>
      <c r="R31" s="6"/>
      <c r="S31" s="6"/>
      <c r="T31" s="39"/>
      <c r="U31" s="6"/>
      <c r="V31" s="6"/>
      <c r="W31" s="6"/>
      <c r="X31" s="6"/>
      <c r="Y31" s="6"/>
    </row>
    <row r="32" spans="1:25" ht="20.100000000000001" customHeight="1" x14ac:dyDescent="0.25">
      <c r="A32" s="33" t="s">
        <v>113</v>
      </c>
      <c r="B32" s="47"/>
      <c r="C32" s="45"/>
      <c r="D32" s="33" t="s">
        <v>89</v>
      </c>
      <c r="E32" s="43"/>
      <c r="F32" s="45"/>
      <c r="G32" s="33" t="s">
        <v>111</v>
      </c>
      <c r="H32" s="43"/>
      <c r="I32" s="43"/>
      <c r="J32" s="43"/>
      <c r="K32" s="43"/>
      <c r="L32" s="45"/>
      <c r="M32" s="35"/>
      <c r="N32" s="59">
        <v>5</v>
      </c>
      <c r="O32" s="50"/>
      <c r="P32" s="50"/>
      <c r="Q32" s="50"/>
      <c r="R32" s="50"/>
      <c r="S32" s="50"/>
      <c r="T32" s="51"/>
      <c r="U32" s="50"/>
      <c r="V32" s="50"/>
      <c r="W32" s="50"/>
      <c r="X32" s="50"/>
      <c r="Y32" s="50"/>
    </row>
    <row r="33" spans="1:25" ht="20.100000000000001" customHeight="1" x14ac:dyDescent="0.2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5"/>
      <c r="N33" s="58">
        <v>6</v>
      </c>
      <c r="O33" s="6"/>
      <c r="P33" s="6"/>
      <c r="Q33" s="6"/>
      <c r="R33" s="6"/>
      <c r="S33" s="6"/>
      <c r="T33" s="39"/>
      <c r="U33" s="6"/>
      <c r="V33" s="6"/>
      <c r="W33" s="6"/>
      <c r="X33" s="6"/>
      <c r="Y33" s="6"/>
    </row>
    <row r="34" spans="1:25" ht="20.100000000000001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5"/>
      <c r="N34" s="58">
        <v>7</v>
      </c>
      <c r="O34" s="6"/>
      <c r="P34" s="6"/>
      <c r="Q34" s="6"/>
      <c r="R34" s="6"/>
      <c r="S34" s="6"/>
      <c r="T34" s="39"/>
      <c r="U34" s="6"/>
      <c r="V34" s="6"/>
      <c r="W34" s="6"/>
      <c r="X34" s="6"/>
      <c r="Y34" s="6"/>
    </row>
    <row r="35" spans="1:25" ht="20.100000000000001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5"/>
      <c r="N35" s="58">
        <v>8</v>
      </c>
      <c r="O35" s="6"/>
      <c r="P35" s="6"/>
      <c r="Q35" s="6"/>
      <c r="R35" s="6"/>
      <c r="S35" s="6"/>
      <c r="T35" s="39"/>
      <c r="U35" s="6"/>
      <c r="V35" s="6"/>
      <c r="W35" s="6"/>
      <c r="X35" s="6"/>
      <c r="Y35" s="6"/>
    </row>
    <row r="36" spans="1:25" ht="20.100000000000001" customHeight="1" x14ac:dyDescent="0.2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5"/>
      <c r="N36" s="58">
        <v>9</v>
      </c>
      <c r="O36" s="6"/>
      <c r="P36" s="6"/>
      <c r="Q36" s="6"/>
      <c r="R36" s="6"/>
      <c r="S36" s="6"/>
      <c r="T36" s="39"/>
      <c r="U36" s="6"/>
      <c r="V36" s="6"/>
      <c r="W36" s="6"/>
      <c r="X36" s="6"/>
      <c r="Y36" s="6"/>
    </row>
    <row r="37" spans="1:25" ht="20.100000000000001" customHeight="1" x14ac:dyDescent="0.25">
      <c r="A37" s="30" t="s">
        <v>14</v>
      </c>
      <c r="B37" s="1" t="s">
        <v>21</v>
      </c>
      <c r="C37" s="30" t="s">
        <v>135</v>
      </c>
      <c r="D37" s="30" t="s">
        <v>15</v>
      </c>
      <c r="E37" s="30" t="s">
        <v>16</v>
      </c>
      <c r="F37" s="30" t="s">
        <v>52</v>
      </c>
      <c r="G37" s="34" t="s">
        <v>17</v>
      </c>
      <c r="H37" s="34" t="s">
        <v>18</v>
      </c>
      <c r="I37" s="31" t="s">
        <v>29</v>
      </c>
      <c r="J37" s="30" t="s">
        <v>19</v>
      </c>
      <c r="K37" s="30" t="s">
        <v>20</v>
      </c>
      <c r="L37" s="30" t="s">
        <v>22</v>
      </c>
      <c r="M37" s="35"/>
      <c r="N37" s="59">
        <v>10</v>
      </c>
      <c r="O37" s="50"/>
      <c r="P37" s="50"/>
      <c r="Q37" s="50"/>
      <c r="R37" s="50"/>
      <c r="S37" s="50"/>
      <c r="T37" s="51"/>
      <c r="U37" s="50"/>
      <c r="V37" s="50"/>
      <c r="W37" s="50"/>
      <c r="X37" s="50"/>
      <c r="Y37" s="50"/>
    </row>
    <row r="38" spans="1:25" ht="20.100000000000001" customHeight="1" x14ac:dyDescent="0.25">
      <c r="A38" s="27">
        <v>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5"/>
      <c r="N38" s="58">
        <v>11</v>
      </c>
      <c r="O38" s="6"/>
      <c r="P38" s="6"/>
      <c r="Q38" s="6"/>
      <c r="R38" s="6"/>
      <c r="S38" s="6"/>
      <c r="T38" s="39"/>
      <c r="U38" s="6"/>
      <c r="V38" s="6"/>
      <c r="W38" s="6"/>
      <c r="X38" s="6"/>
      <c r="Y38" s="6"/>
    </row>
    <row r="39" spans="1:25" ht="20.100000000000001" customHeight="1" x14ac:dyDescent="0.25">
      <c r="A39" s="27">
        <v>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5"/>
      <c r="N39" s="58">
        <v>12</v>
      </c>
      <c r="O39" s="6"/>
      <c r="P39" s="6"/>
      <c r="Q39" s="6"/>
      <c r="R39" s="6"/>
      <c r="S39" s="6"/>
      <c r="T39" s="39"/>
      <c r="U39" s="6"/>
      <c r="V39" s="6"/>
      <c r="W39" s="6"/>
      <c r="X39" s="6"/>
      <c r="Y39" s="6"/>
    </row>
    <row r="40" spans="1:25" ht="20.100000000000001" customHeight="1" x14ac:dyDescent="0.25">
      <c r="A40" s="27">
        <v>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5"/>
      <c r="N40" s="58">
        <v>13</v>
      </c>
      <c r="O40" s="6"/>
      <c r="P40" s="6"/>
      <c r="Q40" s="6"/>
      <c r="R40" s="6"/>
      <c r="S40" s="6"/>
      <c r="T40" s="39"/>
      <c r="U40" s="6"/>
      <c r="V40" s="6"/>
      <c r="W40" s="6"/>
      <c r="X40" s="6"/>
      <c r="Y40" s="6"/>
    </row>
    <row r="41" spans="1:25" ht="20.100000000000001" customHeight="1" x14ac:dyDescent="0.25">
      <c r="A41" s="27">
        <v>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5"/>
      <c r="N41" s="58">
        <v>14</v>
      </c>
      <c r="O41" s="6"/>
      <c r="P41" s="6"/>
      <c r="Q41" s="6"/>
      <c r="R41" s="6"/>
      <c r="S41" s="6"/>
      <c r="T41" s="39"/>
      <c r="U41" s="6"/>
      <c r="V41" s="6"/>
      <c r="W41" s="6"/>
      <c r="X41" s="6"/>
      <c r="Y41" s="6"/>
    </row>
    <row r="42" spans="1:25" ht="20.100000000000001" customHeight="1" x14ac:dyDescent="0.25">
      <c r="A42" s="53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0"/>
      <c r="P42" s="50"/>
      <c r="Q42" s="50"/>
      <c r="R42" s="50"/>
      <c r="S42" s="50"/>
      <c r="T42" s="51"/>
      <c r="U42" s="50"/>
      <c r="V42" s="50"/>
      <c r="W42" s="50"/>
      <c r="X42" s="50"/>
      <c r="Y42" s="50"/>
    </row>
    <row r="43" spans="1:25" ht="20.100000000000001" customHeight="1" x14ac:dyDescent="0.25">
      <c r="N43" s="60"/>
    </row>
    <row r="44" spans="1:25" ht="20.100000000000001" customHeight="1" x14ac:dyDescent="0.25">
      <c r="A44" s="30" t="s">
        <v>14</v>
      </c>
      <c r="B44" s="48" t="s">
        <v>21</v>
      </c>
      <c r="C44" s="30" t="s">
        <v>135</v>
      </c>
      <c r="D44" s="30" t="s">
        <v>15</v>
      </c>
      <c r="E44" s="30" t="s">
        <v>16</v>
      </c>
      <c r="F44" s="30" t="s">
        <v>52</v>
      </c>
      <c r="G44" s="34" t="s">
        <v>17</v>
      </c>
      <c r="H44" s="34" t="s">
        <v>18</v>
      </c>
      <c r="I44" s="30" t="s">
        <v>29</v>
      </c>
      <c r="J44" s="30" t="s">
        <v>19</v>
      </c>
      <c r="K44" s="30" t="s">
        <v>20</v>
      </c>
      <c r="L44" s="30" t="s">
        <v>22</v>
      </c>
      <c r="N44" s="56" t="s">
        <v>182</v>
      </c>
      <c r="O44" s="56" t="s">
        <v>21</v>
      </c>
      <c r="P44" s="56" t="s">
        <v>17</v>
      </c>
      <c r="Q44" s="56" t="s">
        <v>14</v>
      </c>
      <c r="R44" s="56" t="s">
        <v>128</v>
      </c>
      <c r="S44" s="56" t="s">
        <v>129</v>
      </c>
      <c r="T44" s="56" t="s">
        <v>112</v>
      </c>
      <c r="U44" s="30" t="s">
        <v>130</v>
      </c>
      <c r="V44" s="30" t="s">
        <v>116</v>
      </c>
      <c r="W44" s="56" t="s">
        <v>190</v>
      </c>
      <c r="X44" s="56" t="s">
        <v>191</v>
      </c>
      <c r="Y44" s="56" t="s">
        <v>22</v>
      </c>
    </row>
    <row r="45" spans="1:25" ht="20.100000000000001" customHeight="1" x14ac:dyDescent="0.25">
      <c r="A45" s="27">
        <v>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N45" s="58">
        <v>16</v>
      </c>
      <c r="O45" s="6"/>
      <c r="P45" s="6"/>
      <c r="Q45" s="6"/>
      <c r="R45" s="6"/>
      <c r="S45" s="6"/>
      <c r="T45" s="39"/>
      <c r="U45" s="6"/>
      <c r="V45" s="6"/>
      <c r="W45" s="6"/>
      <c r="X45" s="6"/>
      <c r="Y45" s="6"/>
    </row>
    <row r="46" spans="1:25" ht="20.100000000000001" customHeight="1" x14ac:dyDescent="0.25">
      <c r="A46" s="27">
        <v>7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N46" s="58">
        <v>17</v>
      </c>
      <c r="O46" s="6"/>
      <c r="P46" s="6"/>
      <c r="Q46" s="6"/>
      <c r="R46" s="6"/>
      <c r="S46" s="6"/>
      <c r="T46" s="39"/>
      <c r="U46" s="6"/>
      <c r="V46" s="6"/>
      <c r="W46" s="6"/>
      <c r="X46" s="6"/>
      <c r="Y46" s="6"/>
    </row>
    <row r="47" spans="1:25" ht="20.100000000000001" customHeight="1" x14ac:dyDescent="0.25">
      <c r="A47" s="27">
        <v>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N47" s="58">
        <v>18</v>
      </c>
      <c r="O47" s="6"/>
      <c r="P47" s="6"/>
      <c r="Q47" s="6"/>
      <c r="R47" s="6"/>
      <c r="S47" s="6"/>
      <c r="T47" s="39"/>
      <c r="U47" s="6"/>
      <c r="V47" s="6"/>
      <c r="W47" s="6"/>
      <c r="X47" s="6"/>
      <c r="Y47" s="6"/>
    </row>
    <row r="48" spans="1:25" ht="20.100000000000001" customHeight="1" x14ac:dyDescent="0.25">
      <c r="A48" s="27">
        <v>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N48" s="58">
        <v>19</v>
      </c>
      <c r="O48" s="6"/>
      <c r="P48" s="6"/>
      <c r="Q48" s="6"/>
      <c r="R48" s="6"/>
      <c r="S48" s="6"/>
      <c r="T48" s="39"/>
      <c r="U48" s="6"/>
      <c r="V48" s="6"/>
      <c r="W48" s="6"/>
      <c r="X48" s="6"/>
      <c r="Y48" s="6"/>
    </row>
    <row r="49" spans="1:25" ht="20.100000000000001" customHeight="1" x14ac:dyDescent="0.25">
      <c r="A49" s="53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0"/>
      <c r="P49" s="50"/>
      <c r="Q49" s="50"/>
      <c r="R49" s="50"/>
      <c r="S49" s="50"/>
      <c r="T49" s="51"/>
      <c r="U49" s="50"/>
      <c r="V49" s="50"/>
      <c r="W49" s="50"/>
      <c r="X49" s="50"/>
      <c r="Y49" s="50"/>
    </row>
    <row r="50" spans="1:25" ht="20.100000000000001" customHeight="1" x14ac:dyDescent="0.25">
      <c r="A50" s="48">
        <v>11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N50" s="58">
        <v>21</v>
      </c>
      <c r="O50" s="6"/>
      <c r="P50" s="6"/>
      <c r="Q50" s="6"/>
      <c r="R50" s="6"/>
      <c r="S50" s="6"/>
      <c r="T50" s="39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N51" s="58">
        <v>22</v>
      </c>
      <c r="O51" s="6"/>
      <c r="P51" s="6"/>
      <c r="Q51" s="6"/>
      <c r="R51" s="6"/>
      <c r="S51" s="6"/>
      <c r="T51" s="39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N52" s="58">
        <v>23</v>
      </c>
      <c r="O52" s="6"/>
      <c r="P52" s="6"/>
      <c r="Q52" s="6"/>
      <c r="R52" s="6"/>
      <c r="S52" s="6"/>
      <c r="T52" s="39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N53" s="58">
        <v>24</v>
      </c>
      <c r="O53" s="6"/>
      <c r="P53" s="6"/>
      <c r="Q53" s="6"/>
      <c r="R53" s="6"/>
      <c r="S53" s="6"/>
      <c r="T53" s="39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N54" s="59">
        <v>25</v>
      </c>
      <c r="O54" s="50"/>
      <c r="P54" s="50"/>
      <c r="Q54" s="50"/>
      <c r="R54" s="50"/>
      <c r="S54" s="50"/>
      <c r="T54" s="51"/>
      <c r="U54" s="50"/>
      <c r="V54" s="50"/>
      <c r="W54" s="50"/>
      <c r="X54" s="50"/>
      <c r="Y54" s="50"/>
    </row>
    <row r="55" spans="1:25" ht="20.100000000000001" customHeight="1" x14ac:dyDescent="0.25">
      <c r="A55" s="48">
        <v>16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N55" s="58">
        <v>26</v>
      </c>
      <c r="O55" s="6"/>
      <c r="P55" s="6"/>
      <c r="Q55" s="6"/>
      <c r="R55" s="6"/>
      <c r="S55" s="6"/>
      <c r="T55" s="39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N56" s="58">
        <v>27</v>
      </c>
      <c r="O56" s="6"/>
      <c r="P56" s="6"/>
      <c r="Q56" s="6"/>
      <c r="R56" s="6"/>
      <c r="S56" s="6"/>
      <c r="T56" s="39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N57" s="58">
        <v>28</v>
      </c>
      <c r="O57" s="6"/>
      <c r="P57" s="6"/>
      <c r="Q57" s="6"/>
      <c r="R57" s="6"/>
      <c r="S57" s="6"/>
      <c r="T57" s="39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N58" s="58">
        <v>29</v>
      </c>
      <c r="O58" s="6"/>
      <c r="P58" s="6"/>
      <c r="Q58" s="6"/>
      <c r="R58" s="6"/>
      <c r="S58" s="6"/>
      <c r="T58" s="39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N59" s="59">
        <v>30</v>
      </c>
      <c r="O59" s="50"/>
      <c r="P59" s="50"/>
      <c r="Q59" s="50"/>
      <c r="R59" s="50"/>
      <c r="S59" s="50"/>
      <c r="T59" s="51"/>
      <c r="U59" s="50"/>
      <c r="V59" s="50"/>
      <c r="W59" s="50"/>
      <c r="X59" s="50"/>
      <c r="Y59" s="50"/>
    </row>
    <row r="60" spans="1:25" ht="20.100000000000001" customHeight="1" x14ac:dyDescent="0.25">
      <c r="A60" s="48">
        <v>21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N60" s="61">
        <v>31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20.100000000000001" customHeight="1" x14ac:dyDescent="0.25">
      <c r="A61" s="48">
        <v>22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N61" s="61">
        <v>32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20.100000000000001" customHeight="1" x14ac:dyDescent="0.25">
      <c r="A62" s="48">
        <v>23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N62" s="61">
        <v>33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20.100000000000001" customHeight="1" x14ac:dyDescent="0.25">
      <c r="A63" s="48">
        <v>24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N63" s="61">
        <v>34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20.100000000000001" customHeight="1" x14ac:dyDescent="0.25">
      <c r="A64" s="54">
        <v>25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N64" s="62">
        <v>35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ht="20.100000000000001" customHeight="1" x14ac:dyDescent="0.25">
      <c r="A65" s="48">
        <v>26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N65" s="61">
        <v>36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20.100000000000001" customHeight="1" x14ac:dyDescent="0.25">
      <c r="A66" s="48">
        <v>27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N66" s="61">
        <v>37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20.100000000000001" customHeight="1" x14ac:dyDescent="0.25">
      <c r="A67" s="48">
        <v>28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N67" s="61">
        <v>38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20.100000000000001" customHeight="1" x14ac:dyDescent="0.25">
      <c r="A68" s="48">
        <v>29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N68" s="61">
        <v>39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20.100000000000001" customHeight="1" x14ac:dyDescent="0.25">
      <c r="A69" s="54">
        <v>30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N69" s="62">
        <v>40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 ht="20.100000000000001" customHeight="1" x14ac:dyDescent="0.25">
      <c r="A70" s="48">
        <v>31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N70" s="61">
        <v>41</v>
      </c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20.100000000000001" customHeight="1" x14ac:dyDescent="0.25">
      <c r="A71" s="48">
        <v>32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N71" s="61">
        <v>42</v>
      </c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20.100000000000001" customHeight="1" x14ac:dyDescent="0.25">
      <c r="A72" s="48">
        <v>33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N72" s="61">
        <v>43</v>
      </c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20.100000000000001" customHeight="1" x14ac:dyDescent="0.25">
      <c r="A73" s="48">
        <v>34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N73" s="61">
        <v>44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20.100000000000001" customHeight="1" x14ac:dyDescent="0.25">
      <c r="A74" s="54">
        <v>35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N74" s="62">
        <v>45</v>
      </c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 ht="20.100000000000001" customHeight="1" x14ac:dyDescent="0.25">
      <c r="A75" s="48">
        <v>36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N75" s="61">
        <v>46</v>
      </c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20.100000000000001" customHeight="1" x14ac:dyDescent="0.25">
      <c r="A76" s="48">
        <v>37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N76" s="61">
        <v>47</v>
      </c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20.100000000000001" customHeight="1" x14ac:dyDescent="0.25">
      <c r="A77" s="48">
        <v>38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N77" s="61">
        <v>48</v>
      </c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20.100000000000001" customHeight="1" x14ac:dyDescent="0.25">
      <c r="A78" s="48">
        <v>39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N78" s="61">
        <v>49</v>
      </c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20.100000000000001" customHeight="1" x14ac:dyDescent="0.25">
      <c r="A79" s="54">
        <v>40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N79" s="62">
        <v>50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ht="20.100000000000001" customHeight="1" x14ac:dyDescent="0.25">
      <c r="A80" s="48">
        <v>41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N80" s="61">
        <v>51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20.100000000000001" customHeight="1" x14ac:dyDescent="0.25">
      <c r="A81" s="48">
        <v>42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N81" s="61">
        <v>52</v>
      </c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20.100000000000001" customHeight="1" x14ac:dyDescent="0.25">
      <c r="A82" s="48">
        <v>43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N82" s="61">
        <v>53</v>
      </c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20.100000000000001" customHeight="1" x14ac:dyDescent="0.25">
      <c r="A83" s="48">
        <v>44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N83" s="61">
        <v>54</v>
      </c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20.100000000000001" customHeight="1" x14ac:dyDescent="0.25">
      <c r="A84" s="54">
        <v>45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N84" s="62">
        <v>55</v>
      </c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 ht="20.100000000000001" customHeight="1" x14ac:dyDescent="0.25">
      <c r="A85" s="48">
        <v>46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N85" s="61">
        <v>56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44002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43992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4" t="s">
        <v>163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4" t="s">
        <v>177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5" t="s">
        <v>155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5" t="s">
        <v>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5" t="s">
        <v>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5" t="s">
        <v>150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5" t="s">
        <v>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5" t="s">
        <v>152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5" t="s">
        <v>153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5" t="s">
        <v>174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5" t="s">
        <v>154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194</v>
      </c>
      <c r="T19" s="1"/>
      <c r="V19" s="1"/>
    </row>
    <row r="20" spans="1:23" x14ac:dyDescent="0.25">
      <c r="A20" s="65" t="s">
        <v>156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166</v>
      </c>
      <c r="T20" s="1"/>
      <c r="V20" s="1"/>
    </row>
    <row r="21" spans="1:23" x14ac:dyDescent="0.25">
      <c r="A21" s="65" t="s">
        <v>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167</v>
      </c>
      <c r="T21" s="1"/>
      <c r="V21" s="1"/>
      <c r="W21" s="2"/>
    </row>
    <row r="22" spans="1:23" x14ac:dyDescent="0.25">
      <c r="A22" s="65" t="s">
        <v>158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5" t="s">
        <v>159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6" t="s">
        <v>141</v>
      </c>
      <c r="T23" s="1"/>
      <c r="V23" s="1"/>
      <c r="W23" s="2"/>
    </row>
    <row r="24" spans="1:23" x14ac:dyDescent="0.25">
      <c r="A24" s="65" t="s">
        <v>160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5" t="s">
        <v>161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5" t="s">
        <v>162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5" t="s">
        <v>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5" t="s">
        <v>184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140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7" t="s">
        <v>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7" t="s">
        <v>28</v>
      </c>
      <c r="U30" s="1"/>
      <c r="V30" s="1"/>
    </row>
    <row r="31" spans="1:23" x14ac:dyDescent="0.25">
      <c r="A31" s="5" t="s">
        <v>30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168</v>
      </c>
      <c r="U31" s="1"/>
      <c r="V31" s="1"/>
    </row>
    <row r="32" spans="1:23" x14ac:dyDescent="0.25">
      <c r="A32" s="5" t="s">
        <v>34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7" t="s">
        <v>47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44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169</v>
      </c>
      <c r="U36" s="1"/>
      <c r="V36" s="1"/>
    </row>
    <row r="37" spans="1:22" x14ac:dyDescent="0.25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170</v>
      </c>
      <c r="U37" s="1"/>
      <c r="V37" s="1"/>
    </row>
    <row r="38" spans="1:22" x14ac:dyDescent="0.25">
      <c r="A38" s="5" t="s">
        <v>45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38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7" t="s">
        <v>63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7" t="s">
        <v>26</v>
      </c>
    </row>
    <row r="41" spans="1:22" x14ac:dyDescent="0.25">
      <c r="A41" s="5" t="s">
        <v>44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35</v>
      </c>
    </row>
    <row r="42" spans="1:22" x14ac:dyDescent="0.25">
      <c r="A42" s="5" t="s">
        <v>65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37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171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7" t="s">
        <v>68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7" t="s">
        <v>101</v>
      </c>
    </row>
    <row r="46" spans="1:22" x14ac:dyDescent="0.25">
      <c r="A46" s="5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38</v>
      </c>
    </row>
    <row r="47" spans="1:22" x14ac:dyDescent="0.25">
      <c r="A47" s="5" t="s">
        <v>70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32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172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183</v>
      </c>
    </row>
    <row r="50" spans="1:20" x14ac:dyDescent="0.25">
      <c r="A50" s="67" t="s">
        <v>61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6" t="s">
        <v>173</v>
      </c>
    </row>
    <row r="53" spans="1:20" x14ac:dyDescent="0.25">
      <c r="A53" s="5" t="s">
        <v>67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31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23</v>
      </c>
    </row>
    <row r="55" spans="1:20" x14ac:dyDescent="0.25">
      <c r="A55" s="66" t="s">
        <v>62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7" t="s">
        <v>27</v>
      </c>
    </row>
    <row r="57" spans="1:20" x14ac:dyDescent="0.25">
      <c r="A57" s="64" t="s">
        <v>177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36</v>
      </c>
      <c r="O57" s="1"/>
      <c r="P57" s="1"/>
      <c r="Q57" s="1"/>
      <c r="R57" s="1"/>
      <c r="S57" s="1"/>
      <c r="T57" s="1"/>
    </row>
    <row r="58" spans="1:20" x14ac:dyDescent="0.25">
      <c r="A58" s="65" t="s">
        <v>155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33</v>
      </c>
    </row>
    <row r="59" spans="1:20" x14ac:dyDescent="0.25">
      <c r="A59" s="65" t="s">
        <v>148</v>
      </c>
    </row>
    <row r="60" spans="1:20" x14ac:dyDescent="0.25">
      <c r="A60" s="65" t="s">
        <v>149</v>
      </c>
      <c r="O60" s="1"/>
      <c r="Q60" s="1"/>
      <c r="R60" s="3"/>
      <c r="S60" s="1"/>
    </row>
    <row r="61" spans="1:20" x14ac:dyDescent="0.25">
      <c r="A61" s="65" t="s">
        <v>150</v>
      </c>
      <c r="O61" s="1"/>
      <c r="Q61" s="1"/>
      <c r="R61" s="1"/>
      <c r="S61" s="1"/>
    </row>
    <row r="62" spans="1:20" x14ac:dyDescent="0.25">
      <c r="A62" s="65" t="s">
        <v>151</v>
      </c>
      <c r="O62" s="1"/>
      <c r="Q62" s="1"/>
      <c r="R62" s="1"/>
      <c r="S62" s="1"/>
    </row>
    <row r="63" spans="1:20" x14ac:dyDescent="0.25">
      <c r="A63" s="65" t="s">
        <v>152</v>
      </c>
      <c r="O63" s="1"/>
      <c r="Q63" s="1"/>
      <c r="R63" s="1"/>
      <c r="S63" s="1"/>
      <c r="T63" s="1"/>
    </row>
    <row r="64" spans="1:20" x14ac:dyDescent="0.25">
      <c r="A64" s="65" t="s">
        <v>153</v>
      </c>
      <c r="O64" s="1"/>
      <c r="Q64" s="1"/>
      <c r="R64" s="1"/>
      <c r="S64" s="1"/>
      <c r="T64" s="1"/>
    </row>
    <row r="65" spans="1:20" x14ac:dyDescent="0.25">
      <c r="A65" s="6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B9107CB-FCAF-4FB3-B52F-2C56C93579DA}"/>
</file>

<file path=customXml/itemProps2.xml><?xml version="1.0" encoding="utf-8"?>
<ds:datastoreItem xmlns:ds="http://schemas.openxmlformats.org/officeDocument/2006/customXml" ds:itemID="{41DDF95B-9AB8-4AB6-BC61-48077D49FAF4}"/>
</file>

<file path=customXml/itemProps3.xml><?xml version="1.0" encoding="utf-8"?>
<ds:datastoreItem xmlns:ds="http://schemas.openxmlformats.org/officeDocument/2006/customXml" ds:itemID="{ECA2F063-3143-49E8-9477-4ECD989A9F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2020-05-05T03:45:52Z</cp:lastPrinted>
  <dcterms:created xsi:type="dcterms:W3CDTF">2019-11-27T23:28:06Z</dcterms:created>
  <dcterms:modified xsi:type="dcterms:W3CDTF">2020-05-20T03:43:49Z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