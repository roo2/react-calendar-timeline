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F13CC9B-03CE-431D-8FEF-CC6616331B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<sst xmlns="http://schemas.openxmlformats.org/spreadsheetml/2006/main" count="304" uniqueCount="201">
  <si>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</si>
  <si>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</si>
  <si>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</si>
  <si>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</si>
  <si>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</si>
  <si>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</si>
  <si>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</si>
  <si>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</si>
  <si>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</si>
  <si>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</si>
  <si>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</si>
  <si>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</si>
  <si>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</si>
  <si>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</si>
  <si>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</si>
  <si>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</si>
  <si>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</si>
  <si>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</si>
  <si>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</si>
  <si>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</si>
  <si>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</si>
  <si>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</si>
  <si>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</si>
  <si>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</si>
  <si>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</si>
  <si>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</si>
  <si>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</si>
  <si>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</si>
  <si>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</si>
  <si>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</si>
  <si>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</si>
  <si>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</si>
  <si>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</si>
  <si>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</si>
  <si>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</si>
  <si>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</si>
  <si>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</si>
  <si>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</si>
  <si>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</si>
  <si>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</si>
  <si>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</si>
  <si>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</si>
  <si>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</si>
  <si>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</si>
  <si>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</si>
  <si>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</si>
  <si>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</si>
  <si>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</si>
  <si>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</si>
  <si>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</si>
  <si>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</si>
  <si>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</si>
  <si>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</si>
  <si>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</si>
  <si>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</si>
  <si>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</si>
  <si>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</si>
  <si>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</si>
  <si>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</si>
  <si>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</si>
  <si>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</si>
  <si>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</si>
  <si>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</si>
  <si>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</si>
  <si>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</si>
  <si>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</si>
  <si>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</si>
  <si>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</si>
  <si>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</si>
  <si>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</si>
  <si>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</si>
  <si>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</si>
  <si>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</si>
  <si>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</si>
  <si>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</si>
  <si>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</si>
  <si>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</si>
  <si>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</si>
  <si>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</si>
  <si>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</si>
  <si>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</si>
  <si>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</si>
  <si>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</si>
  <si>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</si>
  <si>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</si>
  <si>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</si>
  <si>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</si>
  <si>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</si>
  <si>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</si>
  <si>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</si>
  <si>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</si>
  <si>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</si>
  <si>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</si>
  <si>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</si>
  <si>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</si>
  <si>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</si>
  <si>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</si>
  <si>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</si>
  <si>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</si>
  <si>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</si>
  <si>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</si>
  <si>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</si>
  <si>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</si>
  <si>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</si>
  <si>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</si>
  <si>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</si>
  <si>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</si>
  <si>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</si>
  <si>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</si>
  <si>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</si>
  <si>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</si>
  <si>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</si>
  <si>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</si>
  <si>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</si>
  <si>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</si>
  <si>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</si>
  <si>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</si>
  <si>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</si>
  <si>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</si>
  <si>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</si>
  <si>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</si>
  <si>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</si>
  <si>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</si>
  <si>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</si>
  <si>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</si>
  <si>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</si>
  <si>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</si>
  <si>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</si>
  <si>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</si>
  <si>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</si>
  <si>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</si>
  <si>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</si>
  <si>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</si>
  <si>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</si>
  <si>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</si>
  <si>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</si>
  <si>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</si>
  <si>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</si>
  <si>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</si>
  <si>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</si>
  <si>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</si>
  <si>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</si>
  <si>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</si>
  <si>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</si>
  <si>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</si>
  <si>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</si>
  <si>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</si>
  <si>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</si>
  <si>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</si>
  <si>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</si>
  <si>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</si>
  <si>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</si>
  <si>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</si>
  <si>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</si>
  <si>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</si>
  <si>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</si>
  <si>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</si>
  <si>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</si>
  <si>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</si>
  <si>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</si>
  <si>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</si>
  <si>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</si>
  <si>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</si>
  <si>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</si>
  <si>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</si>
  <si>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</si>
  <si>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</si>
  <si>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</si>
  <si>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</si>
  <si>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</si>
  <si>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</si>
  <si>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</si>
  <si>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</si>
  <si>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</si>
  <si>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</si>
  <si>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</si>
  <si>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</si>
  <si>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</si>
  <si>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</si>
  <si>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</si>
  <si>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</si>
  <si>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</si>
  <si>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</si>
  <si>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</si>
  <si>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</si>
  <si>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</si>
  <si>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</si>
  <si>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</si>
  <si>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</si>
  <si>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</si>
  <si>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</si>
  <si>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</si>
  <si>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</si>
  <si>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</si>
  <si>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BEANS GALORE</t>
  </si>
  <si>
    <t>ARVOR</t>
  </si>
  <si>
    <t>40 + D/SEAL</t>
  </si>
  <si>
    <t>DOUBLE SEAL</t>
  </si>
  <si>
    <t>NOT OVER</t>
  </si>
  <si>
    <t xml:space="preserve"> +/- 10mm</t>
  </si>
  <si>
    <t>(495+295)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</si>
</sst>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6" t="str">
        <f>O9&amp;R9&amp;IF(X8="G","G","")&amp;IF(O8="Centrefold Roll","("&amp;E8&amp;")","")&amp;T9&amp;V9&amp;C22&amp;C23&amp;C24&amp;O11&amp;R11</f>
        <v>PB790G150040</v>
      </c>
      <c r="C1" s="126"/>
      <c r="D1" s="127"/>
      <c r="E1" s="12" t="s">
        <v>57</v>
      </c>
      <c r="F1" s="137" t="s">
        <v>194</v>
      </c>
      <c r="G1" s="138"/>
      <c r="H1" s="139"/>
      <c r="I1" s="13" t="s">
        <v>181</v>
      </c>
      <c r="J1" s="140">
        <f ca="1">TODAY()</f>
        <v>44407</v>
      </c>
      <c r="K1" s="140"/>
      <c r="L1" s="141"/>
      <c r="M1" s="34"/>
      <c r="N1" s="12" t="s">
        <v>56</v>
      </c>
      <c r="O1" s="126" t="str">
        <f>B1</f>
        <v>PB790G150040</v>
      </c>
      <c r="P1" s="126"/>
      <c r="Q1" s="127"/>
      <c r="R1" s="12" t="s">
        <v>57</v>
      </c>
      <c r="S1" s="126" t="str">
        <f>F1</f>
        <v>BEANS GALORE</v>
      </c>
      <c r="T1" s="126"/>
      <c r="U1" s="127"/>
      <c r="V1" s="12" t="s">
        <v>181</v>
      </c>
      <c r="W1" s="140">
        <f ca="1">J1</f>
        <v>44407</v>
      </c>
      <c r="X1" s="140"/>
      <c r="Y1" s="141"/>
    </row>
    <row r="2" spans="1:28" ht="20.100000000000001" customHeight="1" x14ac:dyDescent="0.25">
      <c r="A2" s="12" t="s">
        <v>100</v>
      </c>
      <c r="B2" s="126" t="str">
        <f>IF(U10="","",U10)</f>
        <v/>
      </c>
      <c r="C2" s="126"/>
      <c r="D2" s="127"/>
      <c r="E2" s="12" t="s">
        <v>58</v>
      </c>
      <c r="F2" s="74">
        <v>940916</v>
      </c>
      <c r="G2" s="74"/>
      <c r="H2" s="75"/>
      <c r="I2" s="12" t="s">
        <v>59</v>
      </c>
      <c r="J2" s="143">
        <v>44438</v>
      </c>
      <c r="K2" s="74"/>
      <c r="L2" s="75"/>
      <c r="M2" s="34"/>
      <c r="N2" s="12" t="s">
        <v>100</v>
      </c>
      <c r="O2" s="126" t="str">
        <f>IF(B2="","",B2)</f>
        <v/>
      </c>
      <c r="P2" s="126"/>
      <c r="Q2" s="127"/>
      <c r="R2" s="12" t="s">
        <v>58</v>
      </c>
      <c r="S2" s="126">
        <f>IF(F2="","",F2)</f>
        <v>940916</v>
      </c>
      <c r="T2" s="126"/>
      <c r="U2" s="127"/>
      <c r="V2" s="12" t="s">
        <v>59</v>
      </c>
      <c r="W2" s="142">
        <f>J2</f>
        <v>44438</v>
      </c>
      <c r="X2" s="126"/>
      <c r="Y2" s="127"/>
    </row>
    <row r="3" spans="1:28" ht="20.100000000000001" customHeight="1" x14ac:dyDescent="0.25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34"/>
      <c r="N3" s="128">
        <f>A3</f>
        <v>0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8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34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8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34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8" ht="20.100000000000001" customHeight="1" x14ac:dyDescent="0.25">
      <c r="A6" s="145" t="s">
        <v>2</v>
      </c>
      <c r="B6" s="146"/>
      <c r="C6" s="146"/>
      <c r="D6" s="146"/>
      <c r="E6" s="146"/>
      <c r="F6" s="146"/>
      <c r="G6" s="146"/>
      <c r="H6" s="146"/>
      <c r="I6" s="146"/>
      <c r="J6" s="82"/>
      <c r="K6" s="82"/>
      <c r="L6" s="83"/>
      <c r="M6" s="34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49</v>
      </c>
      <c r="B7" s="118" t="s">
        <v>163</v>
      </c>
      <c r="C7" s="118"/>
      <c r="D7" s="118"/>
      <c r="E7" s="118"/>
      <c r="F7" s="118"/>
      <c r="G7" s="118"/>
      <c r="H7" s="118"/>
      <c r="I7" s="119"/>
      <c r="J7" s="79" t="s">
        <v>179</v>
      </c>
      <c r="K7" s="79"/>
      <c r="L7" s="80"/>
      <c r="M7" s="34"/>
      <c r="N7" s="12" t="str">
        <f>IF(ISNUMBER(SEARCH("roll",O8,1)),"No. Rolls","No. Cartons")</f>
        <v>No. Cartons</v>
      </c>
      <c r="O7" s="74">
        <v>8</v>
      </c>
      <c r="P7" s="75"/>
      <c r="Q7" s="12" t="str">
        <f>IF(ISNUMBER(SEARCH("roll",O8,1)),"Per Roll","Per Carton")</f>
        <v>Per Carton</v>
      </c>
      <c r="R7" s="74">
        <v>100</v>
      </c>
      <c r="S7" s="75"/>
      <c r="T7" s="12" t="str">
        <f>IF(ISNUMBER(SEARCH("bag",O8,1)),"Total Bags","Total Sheets")</f>
        <v>Total Bags</v>
      </c>
      <c r="U7" s="126">
        <f>R7*O7</f>
        <v>800</v>
      </c>
      <c r="V7" s="127"/>
      <c r="W7" s="12" t="s">
        <v>102</v>
      </c>
      <c r="X7" s="74" t="s">
        <v>23</v>
      </c>
      <c r="Y7" s="75"/>
      <c r="AB7" s="14"/>
    </row>
    <row r="8" spans="1:28" ht="20.100000000000001" customHeight="1" x14ac:dyDescent="0.25">
      <c r="A8" s="15" t="s">
        <v>16</v>
      </c>
      <c r="B8" s="114">
        <f>R9</f>
        <v>790</v>
      </c>
      <c r="C8" s="115"/>
      <c r="D8" s="32" t="str">
        <f>IF(ISNUMBER(SEARCH("bag",O8,1)),"Gusset","Centrefold")</f>
        <v>Gusset</v>
      </c>
      <c r="E8" s="114" t="str">
        <f>IF(O8="Centrefold Roll",B8*2,IF(X9="","None",X9))</f>
        <v>(495+295)</v>
      </c>
      <c r="F8" s="115"/>
      <c r="G8" s="15" t="s">
        <v>52</v>
      </c>
      <c r="H8" s="114">
        <f>(IF(V9&lt;30,"30",V9))</f>
        <v>40</v>
      </c>
      <c r="I8" s="115"/>
      <c r="J8" s="12" t="s">
        <v>54</v>
      </c>
      <c r="K8" s="126" t="str">
        <f>IF(X8="None","Layflat Tube",IF(X8="","Layflat Tube",IF(X8="CF","Layflat Tube",IF(X8="G","Gusset Tube",IF(X9="","Layflat Tube",)))))</f>
        <v>Gusset Tube</v>
      </c>
      <c r="L8" s="127"/>
      <c r="M8" s="34"/>
      <c r="N8" s="16" t="s">
        <v>54</v>
      </c>
      <c r="O8" s="116" t="s">
        <v>164</v>
      </c>
      <c r="P8" s="117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13"/>
    </row>
    <row r="9" spans="1:28" ht="20.100000000000001" customHeight="1" x14ac:dyDescent="0.3">
      <c r="A9" s="18" t="s">
        <v>48</v>
      </c>
      <c r="B9" s="147" t="s">
        <v>199</v>
      </c>
      <c r="C9" s="148"/>
      <c r="D9" s="155" t="str">
        <f>IF(K10="Middle","RUN 2 UP",IF(AND(O8="Centrefold Roll",B8=380),"RUN 2 UP",""))</f>
        <v/>
      </c>
      <c r="E9" s="118"/>
      <c r="F9" s="119"/>
      <c r="G9" s="18" t="s">
        <v>48</v>
      </c>
      <c r="H9" s="147" t="s">
        <v>198</v>
      </c>
      <c r="I9" s="148"/>
      <c r="J9" s="12" t="s">
        <v>55</v>
      </c>
      <c r="K9" s="74" t="s">
        <v>30</v>
      </c>
      <c r="L9" s="75"/>
      <c r="M9" s="34"/>
      <c r="N9" s="19"/>
      <c r="O9" s="120" t="str">
        <f>IF(O8="Poly Bag","PB",IF(O8="Poly Bag Roll","PBR",IF(O8="Centrefold Roll","CFR",IF(O8="Sheet","S",IF(O8="Sheet Roll","SR")))))</f>
        <v>PB</v>
      </c>
      <c r="P9" s="121"/>
      <c r="Q9" s="19"/>
      <c r="R9" s="35">
        <v>790</v>
      </c>
      <c r="S9" s="20" t="s">
        <v>78</v>
      </c>
      <c r="T9" s="70">
        <v>1500</v>
      </c>
      <c r="U9" s="20" t="s">
        <v>78</v>
      </c>
      <c r="V9" s="35">
        <v>40</v>
      </c>
      <c r="W9" s="19"/>
      <c r="X9" s="100" t="s">
        <v>200</v>
      </c>
      <c r="Y9" s="101"/>
    </row>
    <row r="10" spans="1:28" ht="20.100000000000001" customHeight="1" x14ac:dyDescent="0.25">
      <c r="A10" s="12" t="s">
        <v>51</v>
      </c>
      <c r="B10" s="74">
        <v>2</v>
      </c>
      <c r="C10" s="75"/>
      <c r="D10" s="54" t="s">
        <v>134</v>
      </c>
      <c r="E10" s="149">
        <f>IF(ISNUMBER(SEARCH("sheet",O8,1)),((R9*T9*H8/540000)*U7/2000*1.3),((R9*T9*H8/540000)*U7/1000*1.08))</f>
        <v>75.84</v>
      </c>
      <c r="F10" s="150"/>
      <c r="G10" s="12" t="s">
        <v>53</v>
      </c>
      <c r="H10" s="153">
        <f>IF(ISNUMBER(SEARCH("sheet",O8,1)),(U7*T9/2000*1.08),(U7*T9/1000*1.08))</f>
        <v>1296</v>
      </c>
      <c r="I10" s="154"/>
      <c r="J10" s="12" t="s">
        <v>41</v>
      </c>
      <c r="K10" s="74" t="s">
        <v>44</v>
      </c>
      <c r="L10" s="75"/>
      <c r="M10" s="34"/>
      <c r="N10" s="21" t="s">
        <v>141</v>
      </c>
      <c r="O10" s="116" t="s">
        <v>44</v>
      </c>
      <c r="P10" s="117"/>
      <c r="Q10" s="16" t="s">
        <v>50</v>
      </c>
      <c r="R10" s="112" t="str">
        <f>IF(K11="NONE","None",IF(K11="INLINE","Yes",IF(K11="OUT OF LINE","Yes")))</f>
        <v>None</v>
      </c>
      <c r="S10" s="112"/>
      <c r="T10" s="16" t="s">
        <v>100</v>
      </c>
      <c r="U10" s="122"/>
      <c r="V10" s="122"/>
      <c r="W10" s="122"/>
      <c r="X10" s="122"/>
      <c r="Y10" s="123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6" t="str">
        <f>IF(AND(O8="Centrefold Roll",D9="RUN 2 UP"),B10*2,IF(ISNUMBER(SEARCH("sheet",O8,1)),B10*2,""))</f>
        <v/>
      </c>
      <c r="C11" s="127"/>
      <c r="D11" s="12" t="s">
        <v>135</v>
      </c>
      <c r="E11" s="151">
        <f>E10/B10</f>
        <v>37.92</v>
      </c>
      <c r="F11" s="152"/>
      <c r="G11" s="12" t="s">
        <v>15</v>
      </c>
      <c r="H11" s="151">
        <f>H10/B10</f>
        <v>648</v>
      </c>
      <c r="I11" s="152"/>
      <c r="J11" s="12" t="s">
        <v>50</v>
      </c>
      <c r="K11" s="74" t="s">
        <v>44</v>
      </c>
      <c r="L11" s="75"/>
      <c r="M11" s="34"/>
      <c r="N11" s="15"/>
      <c r="O11" s="114" t="str">
        <f>IF(O10="NONE","","V")</f>
        <v/>
      </c>
      <c r="P11" s="115"/>
      <c r="Q11" s="15"/>
      <c r="R11" s="114" t="str">
        <f>IF(R10="None","","P")</f>
        <v/>
      </c>
      <c r="S11" s="115"/>
      <c r="T11" s="15"/>
      <c r="U11" s="124"/>
      <c r="V11" s="124"/>
      <c r="W11" s="124"/>
      <c r="X11" s="124"/>
      <c r="Y11" s="125"/>
    </row>
    <row r="12" spans="1:28" ht="20.100000000000001" customHeight="1" x14ac:dyDescent="0.25">
      <c r="A12" s="144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4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68</v>
      </c>
      <c r="B13" s="74" t="s">
        <v>44</v>
      </c>
      <c r="C13" s="74"/>
      <c r="D13" s="75"/>
      <c r="E13" s="22" t="s">
        <v>61</v>
      </c>
      <c r="F13" s="74" t="s">
        <v>44</v>
      </c>
      <c r="G13" s="74"/>
      <c r="H13" s="75"/>
      <c r="I13" s="23" t="s">
        <v>62</v>
      </c>
      <c r="J13" s="74" t="s">
        <v>44</v>
      </c>
      <c r="K13" s="74"/>
      <c r="L13" s="75"/>
      <c r="M13" s="34"/>
      <c r="N13" s="12" t="s">
        <v>72</v>
      </c>
      <c r="O13" s="36" t="s">
        <v>77</v>
      </c>
      <c r="P13" s="12" t="s">
        <v>73</v>
      </c>
      <c r="Q13" s="24">
        <f>O7</f>
        <v>8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9"/>
      <c r="M14" s="34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4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142</v>
      </c>
      <c r="D16" s="80"/>
      <c r="E16" s="168" t="s">
        <v>4</v>
      </c>
      <c r="F16" s="168"/>
      <c r="G16" s="168" t="s">
        <v>5</v>
      </c>
      <c r="H16" s="168"/>
      <c r="I16" s="79" t="s">
        <v>11</v>
      </c>
      <c r="J16" s="80"/>
      <c r="K16" s="79" t="s">
        <v>12</v>
      </c>
      <c r="L16" s="80"/>
      <c r="M16" s="34"/>
      <c r="N16" s="12" t="s">
        <v>28</v>
      </c>
      <c r="O16" s="74">
        <v>110</v>
      </c>
      <c r="P16" s="75"/>
      <c r="Q16" s="12" t="s">
        <v>105</v>
      </c>
      <c r="R16" s="74" t="s">
        <v>23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73" t="s">
        <v>6</v>
      </c>
      <c r="B17" s="73"/>
      <c r="C17" s="109" t="s">
        <v>147</v>
      </c>
      <c r="D17" s="110"/>
      <c r="E17" s="103"/>
      <c r="F17" s="77"/>
      <c r="G17" s="56" t="s">
        <v>81</v>
      </c>
      <c r="H17" s="37"/>
      <c r="I17" s="71"/>
      <c r="J17" s="72"/>
      <c r="K17" s="71"/>
      <c r="L17" s="72"/>
      <c r="M17" s="34"/>
      <c r="N17" s="12" t="s">
        <v>26</v>
      </c>
      <c r="O17" s="74" t="s">
        <v>37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31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100000000000001" customHeight="1" x14ac:dyDescent="0.25">
      <c r="A18" s="73" t="s">
        <v>7</v>
      </c>
      <c r="B18" s="73"/>
      <c r="C18" s="109" t="s">
        <v>146</v>
      </c>
      <c r="D18" s="110"/>
      <c r="E18" s="103"/>
      <c r="F18" s="77"/>
      <c r="G18" s="56" t="s">
        <v>82</v>
      </c>
      <c r="H18" s="37"/>
      <c r="I18" s="71"/>
      <c r="J18" s="72"/>
      <c r="K18" s="71"/>
      <c r="L18" s="72"/>
      <c r="M18" s="34"/>
      <c r="N18" s="12" t="s">
        <v>101</v>
      </c>
      <c r="O18" s="74" t="s">
        <v>38</v>
      </c>
      <c r="P18" s="75"/>
      <c r="Q18" s="12" t="s">
        <v>106</v>
      </c>
      <c r="R18" s="74" t="s">
        <v>31</v>
      </c>
      <c r="S18" s="75"/>
      <c r="T18" s="25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100000000000001" customHeight="1" x14ac:dyDescent="0.25">
      <c r="A19" s="73" t="s">
        <v>8</v>
      </c>
      <c r="B19" s="73"/>
      <c r="C19" s="109" t="s">
        <v>145</v>
      </c>
      <c r="D19" s="110"/>
      <c r="E19" s="103"/>
      <c r="F19" s="77"/>
      <c r="G19" s="56" t="s">
        <v>83</v>
      </c>
      <c r="H19" s="37"/>
      <c r="I19" s="71"/>
      <c r="J19" s="72"/>
      <c r="K19" s="71"/>
      <c r="L19" s="72"/>
      <c r="M19" s="34"/>
      <c r="N19" s="87" t="s">
        <v>197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73" t="s">
        <v>9</v>
      </c>
      <c r="B20" s="73"/>
      <c r="C20" s="109" t="s">
        <v>144</v>
      </c>
      <c r="D20" s="110"/>
      <c r="E20" s="103"/>
      <c r="F20" s="77"/>
      <c r="G20" s="56" t="s">
        <v>84</v>
      </c>
      <c r="H20" s="37"/>
      <c r="I20" s="71"/>
      <c r="J20" s="72"/>
      <c r="K20" s="71"/>
      <c r="L20" s="72"/>
      <c r="M20" s="34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25">
      <c r="A21" s="73" t="s">
        <v>10</v>
      </c>
      <c r="B21" s="73"/>
      <c r="C21" s="109" t="s">
        <v>143</v>
      </c>
      <c r="D21" s="110"/>
      <c r="E21" s="103"/>
      <c r="F21" s="77"/>
      <c r="G21" s="56" t="s">
        <v>85</v>
      </c>
      <c r="H21" s="37"/>
      <c r="I21" s="71"/>
      <c r="J21" s="72"/>
      <c r="K21" s="71"/>
      <c r="L21" s="72"/>
      <c r="M21" s="34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25">
      <c r="A22" s="73" t="str">
        <f>(IF(B7="NATURAL","",B7))</f>
        <v/>
      </c>
      <c r="B22" s="73"/>
      <c r="C22" s="10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10"/>
      <c r="E22" s="111"/>
      <c r="F22" s="77"/>
      <c r="G22" s="56" t="s">
        <v>86</v>
      </c>
      <c r="H22" s="37"/>
      <c r="I22" s="71"/>
      <c r="J22" s="72"/>
      <c r="K22" s="71"/>
      <c r="L22" s="72"/>
      <c r="M22" s="34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25">
      <c r="A23" s="169"/>
      <c r="B23" s="169"/>
      <c r="C23" s="10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10"/>
      <c r="E23" s="103"/>
      <c r="F23" s="77"/>
      <c r="G23" s="56" t="s">
        <v>87</v>
      </c>
      <c r="H23" s="37"/>
      <c r="I23" s="71"/>
      <c r="J23" s="72"/>
      <c r="K23" s="71"/>
      <c r="L23" s="72"/>
      <c r="M23" s="34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70"/>
      <c r="B24" s="171"/>
      <c r="C24" s="10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0"/>
      <c r="E24" s="103"/>
      <c r="F24" s="77"/>
      <c r="G24" s="56" t="s">
        <v>88</v>
      </c>
      <c r="H24" s="37"/>
      <c r="I24" s="71"/>
      <c r="J24" s="72"/>
      <c r="K24" s="71"/>
      <c r="L24" s="72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4"/>
      <c r="N25" s="26" t="s">
        <v>96</v>
      </c>
      <c r="O25" s="10" t="s">
        <v>195</v>
      </c>
      <c r="P25" s="39"/>
      <c r="Q25" s="10">
        <v>15</v>
      </c>
      <c r="R25" s="10"/>
      <c r="S25" s="10"/>
      <c r="T25" s="10"/>
      <c r="U25" s="10"/>
      <c r="V25" s="10"/>
      <c r="W25" s="10"/>
      <c r="X25" s="10" t="s">
        <v>196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8" t="s">
        <v>132</v>
      </c>
      <c r="H26" s="108"/>
      <c r="I26" s="108" t="s">
        <v>131</v>
      </c>
      <c r="J26" s="108"/>
      <c r="K26" s="28" t="s">
        <v>94</v>
      </c>
      <c r="L26" s="28" t="s">
        <v>95</v>
      </c>
      <c r="M26" s="34"/>
      <c r="N26" s="104" t="s">
        <v>137</v>
      </c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7"/>
      <c r="H27" s="107"/>
      <c r="I27" s="107"/>
      <c r="J27" s="107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7"/>
      <c r="H28" s="107"/>
      <c r="I28" s="107"/>
      <c r="J28" s="107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6" t="s">
        <v>116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5" t="s">
        <v>136</v>
      </c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7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44438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44428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9657544-F7EB-45B5-8E15-533E16F26828}"/>
</file>

<file path=customXml/itemProps2.xml><?xml version="1.0" encoding="utf-8"?>
<ds:datastoreItem xmlns:ds="http://schemas.openxmlformats.org/officeDocument/2006/customXml" ds:itemID="{350217A6-135C-45F4-B7C9-FE7C826F2180}"/>
</file>

<file path=customXml/itemProps3.xml><?xml version="1.0" encoding="utf-8"?>
<ds:datastoreItem xmlns:ds="http://schemas.openxmlformats.org/officeDocument/2006/customXml" ds:itemID="{9D79C34A-BED7-402E-A13D-F7C174158F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2021-07-30T02:53:51Z</cp:lastPrinted>
  <dcterms:created xsi:type="dcterms:W3CDTF">2019-11-27T23:28:06Z</dcterms:created>
  <dcterms:modified xsi:type="dcterms:W3CDTF">2021-07-30T03:06:16Z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