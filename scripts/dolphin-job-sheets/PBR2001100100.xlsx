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E8806DB-3133-4A1E-88CE-0A1EA20165ED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8" i="1" l="1"/>
  <c r="N3" i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D9" i="1" l="1"/>
  <c r="B11" i="1" s="1"/>
  <c r="S2" i="1"/>
  <c r="O2" i="1"/>
  <c r="A22" i="1" l="1"/>
  <c r="C22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<sst xmlns="http://schemas.openxmlformats.org/spreadsheetml/2006/main" count="302" uniqueCount="200">
  <si>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</si>
  <si>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</si>
  <si>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</si>
  <si>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</si>
  <si>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</si>
  <si>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</si>
  <si>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</si>
  <si>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</si>
  <si>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</si>
  <si>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</si>
  <si>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</si>
  <si>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</si>
  <si>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</si>
  <si>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</si>
  <si>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</si>
  <si>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</si>
  <si>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</si>
  <si>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</si>
  <si>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</si>
  <si>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</si>
  <si>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</si>
  <si>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</si>
  <si>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</si>
  <si>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</si>
  <si>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</si>
  <si>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</si>
  <si>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</si>
  <si>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</si>
  <si>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</si>
  <si>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</si>
  <si>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</si>
  <si>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</si>
  <si>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</si>
  <si>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</si>
  <si>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</si>
  <si>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</si>
  <si>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</si>
  <si>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</si>
  <si>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</si>
  <si>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</si>
  <si>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</si>
  <si>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</si>
  <si>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</si>
  <si>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</si>
  <si>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</si>
  <si>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</si>
  <si>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</si>
  <si>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</si>
  <si>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</si>
  <si>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</si>
  <si>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</si>
  <si>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</si>
  <si>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</si>
  <si>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</si>
  <si>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</si>
  <si>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</si>
  <si>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</si>
  <si>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</si>
  <si>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</si>
  <si>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</si>
  <si>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</si>
  <si>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</si>
  <si>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</si>
  <si>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</si>
  <si>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</si>
  <si>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</si>
  <si>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</si>
  <si>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</si>
  <si>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</si>
  <si>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</si>
  <si>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</si>
  <si>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</si>
  <si>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</si>
  <si>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</si>
  <si>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</si>
  <si>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</si>
  <si>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</si>
  <si>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</si>
  <si>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</si>
  <si>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</si>
  <si>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</si>
  <si>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</si>
  <si>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</si>
  <si>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</si>
  <si>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</si>
  <si>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</si>
  <si>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</si>
  <si>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</si>
  <si>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</si>
  <si>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</si>
  <si>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</si>
  <si>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</si>
  <si>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</si>
  <si>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</si>
  <si>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</si>
  <si>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</si>
  <si>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</si>
  <si>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</si>
  <si>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</si>
  <si>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</si>
  <si>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</si>
  <si>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</si>
  <si>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</si>
  <si>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</si>
  <si>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</si>
  <si>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</si>
  <si>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</si>
  <si>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</si>
  <si>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</si>
  <si>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</si>
  <si>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</si>
  <si>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</si>
  <si>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</si>
  <si>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</si>
  <si>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</si>
  <si>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</si>
  <si>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</si>
  <si>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</si>
  <si>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</si>
  <si>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</si>
  <si>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</si>
  <si>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</si>
  <si>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</si>
  <si>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</si>
  <si>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</si>
  <si>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</si>
  <si>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</si>
  <si>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</si>
  <si>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</si>
  <si>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</si>
  <si>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</si>
  <si>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</si>
  <si>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</si>
  <si>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</si>
  <si>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</si>
  <si>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</si>
  <si>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</si>
  <si>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</si>
  <si>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</si>
  <si>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</si>
  <si>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</si>
  <si>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</si>
  <si>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</si>
  <si>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</si>
  <si>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</si>
  <si>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</si>
  <si>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</si>
  <si>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</si>
  <si>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</si>
  <si>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</si>
  <si>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</si>
  <si>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</si>
  <si>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</si>
  <si>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</si>
  <si>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</si>
  <si>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</si>
  <si>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</si>
  <si>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</si>
  <si>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</si>
  <si>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</si>
  <si>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</si>
  <si>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</si>
  <si>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</si>
  <si>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</si>
  <si>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</si>
  <si>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</si>
  <si>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</si>
  <si>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</si>
  <si>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</si>
  <si>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</si>
  <si>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</si>
  <si>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</si>
  <si>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</si>
  <si>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</si>
  <si>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</si>
  <si>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</si>
  <si>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</si>
  <si>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</si>
  <si>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</si>
  <si>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</si>
  <si>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</si>
  <si>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</si>
  <si>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</si>
  <si>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</si>
  <si>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</si>
  <si>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</si>
  <si>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</si>
  <si>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</si>
  <si>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</si>
  <si>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</si>
  <si>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</si>
  <si>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</si>
  <si>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</si>
  <si>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</si>
  <si>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BLACK TINT</t>
  </si>
  <si>
    <t xml:space="preserve"> +/- 5mm</t>
  </si>
  <si>
    <t>GEN FAB</t>
  </si>
  <si>
    <t>NOT UNDER</t>
  </si>
  <si>
    <t>PBR2001150100</t>
  </si>
  <si>
    <t>LABELS MUST READ 100UM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</si>
</sst>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6" fillId="5" borderId="2" xfId="0" applyNumberFormat="1" applyFont="1" applyFill="1" applyBorder="1" applyAlignment="1" applyProtection="1">
      <alignment horizontal="center"/>
      <protection locked="0"/>
    </xf>
    <xf numFmtId="14" fontId="16" fillId="5" borderId="5" xfId="0" applyNumberFormat="1" applyFont="1" applyFill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B11" sqref="B11:C11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114" t="s">
        <v>198</v>
      </c>
      <c r="C1" s="114"/>
      <c r="D1" s="115"/>
      <c r="E1" s="16" t="s">
        <v>56</v>
      </c>
      <c r="F1" s="106" t="s">
        <v>196</v>
      </c>
      <c r="G1" s="106"/>
      <c r="H1" s="107"/>
      <c r="I1" s="16" t="s">
        <v>180</v>
      </c>
      <c r="J1" s="135">
        <f ca="1">TODAY()</f>
        <v>45505</v>
      </c>
      <c r="K1" s="135"/>
      <c r="L1" s="136"/>
      <c r="M1" s="30"/>
      <c r="N1" s="16" t="s">
        <v>55</v>
      </c>
      <c r="O1" s="114" t="str">
        <f>B1</f>
        <v>PBR2001150100</v>
      </c>
      <c r="P1" s="114"/>
      <c r="Q1" s="115"/>
      <c r="R1" s="16" t="s">
        <v>56</v>
      </c>
      <c r="S1" s="114" t="str">
        <f>F1</f>
        <v>GEN FAB</v>
      </c>
      <c r="T1" s="114"/>
      <c r="U1" s="115"/>
      <c r="V1" s="16" t="s">
        <v>180</v>
      </c>
      <c r="W1" s="135">
        <f ca="1">J1</f>
        <v>45505</v>
      </c>
      <c r="X1" s="135"/>
      <c r="Y1" s="136"/>
    </row>
    <row r="2" spans="1:25" ht="20.149999999999999" customHeight="1" x14ac:dyDescent="1">
      <c r="A2" s="16" t="s">
        <v>99</v>
      </c>
      <c r="B2" s="114" t="str">
        <f>IF(U10="","",U10)</f>
        <v/>
      </c>
      <c r="C2" s="114"/>
      <c r="D2" s="115"/>
      <c r="E2" s="16" t="s">
        <v>57</v>
      </c>
      <c r="F2" s="106">
        <v>948334</v>
      </c>
      <c r="G2" s="106"/>
      <c r="H2" s="107"/>
      <c r="I2" s="16" t="s">
        <v>58</v>
      </c>
      <c r="J2" s="93">
        <v>44634</v>
      </c>
      <c r="K2" s="93"/>
      <c r="L2" s="94"/>
      <c r="M2" s="30"/>
      <c r="N2" s="16" t="s">
        <v>99</v>
      </c>
      <c r="O2" s="114" t="str">
        <f>IF(B2="","",B2)</f>
        <v/>
      </c>
      <c r="P2" s="114"/>
      <c r="Q2" s="115"/>
      <c r="R2" s="16" t="s">
        <v>57</v>
      </c>
      <c r="S2" s="114">
        <f>IF(F2="","",F2)</f>
        <v>948334</v>
      </c>
      <c r="T2" s="114"/>
      <c r="U2" s="115"/>
      <c r="V2" s="16" t="s">
        <v>58</v>
      </c>
      <c r="W2" s="137">
        <f>J2</f>
        <v>44634</v>
      </c>
      <c r="X2" s="114"/>
      <c r="Y2" s="115"/>
    </row>
    <row r="3" spans="1:25" ht="20.149999999999999" customHeight="1" x14ac:dyDescent="0.75">
      <c r="A3" s="126" t="s">
        <v>199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8"/>
      <c r="M3" s="30"/>
      <c r="N3" s="126" t="str">
        <f>A3</f>
        <v>LABELS MUST READ 100UM</v>
      </c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8"/>
    </row>
    <row r="4" spans="1:25" ht="20.149999999999999" customHeight="1" x14ac:dyDescent="0.75">
      <c r="A4" s="129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1"/>
      <c r="M4" s="30"/>
      <c r="N4" s="129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1"/>
    </row>
    <row r="5" spans="1:25" ht="20.149999999999999" customHeight="1" x14ac:dyDescent="0.75">
      <c r="A5" s="132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4"/>
      <c r="M5" s="30"/>
      <c r="N5" s="132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4"/>
    </row>
    <row r="6" spans="1:25" ht="20.149999999999999" customHeight="1" x14ac:dyDescent="0.75">
      <c r="A6" s="108" t="s">
        <v>1</v>
      </c>
      <c r="B6" s="109"/>
      <c r="C6" s="109"/>
      <c r="D6" s="109"/>
      <c r="E6" s="109"/>
      <c r="F6" s="109"/>
      <c r="G6" s="109"/>
      <c r="H6" s="109"/>
      <c r="I6" s="109"/>
      <c r="J6" s="110"/>
      <c r="K6" s="110"/>
      <c r="L6" s="111"/>
      <c r="M6" s="30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49999999999999" customHeight="1" x14ac:dyDescent="0.9">
      <c r="A7" s="16" t="s">
        <v>48</v>
      </c>
      <c r="B7" s="124" t="s">
        <v>162</v>
      </c>
      <c r="C7" s="124"/>
      <c r="D7" s="124"/>
      <c r="E7" s="124"/>
      <c r="F7" s="124"/>
      <c r="G7" s="124"/>
      <c r="H7" s="124"/>
      <c r="I7" s="125"/>
      <c r="J7" s="79" t="s">
        <v>178</v>
      </c>
      <c r="K7" s="79"/>
      <c r="L7" s="77"/>
      <c r="M7" s="30"/>
      <c r="N7" s="16" t="str">
        <f>IF(ISNUMBER(SEARCH("roll",O8,1)),"No. Rolls","No. Cartons")</f>
        <v>No. Rolls</v>
      </c>
      <c r="O7" s="106">
        <v>6</v>
      </c>
      <c r="P7" s="107"/>
      <c r="Q7" s="16" t="str">
        <f>IF(ISNUMBER(SEARCH("roll",O8,1)),"Per Roll","Per Carton")</f>
        <v>Per Roll</v>
      </c>
      <c r="R7" s="106">
        <v>250</v>
      </c>
      <c r="S7" s="107"/>
      <c r="T7" s="16" t="str">
        <f>IF(ISNUMBER(SEARCH("bag",O8,1)),"Total Bags","Total Sheets")</f>
        <v>Total Bags</v>
      </c>
      <c r="U7" s="114">
        <f>R7*O7</f>
        <v>1500</v>
      </c>
      <c r="V7" s="115"/>
      <c r="W7" s="16" t="s">
        <v>101</v>
      </c>
      <c r="X7" s="106" t="s">
        <v>22</v>
      </c>
      <c r="Y7" s="107"/>
    </row>
    <row r="8" spans="1:25" ht="20.149999999999999" customHeight="1" x14ac:dyDescent="0.8">
      <c r="A8" s="17" t="s">
        <v>15</v>
      </c>
      <c r="B8" s="102">
        <v>200</v>
      </c>
      <c r="C8" s="105"/>
      <c r="D8" s="20" t="str">
        <f>IF(ISNUMBER(SEARCH("bag",#REF!,1)),"Gusset","Centrefold")</f>
        <v>Centrefold</v>
      </c>
      <c r="E8" s="102" t="str">
        <f>IF(O8="Centrefold Roll",B8*2,IF(X9="","None",X9))</f>
        <v>None</v>
      </c>
      <c r="F8" s="105"/>
      <c r="G8" s="17" t="s">
        <v>51</v>
      </c>
      <c r="H8" s="102">
        <f>V9</f>
        <v>90</v>
      </c>
      <c r="I8" s="105"/>
      <c r="J8" s="16" t="s">
        <v>53</v>
      </c>
      <c r="K8" s="114" t="str">
        <f>IF(X8="None","Layflat Tube",IF(X8="","Layflat Tube",IF(X8="CF","Layflat Tube",IF(X8="G","Gusset Tube",IF(X9="","Layflat Tube",)))))</f>
        <v>Layflat Tube</v>
      </c>
      <c r="L8" s="115"/>
      <c r="M8" s="30"/>
      <c r="N8" s="18" t="s">
        <v>53</v>
      </c>
      <c r="O8" s="103" t="s">
        <v>164</v>
      </c>
      <c r="P8" s="104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1" t="str">
        <f>IF(AND(W8="Gusset",X9=""), "None",IF(AND(W8="Centrefold",X9=""),"None",IF(W8="Gusset","G",IF(W8="Centrefold","CF"))))</f>
        <v>None</v>
      </c>
      <c r="Y8" s="138"/>
    </row>
    <row r="9" spans="1:25" ht="20.149999999999999" customHeight="1" x14ac:dyDescent="0.9">
      <c r="A9" s="21" t="s">
        <v>47</v>
      </c>
      <c r="B9" s="112" t="s">
        <v>195</v>
      </c>
      <c r="C9" s="113"/>
      <c r="D9" s="142" t="str">
        <f>IF(K10="Middle","RUN 2 UP",IF(AND(O8="Centrefold Roll",B8=380),"RUN 2 UP",""))</f>
        <v/>
      </c>
      <c r="E9" s="124"/>
      <c r="F9" s="125"/>
      <c r="G9" s="21" t="s">
        <v>47</v>
      </c>
      <c r="H9" s="112" t="s">
        <v>197</v>
      </c>
      <c r="I9" s="113"/>
      <c r="J9" s="16" t="s">
        <v>54</v>
      </c>
      <c r="K9" s="106" t="s">
        <v>33</v>
      </c>
      <c r="L9" s="107"/>
      <c r="M9" s="30"/>
      <c r="N9" s="22"/>
      <c r="O9" s="122" t="str">
        <f>IF(O8="Poly Bag","PB",IF(O8="Poly Bag Roll","PBR",IF(O8="Centrefold Roll","CFR",IF(O8="Sheet","S",IF(O8="Sheet Roll","SR")))))</f>
        <v>PBR</v>
      </c>
      <c r="P9" s="123"/>
      <c r="Q9" s="22"/>
      <c r="R9" s="31">
        <v>200</v>
      </c>
      <c r="S9" s="23" t="s">
        <v>77</v>
      </c>
      <c r="T9" s="31">
        <v>1100</v>
      </c>
      <c r="U9" s="23" t="s">
        <v>77</v>
      </c>
      <c r="V9" s="31">
        <v>90</v>
      </c>
      <c r="W9" s="22"/>
      <c r="X9" s="99"/>
      <c r="Y9" s="100"/>
    </row>
    <row r="10" spans="1:25" ht="20.149999999999999" customHeight="1" x14ac:dyDescent="0.8">
      <c r="A10" s="16" t="s">
        <v>50</v>
      </c>
      <c r="B10" s="106">
        <v>4</v>
      </c>
      <c r="C10" s="107"/>
      <c r="D10" s="49" t="s">
        <v>133</v>
      </c>
      <c r="E10" s="116">
        <f>IF(ISNUMBER(SEARCH("sheet",O8,1)),((R9*T9*H8/540000)*U7/2000*1.3),((R9*T9*H8/540000)*U7/1000*1.08))</f>
        <v>59.400000000000006</v>
      </c>
      <c r="F10" s="117"/>
      <c r="G10" s="16" t="s">
        <v>52</v>
      </c>
      <c r="H10" s="120">
        <f>IF(ISNUMBER(SEARCH("sheet",O8,1)),(U7*T9/2000*1.08),(U7*T9/1000*1.08))</f>
        <v>1782.0000000000002</v>
      </c>
      <c r="I10" s="121"/>
      <c r="J10" s="16" t="s">
        <v>40</v>
      </c>
      <c r="K10" s="106" t="s">
        <v>43</v>
      </c>
      <c r="L10" s="107"/>
      <c r="M10" s="30"/>
      <c r="N10" s="18" t="s">
        <v>140</v>
      </c>
      <c r="O10" s="103" t="s">
        <v>43</v>
      </c>
      <c r="P10" s="104"/>
      <c r="Q10" s="18" t="s">
        <v>49</v>
      </c>
      <c r="R10" s="101" t="str">
        <f>IF(K11="NONE","None",IF(K11="INLINE","Yes",IF(K11="OUT OF LINE","Yes")))</f>
        <v>None</v>
      </c>
      <c r="S10" s="101"/>
      <c r="T10" s="18" t="s">
        <v>99</v>
      </c>
      <c r="U10" s="95"/>
      <c r="V10" s="95"/>
      <c r="W10" s="95"/>
      <c r="X10" s="95"/>
      <c r="Y10" s="96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114" t="str">
        <f>IF(AND(O8="Centrefold Roll",D9="RUN 2 UP"),B10*2,IF(ISNUMBER(SEARCH("sheet",O8,1)),B10*2,""))</f>
        <v/>
      </c>
      <c r="C11" s="115"/>
      <c r="D11" s="16" t="s">
        <v>134</v>
      </c>
      <c r="E11" s="118">
        <f>E10/B10</f>
        <v>14.850000000000001</v>
      </c>
      <c r="F11" s="119"/>
      <c r="G11" s="16" t="s">
        <v>14</v>
      </c>
      <c r="H11" s="118">
        <f>H10/B10</f>
        <v>445.50000000000006</v>
      </c>
      <c r="I11" s="119"/>
      <c r="J11" s="16" t="s">
        <v>49</v>
      </c>
      <c r="K11" s="106" t="s">
        <v>43</v>
      </c>
      <c r="L11" s="107"/>
      <c r="M11" s="30"/>
      <c r="N11" s="17"/>
      <c r="O11" s="102" t="str">
        <f>IF(O10="NONE","","V")</f>
        <v/>
      </c>
      <c r="P11" s="105"/>
      <c r="Q11" s="17"/>
      <c r="R11" s="102" t="str">
        <f>IF(R10="None","","P")</f>
        <v/>
      </c>
      <c r="S11" s="102"/>
      <c r="T11" s="17"/>
      <c r="U11" s="97"/>
      <c r="V11" s="97"/>
      <c r="W11" s="97"/>
      <c r="X11" s="97"/>
      <c r="Y11" s="98"/>
    </row>
    <row r="12" spans="1:25" ht="20.149999999999999" customHeight="1" x14ac:dyDescent="0.7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30"/>
      <c r="N12" s="139" t="s">
        <v>70</v>
      </c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1"/>
    </row>
    <row r="13" spans="1:25" ht="20.149999999999999" customHeight="1" x14ac:dyDescent="0.8">
      <c r="A13" s="16" t="s">
        <v>67</v>
      </c>
      <c r="B13" s="106" t="s">
        <v>43</v>
      </c>
      <c r="C13" s="106"/>
      <c r="D13" s="107"/>
      <c r="E13" s="24" t="s">
        <v>60</v>
      </c>
      <c r="F13" s="106" t="s">
        <v>43</v>
      </c>
      <c r="G13" s="106"/>
      <c r="H13" s="107"/>
      <c r="I13" s="16" t="s">
        <v>61</v>
      </c>
      <c r="J13" s="106" t="s">
        <v>43</v>
      </c>
      <c r="K13" s="106"/>
      <c r="L13" s="107"/>
      <c r="M13" s="30"/>
      <c r="N13" s="16" t="s">
        <v>71</v>
      </c>
      <c r="O13" s="32" t="s">
        <v>76</v>
      </c>
      <c r="P13" s="16" t="s">
        <v>72</v>
      </c>
      <c r="Q13" s="25">
        <f>O7</f>
        <v>6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49999999999999" customHeight="1" x14ac:dyDescent="0.9">
      <c r="A14" s="17" t="s">
        <v>59</v>
      </c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5"/>
      <c r="M14" s="30"/>
      <c r="N14" s="145" t="s">
        <v>109</v>
      </c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1"/>
    </row>
    <row r="15" spans="1:25" ht="20.149999999999999" customHeight="1" x14ac:dyDescent="0.7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30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49999999999999" customHeight="1" x14ac:dyDescent="0.8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30"/>
      <c r="N16" s="16" t="s">
        <v>27</v>
      </c>
      <c r="O16" s="106"/>
      <c r="P16" s="107"/>
      <c r="Q16" s="16" t="s">
        <v>104</v>
      </c>
      <c r="R16" s="106" t="s">
        <v>22</v>
      </c>
      <c r="S16" s="107"/>
      <c r="T16" s="16" t="s">
        <v>102</v>
      </c>
      <c r="U16" s="106" t="s">
        <v>30</v>
      </c>
      <c r="V16" s="107"/>
      <c r="W16" s="16" t="str">
        <f>IF(ISNUMBER(SEARCH("bag",O8,1)),"Total Bags","Total Sheets")</f>
        <v>Total Bags</v>
      </c>
      <c r="X16" s="143"/>
      <c r="Y16" s="144"/>
    </row>
    <row r="17" spans="1:25" ht="20.149999999999999" customHeight="1" x14ac:dyDescent="0.8">
      <c r="A17" s="78" t="s">
        <v>5</v>
      </c>
      <c r="B17" s="78"/>
      <c r="C17" s="80" t="s">
        <v>146</v>
      </c>
      <c r="D17" s="81"/>
      <c r="E17" s="85"/>
      <c r="F17" s="86"/>
      <c r="G17" s="34" t="s">
        <v>80</v>
      </c>
      <c r="H17" s="35"/>
      <c r="I17" s="62"/>
      <c r="J17" s="63"/>
      <c r="K17" s="62"/>
      <c r="L17" s="63"/>
      <c r="M17" s="30"/>
      <c r="N17" s="16" t="s">
        <v>25</v>
      </c>
      <c r="O17" s="106"/>
      <c r="P17" s="107"/>
      <c r="Q17" s="16" t="s">
        <v>103</v>
      </c>
      <c r="R17" s="106" t="s">
        <v>30</v>
      </c>
      <c r="S17" s="107"/>
      <c r="T17" s="26" t="str">
        <f>IF(ISNUMBER(SEARCH("roll",O8,1)),"Part Rolls","Part Ctns")</f>
        <v>Part Rolls</v>
      </c>
      <c r="U17" s="106" t="s">
        <v>30</v>
      </c>
      <c r="V17" s="107"/>
      <c r="W17" s="16" t="str">
        <f>IF(ISNUMBER(SEARCH("roll",O8,1)),"Total Rolls","Total Ctns")</f>
        <v>Total Rolls</v>
      </c>
      <c r="X17" s="143"/>
      <c r="Y17" s="144"/>
    </row>
    <row r="18" spans="1:25" ht="20.149999999999999" customHeight="1" x14ac:dyDescent="0.8">
      <c r="A18" s="78" t="s">
        <v>6</v>
      </c>
      <c r="B18" s="78"/>
      <c r="C18" s="80" t="s">
        <v>145</v>
      </c>
      <c r="D18" s="81"/>
      <c r="E18" s="85"/>
      <c r="F18" s="86"/>
      <c r="G18" s="34" t="s">
        <v>81</v>
      </c>
      <c r="H18" s="35"/>
      <c r="I18" s="62"/>
      <c r="J18" s="63"/>
      <c r="K18" s="62"/>
      <c r="L18" s="63"/>
      <c r="M18" s="30"/>
      <c r="N18" s="16" t="s">
        <v>100</v>
      </c>
      <c r="O18" s="106"/>
      <c r="P18" s="107"/>
      <c r="Q18" s="16" t="s">
        <v>105</v>
      </c>
      <c r="R18" s="106" t="s">
        <v>30</v>
      </c>
      <c r="S18" s="107"/>
      <c r="T18" s="1" t="s">
        <v>26</v>
      </c>
      <c r="U18" s="106" t="s">
        <v>35</v>
      </c>
      <c r="V18" s="107"/>
      <c r="W18" s="16" t="s">
        <v>108</v>
      </c>
      <c r="X18" s="143"/>
      <c r="Y18" s="144"/>
    </row>
    <row r="19" spans="1:25" ht="20.149999999999999" customHeight="1" x14ac:dyDescent="0.75">
      <c r="A19" s="78" t="s">
        <v>7</v>
      </c>
      <c r="B19" s="78"/>
      <c r="C19" s="80" t="s">
        <v>144</v>
      </c>
      <c r="D19" s="81"/>
      <c r="E19" s="85"/>
      <c r="F19" s="86"/>
      <c r="G19" s="34" t="s">
        <v>82</v>
      </c>
      <c r="H19" s="35"/>
      <c r="I19" s="62"/>
      <c r="J19" s="63"/>
      <c r="K19" s="62"/>
      <c r="L19" s="63"/>
      <c r="M19" s="30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49999999999999" customHeight="1" x14ac:dyDescent="0.75">
      <c r="A20" s="78" t="s">
        <v>8</v>
      </c>
      <c r="B20" s="78"/>
      <c r="C20" s="80" t="s">
        <v>143</v>
      </c>
      <c r="D20" s="81"/>
      <c r="E20" s="85"/>
      <c r="F20" s="86"/>
      <c r="G20" s="34" t="s">
        <v>83</v>
      </c>
      <c r="H20" s="35"/>
      <c r="I20" s="62"/>
      <c r="J20" s="63"/>
      <c r="K20" s="62"/>
      <c r="L20" s="63"/>
      <c r="M20" s="30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49999999999999" customHeight="1" x14ac:dyDescent="0.75">
      <c r="A21" s="78" t="s">
        <v>9</v>
      </c>
      <c r="B21" s="78"/>
      <c r="C21" s="80" t="s">
        <v>142</v>
      </c>
      <c r="D21" s="81"/>
      <c r="E21" s="85"/>
      <c r="F21" s="86"/>
      <c r="G21" s="34" t="s">
        <v>84</v>
      </c>
      <c r="H21" s="35"/>
      <c r="I21" s="62"/>
      <c r="J21" s="63"/>
      <c r="K21" s="62"/>
      <c r="L21" s="63"/>
      <c r="M21" s="30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49999999999999" customHeight="1" x14ac:dyDescent="0.75">
      <c r="A22" s="78" t="str">
        <f>(IF(B7="NATURAL","",B7))</f>
        <v/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1"/>
      <c r="E22" s="85"/>
      <c r="F22" s="86"/>
      <c r="G22" s="34" t="s">
        <v>85</v>
      </c>
      <c r="H22" s="35"/>
      <c r="I22" s="62"/>
      <c r="J22" s="63"/>
      <c r="K22" s="62"/>
      <c r="L22" s="63"/>
      <c r="M22" s="30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49999999999999" customHeight="1" x14ac:dyDescent="0.75">
      <c r="A23" s="82"/>
      <c r="B23" s="82"/>
      <c r="C23" s="8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1"/>
      <c r="E23" s="85"/>
      <c r="F23" s="86"/>
      <c r="G23" s="34" t="s">
        <v>86</v>
      </c>
      <c r="H23" s="35"/>
      <c r="I23" s="62"/>
      <c r="J23" s="63"/>
      <c r="K23" s="62"/>
      <c r="L23" s="63"/>
      <c r="M23" s="30"/>
      <c r="N23" s="145" t="s">
        <v>132</v>
      </c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1"/>
    </row>
    <row r="24" spans="1:25" ht="20.149999999999999" customHeight="1" x14ac:dyDescent="0.75">
      <c r="A24" s="83"/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1"/>
      <c r="E24" s="85"/>
      <c r="F24" s="86"/>
      <c r="G24" s="34" t="s">
        <v>87</v>
      </c>
      <c r="H24" s="35"/>
      <c r="I24" s="62"/>
      <c r="J24" s="63"/>
      <c r="K24" s="62"/>
      <c r="L24" s="63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49999999999999" customHeight="1" x14ac:dyDescent="0.7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146" t="s">
        <v>131</v>
      </c>
      <c r="H26" s="146"/>
      <c r="I26" s="146" t="s">
        <v>130</v>
      </c>
      <c r="J26" s="146"/>
      <c r="K26" s="11" t="s">
        <v>93</v>
      </c>
      <c r="L26" s="11" t="s">
        <v>94</v>
      </c>
      <c r="M26" s="30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49999999999999" customHeight="1" x14ac:dyDescent="0.75">
      <c r="A27" s="14" t="s">
        <v>95</v>
      </c>
      <c r="B27" s="7"/>
      <c r="C27" s="7"/>
      <c r="D27" s="7"/>
      <c r="E27" s="8"/>
      <c r="F27" s="7"/>
      <c r="G27" s="61"/>
      <c r="H27" s="61"/>
      <c r="I27" s="61"/>
      <c r="J27" s="61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49999999999999" customHeight="1" x14ac:dyDescent="0.75">
      <c r="A28" s="14" t="s">
        <v>96</v>
      </c>
      <c r="B28" s="7"/>
      <c r="C28" s="7"/>
      <c r="D28" s="7"/>
      <c r="E28" s="9"/>
      <c r="F28" s="7"/>
      <c r="G28" s="61"/>
      <c r="H28" s="61"/>
      <c r="I28" s="61"/>
      <c r="J28" s="61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Sheet2!$A$47:$A$49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A21" sqref="A21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45536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45526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194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155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156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157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75">
      <c r="A24" s="59" t="s">
        <v>158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159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160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161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174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75">
      <c r="A29" s="59" t="s">
        <v>183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7" t="s">
        <v>45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75">
      <c r="A32" s="5" t="s">
        <v>29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 t="s">
        <v>33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7" t="s">
        <v>46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43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75">
      <c r="A37" s="5" t="s">
        <v>41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75">
      <c r="A38" s="5" t="s">
        <v>42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" t="s">
        <v>44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5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7" t="s">
        <v>62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43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64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75">
      <c r="A44" s="5" t="s">
        <v>63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75">
      <c r="A46" s="57" t="s">
        <v>67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43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69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75">
      <c r="A49" s="5" t="s">
        <v>68</v>
      </c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75">
      <c r="A50" s="55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75">
      <c r="A51" s="57" t="s">
        <v>60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43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75">
      <c r="A53" s="5" t="s">
        <v>65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" t="s">
        <v>66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5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6" t="s">
        <v>61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5" t="s">
        <v>43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8" t="s">
        <v>176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154</v>
      </c>
    </row>
    <row r="60" spans="1:20" x14ac:dyDescent="0.75">
      <c r="A60" s="59" t="s">
        <v>147</v>
      </c>
      <c r="O60" s="1"/>
      <c r="Q60" s="1"/>
      <c r="R60" s="3"/>
      <c r="S60" s="1"/>
    </row>
    <row r="61" spans="1:20" x14ac:dyDescent="0.75">
      <c r="A61" s="59" t="s">
        <v>148</v>
      </c>
      <c r="O61" s="1"/>
      <c r="Q61" s="1"/>
      <c r="R61" s="1"/>
      <c r="S61" s="1"/>
    </row>
    <row r="62" spans="1:20" x14ac:dyDescent="0.75">
      <c r="A62" s="59" t="s">
        <v>149</v>
      </c>
      <c r="O62" s="1"/>
      <c r="Q62" s="1"/>
      <c r="R62" s="1"/>
      <c r="S62" s="1"/>
    </row>
    <row r="63" spans="1:20" x14ac:dyDescent="0.75">
      <c r="A63" s="59" t="s">
        <v>150</v>
      </c>
      <c r="O63" s="1"/>
      <c r="Q63" s="1"/>
      <c r="R63" s="1"/>
      <c r="S63" s="1"/>
      <c r="T63" s="1"/>
    </row>
    <row r="64" spans="1:20" x14ac:dyDescent="0.75">
      <c r="A64" s="59" t="s">
        <v>151</v>
      </c>
      <c r="O64" s="1"/>
      <c r="Q64" s="1"/>
      <c r="R64" s="1"/>
      <c r="S64" s="1"/>
      <c r="T64" s="1"/>
    </row>
    <row r="65" spans="1:20" x14ac:dyDescent="0.75">
      <c r="A65" s="59" t="s">
        <v>152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173</v>
      </c>
      <c r="N66" s="4"/>
      <c r="O66" s="1"/>
      <c r="P66" s="1"/>
      <c r="Q66" s="1"/>
      <c r="R66" s="1"/>
      <c r="S66" s="1"/>
      <c r="T66" s="1"/>
    </row>
    <row r="67" spans="1:20" x14ac:dyDescent="0.75">
      <c r="A67" s="59" t="s">
        <v>153</v>
      </c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D645806-C97C-49EB-A48A-EE2DAD36DEC0}"/>
</file>

<file path=customXml/itemProps2.xml><?xml version="1.0" encoding="utf-8"?>
<ds:datastoreItem xmlns:ds="http://schemas.openxmlformats.org/officeDocument/2006/customXml" ds:itemID="{0563FCD0-CD61-4A17-A722-FD3DA5532D6D}"/>
</file>

<file path=customXml/itemProps3.xml><?xml version="1.0" encoding="utf-8"?>
<ds:datastoreItem xmlns:ds="http://schemas.openxmlformats.org/officeDocument/2006/customXml" ds:itemID="{99BD4820-EB80-4981-9B58-546B9C685C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2024-08-01T01:45:48Z</cp:lastPrinted>
  <dcterms:created xsi:type="dcterms:W3CDTF">2019-11-27T23:28:06Z</dcterms:created>
  <dcterms:modified xsi:type="dcterms:W3CDTF">2024-08-08T23:43:25Z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