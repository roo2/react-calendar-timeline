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60E727E4-34F4-46F5-924E-A0AF1B3A40B6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<sst xmlns="http://schemas.openxmlformats.org/spreadsheetml/2006/main" count="307" uniqueCount="203">
  <si>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</si>
  <si>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</si>
  <si>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</si>
  <si>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</si>
  <si>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</si>
  <si>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</si>
  <si>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</si>
  <si>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</si>
  <si>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</si>
  <si>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</si>
  <si>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</si>
  <si>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</si>
  <si>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</si>
  <si>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</si>
  <si>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</si>
  <si>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</si>
  <si>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</si>
  <si>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</si>
  <si>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</si>
  <si>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</si>
  <si>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</si>
  <si>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</si>
  <si>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</si>
  <si>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</si>
  <si>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</si>
  <si>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</si>
  <si>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</si>
  <si>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</si>
  <si>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</si>
  <si>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</si>
  <si>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</si>
  <si>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</si>
  <si>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</si>
  <si>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</si>
  <si>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</si>
  <si>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</si>
  <si>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</si>
  <si>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</si>
  <si>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</si>
  <si>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</si>
  <si>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</si>
  <si>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</si>
  <si>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</si>
  <si>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</si>
  <si>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</si>
  <si>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</si>
  <si>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</si>
  <si>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</si>
  <si>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</si>
  <si>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</si>
  <si>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</si>
  <si>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</si>
  <si>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</si>
  <si>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</si>
  <si>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</si>
  <si>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</si>
  <si>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</si>
  <si>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</si>
  <si>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</si>
  <si>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</si>
  <si>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</si>
  <si>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</si>
  <si>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</si>
  <si>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</si>
  <si>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</si>
  <si>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</si>
  <si>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</si>
  <si>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</si>
  <si>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</si>
  <si>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</si>
  <si>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</si>
  <si>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</si>
  <si>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</si>
  <si>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</si>
  <si>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</si>
  <si>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</si>
  <si>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</si>
  <si>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</si>
  <si>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</si>
  <si>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</si>
  <si>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</si>
  <si>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</si>
  <si>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</si>
  <si>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</si>
  <si>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</si>
  <si>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</si>
  <si>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</si>
  <si>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</si>
  <si>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</si>
  <si>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</si>
  <si>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</si>
  <si>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</si>
  <si>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</si>
  <si>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</si>
  <si>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</si>
  <si>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</si>
  <si>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</si>
  <si>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</si>
  <si>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</si>
  <si>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</si>
  <si>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</si>
  <si>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</si>
  <si>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</si>
  <si>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</si>
  <si>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</si>
  <si>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</si>
  <si>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</si>
  <si>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</si>
  <si>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</si>
  <si>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</si>
  <si>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</si>
  <si>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</si>
  <si>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</si>
  <si>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</si>
  <si>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</si>
  <si>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</si>
  <si>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</si>
  <si>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</si>
  <si>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</si>
  <si>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</si>
  <si>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</si>
  <si>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</si>
  <si>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</si>
  <si>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</si>
  <si>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</si>
  <si>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</si>
  <si>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</si>
  <si>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</si>
  <si>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</si>
  <si>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</si>
  <si>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</si>
  <si>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</si>
  <si>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</si>
  <si>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</si>
  <si>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</si>
  <si>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</si>
  <si>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</si>
  <si>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</si>
  <si>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</si>
  <si>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</si>
  <si>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</si>
  <si>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</si>
  <si>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</si>
  <si>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</si>
  <si>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</si>
  <si>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</si>
  <si>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</si>
  <si>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</si>
  <si>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</si>
  <si>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</si>
  <si>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</si>
  <si>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</si>
  <si>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</si>
  <si>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</si>
  <si>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</si>
  <si>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</si>
  <si>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</si>
  <si>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</si>
  <si>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</si>
  <si>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</si>
  <si>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</si>
  <si>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</si>
  <si>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</si>
  <si>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</si>
  <si>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</si>
  <si>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</si>
  <si>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</si>
  <si>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</si>
  <si>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</si>
  <si>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</si>
  <si>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</si>
  <si>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</si>
  <si>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</si>
  <si>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</si>
  <si>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</si>
  <si>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</si>
  <si>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</si>
  <si>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</si>
  <si>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</si>
  <si>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</si>
  <si>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</si>
  <si>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</si>
  <si>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</si>
  <si>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</si>
  <si>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</si>
  <si>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</si>
  <si>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</si>
  <si>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</si>
  <si>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</si>
  <si>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</si>
  <si>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</si>
  <si>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</si>
  <si>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</si>
  <si>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</si>
  <si>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</si>
  <si>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RUN AT 140UM</t>
  </si>
  <si>
    <t>QPB05</t>
  </si>
  <si>
    <t>LIMAX/ORION 1</t>
  </si>
  <si>
    <t>20/20</t>
  </si>
  <si>
    <t>20/240</t>
  </si>
  <si>
    <t>16/240</t>
  </si>
  <si>
    <t>HERON</t>
  </si>
  <si>
    <t>fishbowl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</si>
</sst>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7" xfId="0" applyFont="1" applyBorder="1" applyAlignment="1" applyProtection="1">
      <alignment horizontal="center" vertical="top"/>
      <protection locked="0"/>
    </xf>
    <xf numFmtId="0" fontId="13" fillId="0" borderId="3" xfId="0" applyFont="1" applyBorder="1" applyAlignment="1" applyProtection="1">
      <alignment horizontal="center" vertical="top"/>
      <protection locked="0"/>
    </xf>
    <xf numFmtId="0" fontId="13" fillId="0" borderId="8" xfId="0" applyFont="1" applyBorder="1" applyAlignment="1" applyProtection="1">
      <alignment horizontal="center" vertical="top"/>
      <protection locked="0"/>
    </xf>
    <xf numFmtId="0" fontId="13" fillId="0" borderId="9" xfId="0" applyFont="1" applyBorder="1" applyAlignment="1" applyProtection="1">
      <alignment horizontal="center" vertical="top"/>
      <protection locked="0"/>
    </xf>
    <xf numFmtId="0" fontId="13" fillId="0" borderId="0" xfId="0" applyFont="1" applyAlignment="1" applyProtection="1">
      <alignment horizontal="center" vertical="top"/>
      <protection locked="0"/>
    </xf>
    <xf numFmtId="0" fontId="13" fillId="0" borderId="10" xfId="0" applyFont="1" applyBorder="1" applyAlignment="1" applyProtection="1">
      <alignment horizontal="center" vertical="top"/>
      <protection locked="0"/>
    </xf>
    <xf numFmtId="0" fontId="13" fillId="0" borderId="11" xfId="0" applyFont="1" applyBorder="1" applyAlignment="1" applyProtection="1">
      <alignment horizontal="center" vertical="top"/>
      <protection locked="0"/>
    </xf>
    <xf numFmtId="0" fontId="13" fillId="0" borderId="1" xfId="0" applyFont="1" applyBorder="1" applyAlignment="1" applyProtection="1">
      <alignment horizontal="center" vertical="top"/>
      <protection locked="0"/>
    </xf>
    <xf numFmtId="0" fontId="13" fillId="0" borderId="12" xfId="0" applyFont="1" applyBorder="1" applyAlignment="1" applyProtection="1">
      <alignment horizontal="center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N3" sqref="N3:Y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08" t="str">
        <f>O9&amp;R9&amp;IF(X8="G","G","")&amp;IF(O8="Centrefold Roll","("&amp;E8&amp;")","")&amp;T9&amp;V9&amp;C22&amp;C23&amp;C24&amp;O11&amp;R11</f>
        <v>PB15030050</v>
      </c>
      <c r="C1" s="108"/>
      <c r="D1" s="109"/>
      <c r="E1" s="11" t="s">
        <v>57</v>
      </c>
      <c r="F1" s="62" t="s">
        <v>201</v>
      </c>
      <c r="G1" s="62"/>
      <c r="H1" s="63"/>
      <c r="I1" s="12" t="s">
        <v>181</v>
      </c>
      <c r="J1" s="119">
        <f ca="1">TODAY()</f>
        <v>45845</v>
      </c>
      <c r="K1" s="119"/>
      <c r="L1" s="120"/>
      <c r="M1" s="29"/>
      <c r="N1" s="11" t="s">
        <v>56</v>
      </c>
      <c r="O1" s="108" t="str">
        <f>B1</f>
        <v>PB15030050</v>
      </c>
      <c r="P1" s="108"/>
      <c r="Q1" s="109"/>
      <c r="R1" s="11" t="s">
        <v>57</v>
      </c>
      <c r="S1" s="108" t="str">
        <f>F1</f>
        <v>HERON</v>
      </c>
      <c r="T1" s="108"/>
      <c r="U1" s="109"/>
      <c r="V1" s="11" t="s">
        <v>181</v>
      </c>
      <c r="W1" s="119">
        <f ca="1">J1</f>
        <v>45845</v>
      </c>
      <c r="X1" s="119"/>
      <c r="Y1" s="120"/>
    </row>
    <row r="2" spans="1:25" ht="20.149999999999999" customHeight="1" x14ac:dyDescent="0.8">
      <c r="A2" s="11" t="s">
        <v>100</v>
      </c>
      <c r="B2" s="108" t="str">
        <f>IF(U10="","",U10)</f>
        <v>QPB05</v>
      </c>
      <c r="C2" s="108"/>
      <c r="D2" s="109"/>
      <c r="E2" s="11" t="s">
        <v>58</v>
      </c>
      <c r="F2" s="62">
        <v>949587</v>
      </c>
      <c r="G2" s="62"/>
      <c r="H2" s="63"/>
      <c r="I2" s="11" t="s">
        <v>59</v>
      </c>
      <c r="J2" s="122" t="s">
        <v>192</v>
      </c>
      <c r="K2" s="62"/>
      <c r="L2" s="63"/>
      <c r="M2" s="29"/>
      <c r="N2" s="11" t="s">
        <v>100</v>
      </c>
      <c r="O2" s="108" t="str">
        <f>IF(B2="","",B2)</f>
        <v>QPB05</v>
      </c>
      <c r="P2" s="108"/>
      <c r="Q2" s="109"/>
      <c r="R2" s="11" t="s">
        <v>58</v>
      </c>
      <c r="S2" s="108">
        <f>IF(F2="","",F2)</f>
        <v>949587</v>
      </c>
      <c r="T2" s="108"/>
      <c r="U2" s="109"/>
      <c r="V2" s="11" t="s">
        <v>59</v>
      </c>
      <c r="W2" s="121" t="str">
        <f>J2</f>
        <v>ASAP</v>
      </c>
      <c r="X2" s="108"/>
      <c r="Y2" s="109"/>
    </row>
    <row r="3" spans="1:25" ht="20.149999999999999" customHeight="1" x14ac:dyDescent="0.75">
      <c r="A3" s="110" t="s">
        <v>202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 t="str">
        <f>A3</f>
        <v>fishbowl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49999999999999" customHeight="1" x14ac:dyDescent="0.7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49999999999999" customHeight="1" x14ac:dyDescent="0.7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49999999999999" customHeight="1" x14ac:dyDescent="0.7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25</v>
      </c>
      <c r="P7" s="63"/>
      <c r="Q7" s="11" t="str">
        <f>IF(ISNUMBER(SEARCH("roll",O8,1)),"Per Roll","Per Carton")</f>
        <v>Per Carton</v>
      </c>
      <c r="R7" s="62">
        <v>2000</v>
      </c>
      <c r="S7" s="63"/>
      <c r="T7" s="11" t="str">
        <f>IF(ISNUMBER(SEARCH("bag",O8,1)),"Total Bags","Total Sheets")</f>
        <v>Total Bags</v>
      </c>
      <c r="U7" s="108">
        <f>R7*O7</f>
        <v>50000</v>
      </c>
      <c r="V7" s="109"/>
      <c r="W7" s="11" t="s">
        <v>102</v>
      </c>
      <c r="X7" s="62" t="s">
        <v>31</v>
      </c>
      <c r="Y7" s="63"/>
    </row>
    <row r="8" spans="1:25" ht="20.149999999999999" customHeight="1" x14ac:dyDescent="0.8">
      <c r="A8" s="13" t="s">
        <v>16</v>
      </c>
      <c r="B8" s="96">
        <f>R9</f>
        <v>150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3" t="s">
        <v>52</v>
      </c>
      <c r="H8" s="96">
        <f>(IF(V9&lt;30,"30",V9))</f>
        <v>50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9"/>
      <c r="N8" s="14" t="s">
        <v>54</v>
      </c>
      <c r="O8" s="98" t="s">
        <v>164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49999999999999" customHeight="1" x14ac:dyDescent="0.9">
      <c r="A9" s="16" t="s">
        <v>48</v>
      </c>
      <c r="B9" s="125" t="s">
        <v>193</v>
      </c>
      <c r="C9" s="126"/>
      <c r="D9" s="133" t="str">
        <f>IF(K10="Middle","RUN 2 UP",IF(AND(O8="Centrefold Roll",B8=380),"RUN 2 UP",""))</f>
        <v/>
      </c>
      <c r="E9" s="100"/>
      <c r="F9" s="101"/>
      <c r="G9" s="16" t="s">
        <v>48</v>
      </c>
      <c r="H9" s="125" t="s">
        <v>195</v>
      </c>
      <c r="I9" s="126"/>
      <c r="J9" s="11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150</v>
      </c>
      <c r="S9" s="18" t="s">
        <v>78</v>
      </c>
      <c r="T9" s="30">
        <v>300</v>
      </c>
      <c r="U9" s="18" t="s">
        <v>78</v>
      </c>
      <c r="V9" s="30">
        <v>50</v>
      </c>
      <c r="W9" s="17"/>
      <c r="X9" s="88"/>
      <c r="Y9" s="89"/>
    </row>
    <row r="10" spans="1:25" ht="20.149999999999999" customHeight="1" x14ac:dyDescent="0.8">
      <c r="A10" s="11" t="s">
        <v>51</v>
      </c>
      <c r="B10" s="62">
        <v>1</v>
      </c>
      <c r="C10" s="63"/>
      <c r="D10" s="47" t="s">
        <v>134</v>
      </c>
      <c r="E10" s="127">
        <f>IF(ISNUMBER(SEARCH("sheet",O8,1)),((R9*T9*H8/540000)*U7/2000*1.3),((R9*T9*H8/540000)*U7/1000*1.08))</f>
        <v>225.00000000000003</v>
      </c>
      <c r="F10" s="128"/>
      <c r="G10" s="11" t="s">
        <v>53</v>
      </c>
      <c r="H10" s="131">
        <f>IF(ISNUMBER(SEARCH("sheet",O8,1)),(U7*T9/2000*1.08),(U7*T9/1000*1.08))</f>
        <v>16200.000000000002</v>
      </c>
      <c r="I10" s="132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None</v>
      </c>
      <c r="S10" s="94"/>
      <c r="T10" s="14" t="s">
        <v>100</v>
      </c>
      <c r="U10" s="104" t="s">
        <v>196</v>
      </c>
      <c r="V10" s="104"/>
      <c r="W10" s="104"/>
      <c r="X10" s="104"/>
      <c r="Y10" s="105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29">
        <f>E10/B10</f>
        <v>225.00000000000003</v>
      </c>
      <c r="F11" s="130"/>
      <c r="G11" s="11" t="s">
        <v>15</v>
      </c>
      <c r="H11" s="129">
        <f>H10/B10</f>
        <v>16200.000000000002</v>
      </c>
      <c r="I11" s="130"/>
      <c r="J11" s="11" t="s">
        <v>50</v>
      </c>
      <c r="K11" s="62" t="s">
        <v>44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/>
      </c>
      <c r="S11" s="97"/>
      <c r="T11" s="13"/>
      <c r="U11" s="106"/>
      <c r="V11" s="106"/>
      <c r="W11" s="106"/>
      <c r="X11" s="106"/>
      <c r="Y11" s="107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36</v>
      </c>
      <c r="P13" s="11" t="s">
        <v>73</v>
      </c>
      <c r="Q13" s="20">
        <f>O7</f>
        <v>25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/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46" t="s">
        <v>4</v>
      </c>
      <c r="F16" s="146"/>
      <c r="G16" s="146" t="s">
        <v>5</v>
      </c>
      <c r="H16" s="146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>
        <v>150</v>
      </c>
      <c r="P16" s="63"/>
      <c r="Q16" s="11" t="s">
        <v>105</v>
      </c>
      <c r="R16" s="62" t="s">
        <v>23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37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23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47"/>
      <c r="B23" s="147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48"/>
      <c r="B24" s="149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197</v>
      </c>
      <c r="P25" s="34"/>
      <c r="Q25" s="10" t="s">
        <v>198</v>
      </c>
      <c r="R25" s="10"/>
      <c r="S25" s="10"/>
      <c r="T25" s="10"/>
      <c r="U25" s="10"/>
      <c r="V25" s="10"/>
      <c r="W25" s="10" t="s">
        <v>199</v>
      </c>
      <c r="X25" s="10" t="s">
        <v>200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134" t="s">
        <v>116</v>
      </c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6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137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9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140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2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43" t="s">
        <v>136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5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45876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45866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194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0B4887A-7C3A-4012-BF0E-B9D71A99E575}"/>
</file>

<file path=customXml/itemProps2.xml><?xml version="1.0" encoding="utf-8"?>
<ds:datastoreItem xmlns:ds="http://schemas.openxmlformats.org/officeDocument/2006/customXml" ds:itemID="{42BF936F-C497-4702-990C-5D97E4E0D916}"/>
</file>

<file path=customXml/itemProps3.xml><?xml version="1.0" encoding="utf-8"?>
<ds:datastoreItem xmlns:ds="http://schemas.openxmlformats.org/officeDocument/2006/customXml" ds:itemID="{B5A16B53-1195-4016-AB74-C7386F2E16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2025-06-20T01:52:33Z</cp:lastPrinted>
  <dcterms:created xsi:type="dcterms:W3CDTF">2019-11-27T23:28:06Z</dcterms:created>
  <dcterms:modified xsi:type="dcterms:W3CDTF">2025-07-08T00:45:07Z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