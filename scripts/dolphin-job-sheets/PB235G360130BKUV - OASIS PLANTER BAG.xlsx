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E2200B8-4525-477E-885C-99B2D3C21A8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<sst xmlns="http://schemas.openxmlformats.org/spreadsheetml/2006/main" count="309" uniqueCount="205">
  <si>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</si>
  <si>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</si>
  <si>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</si>
  <si>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</si>
  <si>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</si>
  <si>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</si>
  <si>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</si>
  <si>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</si>
  <si>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</si>
  <si>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</si>
  <si>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</si>
  <si>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</si>
  <si>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</si>
  <si>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</si>
  <si>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</si>
  <si>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</si>
  <si>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</si>
  <si>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</si>
  <si>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</si>
  <si>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</si>
  <si>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</si>
  <si>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</si>
  <si>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</si>
  <si>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</si>
  <si>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</si>
  <si>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</si>
  <si>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</si>
  <si>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</si>
  <si>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</si>
  <si>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</si>
  <si>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</si>
  <si>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</si>
  <si>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</si>
  <si>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</si>
  <si>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</si>
  <si>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</si>
  <si>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</si>
  <si>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</si>
  <si>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</si>
  <si>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</si>
  <si>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</si>
  <si>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</si>
  <si>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</si>
  <si>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</si>
  <si>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</si>
  <si>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</si>
  <si>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</si>
  <si>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</si>
  <si>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</si>
  <si>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</si>
  <si>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</si>
  <si>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</si>
  <si>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</si>
  <si>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</si>
  <si>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</si>
  <si>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</si>
  <si>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</si>
  <si>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</si>
  <si>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</si>
  <si>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</si>
  <si>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</si>
  <si>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</si>
  <si>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</si>
  <si>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</si>
  <si>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</si>
  <si>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</si>
  <si>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</si>
  <si>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</si>
  <si>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</si>
  <si>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</si>
  <si>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</si>
  <si>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</si>
  <si>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</si>
  <si>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</si>
  <si>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</si>
  <si>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</si>
  <si>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</si>
  <si>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</si>
  <si>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</si>
  <si>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</si>
  <si>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</si>
  <si>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</si>
  <si>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</si>
  <si>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</si>
  <si>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</si>
  <si>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</si>
  <si>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</si>
  <si>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</si>
  <si>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</si>
  <si>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</si>
  <si>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</si>
  <si>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</si>
  <si>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</si>
  <si>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</si>
  <si>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</si>
  <si>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</si>
  <si>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</si>
  <si>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</si>
  <si>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</si>
  <si>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</si>
  <si>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</si>
  <si>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</si>
  <si>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</si>
  <si>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</si>
  <si>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</si>
  <si>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</si>
  <si>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</si>
  <si>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</si>
  <si>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</si>
  <si>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</si>
  <si>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</si>
  <si>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</si>
  <si>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</si>
  <si>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</si>
  <si>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</si>
  <si>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</si>
  <si>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</si>
  <si>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</si>
  <si>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</si>
  <si>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</si>
  <si>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</si>
  <si>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</si>
  <si>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</si>
  <si>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</si>
  <si>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</si>
  <si>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</si>
  <si>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</si>
  <si>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</si>
  <si>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</si>
  <si>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</si>
  <si>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</si>
  <si>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</si>
  <si>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</si>
  <si>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</si>
  <si>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</si>
  <si>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</si>
  <si>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</si>
  <si>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</si>
  <si>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</si>
  <si>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</si>
  <si>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</si>
  <si>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</si>
  <si>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</si>
  <si>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</si>
  <si>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</si>
  <si>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</si>
  <si>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</si>
  <si>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</si>
  <si>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</si>
  <si>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</si>
  <si>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</si>
  <si>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</si>
  <si>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</si>
  <si>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</si>
  <si>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</si>
  <si>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</si>
  <si>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</si>
  <si>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</si>
  <si>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</si>
  <si>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</si>
  <si>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</si>
  <si>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</si>
  <si>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</si>
  <si>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</si>
  <si>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</si>
  <si>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</si>
  <si>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</si>
  <si>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</si>
  <si>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</si>
  <si>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</si>
  <si>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</si>
  <si>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</si>
  <si>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</si>
  <si>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</si>
  <si>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</si>
  <si>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</si>
  <si>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</si>
  <si>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</si>
  <si>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</si>
  <si>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</si>
  <si>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</si>
  <si>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</si>
  <si>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</si>
  <si>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</si>
  <si>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</si>
  <si>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</si>
  <si>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</si>
  <si>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</si>
  <si>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</si>
  <si>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</si>
  <si>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</si>
  <si>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</si>
  <si>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</si>
  <si>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</si>
  <si>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</si>
  <si>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</si>
  <si>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ASAP</t>
  </si>
  <si>
    <t>Centrefold Roll</t>
  </si>
  <si>
    <t>(120+115)</t>
  </si>
  <si>
    <t>PERF</t>
  </si>
  <si>
    <t>130 Meat</t>
  </si>
  <si>
    <t>150 Meat</t>
  </si>
  <si>
    <t>NEW PUNCH CONFIGURATION  - 10MM BOTTOM ROW / 8MM TOP TWO ROWS STANDARD 6 HOLE PLACEMENT</t>
  </si>
  <si>
    <t xml:space="preserve">OASIS </t>
  </si>
  <si>
    <t>OASIS FRUIT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</si>
</sst>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K22" sqref="K22:L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PB235G360130BKUVV</v>
      </c>
      <c r="C1" s="123"/>
      <c r="D1" s="124"/>
      <c r="E1" s="12" t="s">
        <v>57</v>
      </c>
      <c r="F1" s="134" t="s">
        <v>204</v>
      </c>
      <c r="G1" s="134"/>
      <c r="H1" s="135"/>
      <c r="I1" s="13" t="s">
        <v>181</v>
      </c>
      <c r="J1" s="96">
        <f ca="1">TODAY()</f>
        <v>44315</v>
      </c>
      <c r="K1" s="96"/>
      <c r="L1" s="97"/>
      <c r="M1" s="35"/>
      <c r="N1" s="12" t="s">
        <v>56</v>
      </c>
      <c r="O1" s="123" t="str">
        <f>B1</f>
        <v>PB235G360130BKUVV</v>
      </c>
      <c r="P1" s="123"/>
      <c r="Q1" s="124"/>
      <c r="R1" s="12" t="s">
        <v>57</v>
      </c>
      <c r="S1" s="123" t="str">
        <f>F1</f>
        <v>OASIS FRUIT TREES</v>
      </c>
      <c r="T1" s="123"/>
      <c r="U1" s="124"/>
      <c r="V1" s="12" t="s">
        <v>181</v>
      </c>
      <c r="W1" s="96">
        <f ca="1">J1</f>
        <v>44315</v>
      </c>
      <c r="X1" s="96"/>
      <c r="Y1" s="97"/>
    </row>
    <row r="2" spans="1:28" ht="20.100000000000001" customHeight="1" x14ac:dyDescent="0.25">
      <c r="A2" s="12" t="s">
        <v>100</v>
      </c>
      <c r="B2" s="123" t="str">
        <f>IF(U10="","",U10)</f>
        <v xml:space="preserve">OASIS </v>
      </c>
      <c r="C2" s="123"/>
      <c r="D2" s="124"/>
      <c r="E2" s="12" t="s">
        <v>58</v>
      </c>
      <c r="F2" s="99">
        <v>940194</v>
      </c>
      <c r="G2" s="99"/>
      <c r="H2" s="100"/>
      <c r="I2" s="12" t="s">
        <v>59</v>
      </c>
      <c r="J2" s="98">
        <v>44345</v>
      </c>
      <c r="K2" s="99"/>
      <c r="L2" s="100"/>
      <c r="M2" s="35"/>
      <c r="N2" s="12" t="s">
        <v>100</v>
      </c>
      <c r="O2" s="123" t="str">
        <f>IF(B2="","",B2)</f>
        <v xml:space="preserve">OASIS </v>
      </c>
      <c r="P2" s="123"/>
      <c r="Q2" s="124"/>
      <c r="R2" s="12" t="s">
        <v>58</v>
      </c>
      <c r="S2" s="123">
        <f>IF(F2="","",F2)</f>
        <v>940194</v>
      </c>
      <c r="T2" s="123"/>
      <c r="U2" s="124"/>
      <c r="V2" s="12" t="s">
        <v>59</v>
      </c>
      <c r="W2" s="136">
        <f>J2</f>
        <v>44345</v>
      </c>
      <c r="X2" s="123"/>
      <c r="Y2" s="124"/>
    </row>
    <row r="3" spans="1:28" ht="20.100000000000001" customHeight="1" x14ac:dyDescent="0.25">
      <c r="A3" s="125" t="s">
        <v>193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5"/>
      <c r="N3" s="125" t="str">
        <f>A3</f>
        <v>SPOT ON FINISH. USE DOLPHIN REMILL, MUST NOT BE BLOCKED.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5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5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5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00000000000001" customHeight="1" x14ac:dyDescent="0.3">
      <c r="A7" s="12" t="s">
        <v>49</v>
      </c>
      <c r="B7" s="120" t="s">
        <v>177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5"/>
      <c r="N7" s="12" t="str">
        <f>IF(ISNUMBER(SEARCH("roll",O8,1)),"No. Rolls","No. Cartons")</f>
        <v>No. Cartons</v>
      </c>
      <c r="O7" s="99">
        <v>20</v>
      </c>
      <c r="P7" s="100"/>
      <c r="Q7" s="12" t="str">
        <f>IF(ISNUMBER(SEARCH("roll",O8,1)),"Per Roll","Per Carton")</f>
        <v>Per Carton</v>
      </c>
      <c r="R7" s="99">
        <v>500</v>
      </c>
      <c r="S7" s="100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99" t="s">
        <v>23</v>
      </c>
      <c r="Y7" s="100"/>
      <c r="AB7" s="14"/>
    </row>
    <row r="8" spans="1:28" ht="20.100000000000001" customHeight="1" x14ac:dyDescent="0.25">
      <c r="A8" s="15" t="s">
        <v>16</v>
      </c>
      <c r="B8" s="101">
        <f>R9</f>
        <v>235</v>
      </c>
      <c r="C8" s="102"/>
      <c r="D8" s="15" t="str">
        <f>IF(ISNUMBER(SEARCH("bag",O8,1)),"Gusset","Centrefold")</f>
        <v>Gusset</v>
      </c>
      <c r="E8" s="101" t="str">
        <f>IF(O8="Centrefold Roll",B8*2,IF(X9="","None",X9))</f>
        <v>(120+115)</v>
      </c>
      <c r="F8" s="102"/>
      <c r="G8" s="15" t="s">
        <v>52</v>
      </c>
      <c r="H8" s="101">
        <f>(IF(V9&lt;30,"30",V9))</f>
        <v>130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5"/>
      <c r="N8" s="16" t="s">
        <v>54</v>
      </c>
      <c r="O8" s="139" t="s">
        <v>164</v>
      </c>
      <c r="P8" s="140"/>
      <c r="Q8" s="16" t="s">
        <v>190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G</v>
      </c>
      <c r="Y8" s="138"/>
    </row>
    <row r="9" spans="1:28" ht="20.100000000000001" customHeight="1" x14ac:dyDescent="0.3">
      <c r="A9" s="19" t="s">
        <v>48</v>
      </c>
      <c r="B9" s="111" t="s">
        <v>182</v>
      </c>
      <c r="C9" s="112"/>
      <c r="D9" s="119" t="str">
        <f>IF(K10="Middle","RUN 2 UP",IF(AND(O8="Centrefold Roll",B8=380),"RUN 2 UP",""))</f>
        <v/>
      </c>
      <c r="E9" s="120"/>
      <c r="F9" s="121"/>
      <c r="G9" s="19" t="s">
        <v>48</v>
      </c>
      <c r="H9" s="111" t="s">
        <v>194</v>
      </c>
      <c r="I9" s="112"/>
      <c r="J9" s="12" t="s">
        <v>55</v>
      </c>
      <c r="K9" s="99" t="s">
        <v>30</v>
      </c>
      <c r="L9" s="100"/>
      <c r="M9" s="35"/>
      <c r="N9" s="20"/>
      <c r="O9" s="141" t="str">
        <f>IF(O8="Poly Bag","PB",IF(O8="Poly Bag Roll","PBR",IF(O8="Centrefold Roll","CFR",IF(O8="Sheet","S",IF(O8="Sheet Roll","SR")))))</f>
        <v>PB</v>
      </c>
      <c r="P9" s="142"/>
      <c r="Q9" s="20"/>
      <c r="R9" s="36">
        <v>235</v>
      </c>
      <c r="S9" s="21" t="s">
        <v>78</v>
      </c>
      <c r="T9" s="36">
        <v>360</v>
      </c>
      <c r="U9" s="21" t="s">
        <v>78</v>
      </c>
      <c r="V9" s="36">
        <v>130</v>
      </c>
      <c r="W9" s="20"/>
      <c r="X9" s="152" t="s">
        <v>198</v>
      </c>
      <c r="Y9" s="153"/>
    </row>
    <row r="10" spans="1:28" ht="20.100000000000001" customHeight="1" x14ac:dyDescent="0.25">
      <c r="A10" s="12" t="s">
        <v>51</v>
      </c>
      <c r="B10" s="99">
        <v>16</v>
      </c>
      <c r="C10" s="100"/>
      <c r="D10" s="55" t="s">
        <v>134</v>
      </c>
      <c r="E10" s="113">
        <f>IF(ISNUMBER(SEARCH("sheet",O8,1)),((R9*T9*H8/540000)*U7/2000*1.3),((R9*T9*H8/540000)*U7/1000*1.08))</f>
        <v>219.96</v>
      </c>
      <c r="F10" s="114"/>
      <c r="G10" s="12" t="s">
        <v>53</v>
      </c>
      <c r="H10" s="117">
        <f>IF(ISNUMBER(SEARCH("sheet",O8,1)),(U7*T9/2000*1.08),(U7*T9/1000*1.08))</f>
        <v>3888.0000000000005</v>
      </c>
      <c r="I10" s="118"/>
      <c r="J10" s="12" t="s">
        <v>41</v>
      </c>
      <c r="K10" s="99" t="s">
        <v>44</v>
      </c>
      <c r="L10" s="100"/>
      <c r="M10" s="35"/>
      <c r="N10" s="22" t="s">
        <v>141</v>
      </c>
      <c r="O10" s="139" t="s">
        <v>189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203</v>
      </c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13.7475</v>
      </c>
      <c r="F11" s="116"/>
      <c r="G11" s="12" t="s">
        <v>15</v>
      </c>
      <c r="H11" s="115">
        <f>H10/B10</f>
        <v>243.00000000000003</v>
      </c>
      <c r="I11" s="116"/>
      <c r="J11" s="12" t="s">
        <v>50</v>
      </c>
      <c r="K11" s="99" t="s">
        <v>44</v>
      </c>
      <c r="L11" s="100"/>
      <c r="M11" s="35"/>
      <c r="N11" s="15"/>
      <c r="O11" s="101" t="str">
        <f>IF(O10="NONE","","V")</f>
        <v>V</v>
      </c>
      <c r="P11" s="102"/>
      <c r="Q11" s="15"/>
      <c r="R11" s="101" t="str">
        <f>IF(R10="None","","P")</f>
        <v/>
      </c>
      <c r="S11" s="102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5"/>
      <c r="N12" s="143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00000000000001" customHeight="1" x14ac:dyDescent="0.25">
      <c r="A13" s="12" t="s">
        <v>68</v>
      </c>
      <c r="B13" s="99" t="s">
        <v>44</v>
      </c>
      <c r="C13" s="99"/>
      <c r="D13" s="100"/>
      <c r="E13" s="23" t="s">
        <v>61</v>
      </c>
      <c r="F13" s="99" t="s">
        <v>44</v>
      </c>
      <c r="G13" s="99"/>
      <c r="H13" s="100"/>
      <c r="I13" s="24" t="s">
        <v>62</v>
      </c>
      <c r="J13" s="99" t="s">
        <v>44</v>
      </c>
      <c r="K13" s="99"/>
      <c r="L13" s="100"/>
      <c r="M13" s="35"/>
      <c r="N13" s="12" t="s">
        <v>72</v>
      </c>
      <c r="O13" s="37" t="s">
        <v>57</v>
      </c>
      <c r="P13" s="12" t="s">
        <v>73</v>
      </c>
      <c r="Q13" s="25">
        <f>O7</f>
        <v>20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5"/>
      <c r="N14" s="143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00000000000001" customHeight="1" x14ac:dyDescent="0.2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5"/>
      <c r="N16" s="12" t="s">
        <v>28</v>
      </c>
      <c r="O16" s="99" t="s">
        <v>38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7" t="s">
        <v>81</v>
      </c>
      <c r="H17" s="38"/>
      <c r="I17" s="94"/>
      <c r="J17" s="95"/>
      <c r="K17" s="94"/>
      <c r="L17" s="95"/>
      <c r="M17" s="35"/>
      <c r="N17" s="12" t="s">
        <v>26</v>
      </c>
      <c r="O17" s="99" t="s">
        <v>37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23</v>
      </c>
      <c r="V17" s="100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7" t="s">
        <v>82</v>
      </c>
      <c r="H18" s="38"/>
      <c r="I18" s="94"/>
      <c r="J18" s="95"/>
      <c r="K18" s="94"/>
      <c r="L18" s="95"/>
      <c r="M18" s="35"/>
      <c r="N18" s="12" t="s">
        <v>101</v>
      </c>
      <c r="O18" s="99" t="s">
        <v>186</v>
      </c>
      <c r="P18" s="100"/>
      <c r="Q18" s="12" t="s">
        <v>106</v>
      </c>
      <c r="R18" s="99" t="s">
        <v>31</v>
      </c>
      <c r="S18" s="100"/>
      <c r="T18" s="26" t="s">
        <v>27</v>
      </c>
      <c r="U18" s="99" t="s">
        <v>36</v>
      </c>
      <c r="V18" s="100"/>
      <c r="W18" s="12" t="s">
        <v>109</v>
      </c>
      <c r="X18" s="158"/>
      <c r="Y18" s="159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7" t="s">
        <v>83</v>
      </c>
      <c r="H19" s="38"/>
      <c r="I19" s="94"/>
      <c r="J19" s="95"/>
      <c r="K19" s="94"/>
      <c r="L19" s="95"/>
      <c r="M19" s="35"/>
      <c r="N19" s="160" t="s">
        <v>202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7" t="s">
        <v>84</v>
      </c>
      <c r="H20" s="38"/>
      <c r="I20" s="94"/>
      <c r="J20" s="95"/>
      <c r="K20" s="94"/>
      <c r="L20" s="95"/>
      <c r="M20" s="35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7" t="s">
        <v>85</v>
      </c>
      <c r="H21" s="38"/>
      <c r="I21" s="94"/>
      <c r="J21" s="95"/>
      <c r="K21" s="94"/>
      <c r="L21" s="95"/>
      <c r="M21" s="35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6" t="str">
        <f>(IF(B7="NATURAL","",B7))</f>
        <v>BLACK</v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0"/>
      <c r="E22" s="94"/>
      <c r="F22" s="95"/>
      <c r="G22" s="57" t="s">
        <v>86</v>
      </c>
      <c r="H22" s="38"/>
      <c r="I22" s="94"/>
      <c r="J22" s="95"/>
      <c r="K22" s="94"/>
      <c r="L22" s="95"/>
      <c r="M22" s="35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1" t="s">
        <v>195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0"/>
      <c r="E23" s="94"/>
      <c r="F23" s="95"/>
      <c r="G23" s="57" t="s">
        <v>87</v>
      </c>
      <c r="H23" s="38"/>
      <c r="I23" s="94"/>
      <c r="J23" s="95"/>
      <c r="K23" s="94"/>
      <c r="L23" s="95"/>
      <c r="M23" s="35"/>
      <c r="N23" s="143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7" t="s">
        <v>88</v>
      </c>
      <c r="H24" s="38"/>
      <c r="I24" s="94"/>
      <c r="J24" s="95"/>
      <c r="K24" s="94"/>
      <c r="L24" s="95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5"/>
      <c r="N25" s="27" t="s">
        <v>96</v>
      </c>
      <c r="O25" s="10" t="s">
        <v>199</v>
      </c>
      <c r="P25" s="40"/>
      <c r="Q25" s="10">
        <v>21</v>
      </c>
      <c r="R25" s="10">
        <v>6</v>
      </c>
      <c r="S25" s="10"/>
      <c r="T25" s="10">
        <v>8</v>
      </c>
      <c r="U25" s="10"/>
      <c r="V25" s="10">
        <v>3</v>
      </c>
      <c r="W25" s="10">
        <v>220</v>
      </c>
      <c r="X25" s="10">
        <v>220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57" t="s">
        <v>132</v>
      </c>
      <c r="H26" s="157"/>
      <c r="I26" s="157" t="s">
        <v>131</v>
      </c>
      <c r="J26" s="157"/>
      <c r="K26" s="29" t="s">
        <v>94</v>
      </c>
      <c r="L26" s="29" t="s">
        <v>95</v>
      </c>
      <c r="M26" s="35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6" t="s">
        <v>183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191</v>
      </c>
      <c r="X27" s="56" t="s">
        <v>192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183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191</v>
      </c>
      <c r="X44" s="56" t="s">
        <v>192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3" zoomScaleNormal="10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44345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44336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196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197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 t="s">
        <v>200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 t="s">
        <v>201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186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46909CC-F4D0-4B43-909F-26009444DB0F}"/>
</file>

<file path=customXml/itemProps2.xml><?xml version="1.0" encoding="utf-8"?>
<ds:datastoreItem xmlns:ds="http://schemas.openxmlformats.org/officeDocument/2006/customXml" ds:itemID="{772F70C2-854F-4B44-9909-0F443BCADDBC}"/>
</file>

<file path=customXml/itemProps3.xml><?xml version="1.0" encoding="utf-8"?>
<ds:datastoreItem xmlns:ds="http://schemas.openxmlformats.org/officeDocument/2006/customXml" ds:itemID="{C732FA13-BB6B-424D-8D87-9AE61CD481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2021-04-28T23:56:23Z</cp:lastPrinted>
  <dcterms:created xsi:type="dcterms:W3CDTF">2019-11-27T23:28:06Z</dcterms:created>
  <dcterms:modified xsi:type="dcterms:W3CDTF">2021-04-29T00:29:26Z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