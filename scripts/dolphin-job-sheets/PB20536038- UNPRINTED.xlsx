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29A6FD1-9D49-4873-808A-F629BD4ADBA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<sst xmlns="http://schemas.openxmlformats.org/spreadsheetml/2006/main" count="307" uniqueCount="202">
  <si>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</si>
  <si>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</si>
  <si>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</si>
  <si>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</si>
  <si>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</si>
  <si>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</si>
  <si>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</si>
  <si>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</si>
  <si>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</si>
  <si>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</si>
  <si>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</si>
  <si>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</si>
  <si>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</si>
  <si>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</si>
  <si>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</si>
  <si>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</si>
  <si>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</si>
  <si>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</si>
  <si>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</si>
  <si>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</si>
  <si>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</si>
  <si>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</si>
  <si>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</si>
  <si>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</si>
  <si>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</si>
  <si>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</si>
  <si>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</si>
  <si>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</si>
  <si>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</si>
  <si>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</si>
  <si>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</si>
  <si>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</si>
  <si>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</si>
  <si>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</si>
  <si>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</si>
  <si>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</si>
  <si>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</si>
  <si>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</si>
  <si>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</si>
  <si>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</si>
  <si>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</si>
  <si>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</si>
  <si>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</si>
  <si>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</si>
  <si>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</si>
  <si>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</si>
  <si>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</si>
  <si>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</si>
  <si>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</si>
  <si>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</si>
  <si>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</si>
  <si>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</si>
  <si>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</si>
  <si>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</si>
  <si>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</si>
  <si>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</si>
  <si>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</si>
  <si>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</si>
  <si>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</si>
  <si>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</si>
  <si>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</si>
  <si>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</si>
  <si>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</si>
  <si>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</si>
  <si>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</si>
  <si>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</si>
  <si>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</si>
  <si>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</si>
  <si>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</si>
  <si>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</si>
  <si>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</si>
  <si>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</si>
  <si>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</si>
  <si>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</si>
  <si>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</si>
  <si>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</si>
  <si>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</si>
  <si>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</si>
  <si>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</si>
  <si>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</si>
  <si>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</si>
  <si>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</si>
  <si>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</si>
  <si>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</si>
  <si>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</si>
  <si>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</si>
  <si>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</si>
  <si>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</si>
  <si>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</si>
  <si>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</si>
  <si>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</si>
  <si>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</si>
  <si>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</si>
  <si>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</si>
  <si>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</si>
  <si>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</si>
  <si>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</si>
  <si>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</si>
  <si>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</si>
  <si>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</si>
  <si>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</si>
  <si>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</si>
  <si>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</si>
  <si>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</si>
  <si>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</si>
  <si>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</si>
  <si>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</si>
  <si>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</si>
  <si>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</si>
  <si>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</si>
  <si>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</si>
  <si>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</si>
  <si>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</si>
  <si>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</si>
  <si>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</si>
  <si>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</si>
  <si>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</si>
  <si>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</si>
  <si>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</si>
  <si>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</si>
  <si>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</si>
  <si>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</si>
  <si>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</si>
  <si>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</si>
  <si>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</si>
  <si>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</si>
  <si>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</si>
  <si>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</si>
  <si>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</si>
  <si>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</si>
  <si>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</si>
  <si>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</si>
  <si>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</si>
  <si>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</si>
  <si>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</si>
  <si>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</si>
  <si>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</si>
  <si>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</si>
  <si>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</si>
  <si>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</si>
  <si>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</si>
  <si>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</si>
  <si>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</si>
  <si>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</si>
  <si>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</si>
  <si>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</si>
  <si>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</si>
  <si>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</si>
  <si>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</si>
  <si>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</si>
  <si>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</si>
  <si>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</si>
  <si>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</si>
  <si>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</si>
  <si>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</si>
  <si>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</si>
  <si>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</si>
  <si>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</si>
  <si>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</si>
  <si>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</si>
  <si>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</si>
  <si>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</si>
  <si>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</si>
  <si>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</si>
  <si>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</si>
  <si>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</si>
  <si>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</si>
  <si>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</si>
  <si>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</si>
  <si>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</si>
  <si>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</si>
  <si>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</si>
  <si>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</si>
  <si>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</si>
  <si>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</si>
  <si>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</si>
  <si>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</si>
  <si>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</si>
  <si>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</si>
  <si>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</si>
  <si>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</si>
  <si>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</si>
  <si>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</si>
  <si>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</si>
  <si>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</si>
  <si>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</si>
  <si>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</si>
  <si>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</si>
  <si>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</si>
  <si>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</si>
  <si>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</si>
  <si>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</si>
  <si>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</si>
  <si>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</si>
  <si>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+/- 3um</t>
  </si>
  <si>
    <t>RUN AT 90um</t>
  </si>
  <si>
    <t xml:space="preserve">LIMAX </t>
  </si>
  <si>
    <t>DAVES POPCORN</t>
  </si>
  <si>
    <t>22.02.2021</t>
  </si>
  <si>
    <t>FOOD GRADE  TOLERANCE +/- 3MM - NO CUTS IN PLASTIC - NO BURN UP - NO CREASING</t>
  </si>
  <si>
    <t>PB20536038 UNPRINTED</t>
  </si>
  <si>
    <t>UNPRINTED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</si>
</sst>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F12" sqref="AF1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">
        <v>200</v>
      </c>
      <c r="C1" s="122"/>
      <c r="D1" s="123"/>
      <c r="E1" s="12" t="s">
        <v>57</v>
      </c>
      <c r="F1" s="124" t="s">
        <v>197</v>
      </c>
      <c r="G1" s="124"/>
      <c r="H1" s="125"/>
      <c r="I1" s="13" t="s">
        <v>181</v>
      </c>
      <c r="J1" s="95">
        <f ca="1">TODAY()</f>
        <v>44214</v>
      </c>
      <c r="K1" s="95"/>
      <c r="L1" s="96"/>
      <c r="M1" s="34"/>
      <c r="N1" s="12" t="s">
        <v>56</v>
      </c>
      <c r="O1" s="122" t="str">
        <f>B1</f>
        <v>PB20536038 UNPRINTED</v>
      </c>
      <c r="P1" s="122"/>
      <c r="Q1" s="123"/>
      <c r="R1" s="12" t="s">
        <v>57</v>
      </c>
      <c r="S1" s="122" t="str">
        <f>F1</f>
        <v>DAVES POPCORN</v>
      </c>
      <c r="T1" s="122"/>
      <c r="U1" s="123"/>
      <c r="V1" s="12" t="s">
        <v>181</v>
      </c>
      <c r="W1" s="95">
        <f ca="1">J1</f>
        <v>44214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UNPRINTED</v>
      </c>
      <c r="C2" s="122"/>
      <c r="D2" s="123"/>
      <c r="E2" s="12" t="s">
        <v>58</v>
      </c>
      <c r="F2" s="98">
        <v>939331</v>
      </c>
      <c r="G2" s="98"/>
      <c r="H2" s="99"/>
      <c r="I2" s="12" t="s">
        <v>59</v>
      </c>
      <c r="J2" s="97" t="s">
        <v>198</v>
      </c>
      <c r="K2" s="98"/>
      <c r="L2" s="99"/>
      <c r="M2" s="34"/>
      <c r="N2" s="12" t="s">
        <v>100</v>
      </c>
      <c r="O2" s="122" t="str">
        <f>IF(B2="","",B2)</f>
        <v>UNPRINTED</v>
      </c>
      <c r="P2" s="122"/>
      <c r="Q2" s="123"/>
      <c r="R2" s="12" t="s">
        <v>58</v>
      </c>
      <c r="S2" s="122">
        <f>IF(F2="","",F2)</f>
        <v>939331</v>
      </c>
      <c r="T2" s="122"/>
      <c r="U2" s="123"/>
      <c r="V2" s="12" t="s">
        <v>59</v>
      </c>
      <c r="W2" s="126" t="str">
        <f>J2</f>
        <v>22.02.2021</v>
      </c>
      <c r="X2" s="122"/>
      <c r="Y2" s="123"/>
    </row>
    <row r="3" spans="1:28" ht="20.100000000000001" customHeight="1" x14ac:dyDescent="0.25">
      <c r="A3" s="150" t="s">
        <v>199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  <c r="M3" s="34"/>
      <c r="N3" s="150" t="str">
        <f>A3</f>
        <v>FOOD GRADE  TOLERANCE +/- 3MM - NO CUTS IN PLASTIC - NO BURN UP - NO CREASING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2"/>
    </row>
    <row r="4" spans="1:28" ht="20.100000000000001" customHeight="1" x14ac:dyDescent="0.25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5"/>
      <c r="M4" s="34"/>
      <c r="N4" s="153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5"/>
    </row>
    <row r="5" spans="1:28" ht="20.100000000000001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8"/>
      <c r="M5" s="34"/>
      <c r="N5" s="156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8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205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38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29" t="s">
        <v>164</v>
      </c>
      <c r="P8" s="13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7" t="str">
        <f>IF(AND(W8="Gusset",X9=""), "None",IF(AND(W8="Centrefold",X9=""),"None",IF(W8="Gusset","G",IF(W8="Centrefold","CF"))))</f>
        <v>None</v>
      </c>
      <c r="Y8" s="12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31" t="str">
        <f>IF(O8="Poly Bag","PB",IF(O8="Poly Bag Roll","PBR",IF(O8="Centrefold Roll","CFR",IF(O8="Sheet","S",IF(O8="Sheet Roll","SR")))))</f>
        <v>PB</v>
      </c>
      <c r="P9" s="132"/>
      <c r="Q9" s="19"/>
      <c r="R9" s="35">
        <v>205</v>
      </c>
      <c r="S9" s="20" t="s">
        <v>78</v>
      </c>
      <c r="T9" s="35">
        <v>360</v>
      </c>
      <c r="U9" s="20" t="s">
        <v>78</v>
      </c>
      <c r="V9" s="35">
        <v>38</v>
      </c>
      <c r="W9" s="19"/>
      <c r="X9" s="142"/>
      <c r="Y9" s="143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56.088000000000008</v>
      </c>
      <c r="F10" s="113"/>
      <c r="G10" s="12" t="s">
        <v>53</v>
      </c>
      <c r="H10" s="116">
        <f>IF(ISNUMBER(SEARCH("sheet",O8,1)),(U7*T9/2000*1.08),(U7*T9/1000*1.08))</f>
        <v>3888.0000000000005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29" t="s">
        <v>44</v>
      </c>
      <c r="P10" s="130"/>
      <c r="Q10" s="16" t="s">
        <v>50</v>
      </c>
      <c r="R10" s="127" t="str">
        <f>IF(K11="NONE","None",IF(K11="INLINE","Yes",IF(K11="OUT OF LINE","Yes")))</f>
        <v>None</v>
      </c>
      <c r="S10" s="127"/>
      <c r="T10" s="16" t="s">
        <v>100</v>
      </c>
      <c r="U10" s="134" t="s">
        <v>201</v>
      </c>
      <c r="V10" s="134"/>
      <c r="W10" s="134"/>
      <c r="X10" s="134"/>
      <c r="Y10" s="13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14.022000000000002</v>
      </c>
      <c r="F11" s="115"/>
      <c r="G11" s="12" t="s">
        <v>15</v>
      </c>
      <c r="H11" s="114">
        <f>H10/B10</f>
        <v>972.00000000000011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36"/>
      <c r="V11" s="136"/>
      <c r="W11" s="136"/>
      <c r="X11" s="136"/>
      <c r="Y11" s="13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3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3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169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48"/>
      <c r="Y16" s="14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48"/>
      <c r="Y17" s="14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48"/>
      <c r="Y18" s="14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3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7" t="s">
        <v>132</v>
      </c>
      <c r="H26" s="147"/>
      <c r="I26" s="147" t="s">
        <v>131</v>
      </c>
      <c r="J26" s="147"/>
      <c r="K26" s="28" t="s">
        <v>94</v>
      </c>
      <c r="L26" s="28" t="s">
        <v>95</v>
      </c>
      <c r="M26" s="34"/>
      <c r="N26" s="144" t="s">
        <v>137</v>
      </c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38" t="s">
        <v>99</v>
      </c>
      <c r="B29" s="139"/>
      <c r="C29" s="139"/>
      <c r="D29" s="139"/>
      <c r="E29" s="139"/>
      <c r="F29" s="140"/>
      <c r="G29" s="140"/>
      <c r="H29" s="140"/>
      <c r="I29" s="140"/>
      <c r="J29" s="140"/>
      <c r="K29" s="139"/>
      <c r="L29" s="14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F1:H1" xr:uid="{6715E9C5-39D4-4A80-8725-C939C604979C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44235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F3AF223-ACAD-4346-89AF-B87F3D10F5E3}"/>
</file>

<file path=customXml/itemProps2.xml><?xml version="1.0" encoding="utf-8"?>
<ds:datastoreItem xmlns:ds="http://schemas.openxmlformats.org/officeDocument/2006/customXml" ds:itemID="{14B6CFF1-D811-4F35-80FB-BB2947B0CBA8}"/>
</file>

<file path=customXml/itemProps3.xml><?xml version="1.0" encoding="utf-8"?>
<ds:datastoreItem xmlns:ds="http://schemas.openxmlformats.org/officeDocument/2006/customXml" ds:itemID="{92B90E56-7016-425D-BA50-FD8EDBEF5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2021-01-18T03:23:22Z</cp:lastPrinted>
  <dcterms:created xsi:type="dcterms:W3CDTF">2019-11-27T23:28:06Z</dcterms:created>
  <dcterms:modified xsi:type="dcterms:W3CDTF">2021-01-18T03:24:27Z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