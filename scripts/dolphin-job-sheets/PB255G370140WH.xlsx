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CEE3DE6-CA8F-44A6-8FB0-5FA3D0B12D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<sst xmlns="http://schemas.openxmlformats.org/spreadsheetml/2006/main" count="305" uniqueCount="201">
  <si>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</si>
  <si>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</si>
  <si>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</si>
  <si>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</si>
  <si>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</si>
  <si>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</si>
  <si>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</si>
  <si>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</si>
  <si>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</si>
  <si>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</si>
  <si>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</si>
  <si>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</si>
  <si>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</si>
  <si>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</si>
  <si>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</si>
  <si>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</si>
  <si>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</si>
  <si>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</si>
  <si>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</si>
  <si>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</si>
  <si>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</si>
  <si>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</si>
  <si>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</si>
  <si>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</si>
  <si>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</si>
  <si>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</si>
  <si>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</si>
  <si>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</si>
  <si>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</si>
  <si>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</si>
  <si>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</si>
  <si>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</si>
  <si>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</si>
  <si>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</si>
  <si>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</si>
  <si>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</si>
  <si>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</si>
  <si>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</si>
  <si>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</si>
  <si>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</si>
  <si>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</si>
  <si>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</si>
  <si>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</si>
  <si>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</si>
  <si>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</si>
  <si>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</si>
  <si>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</si>
  <si>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</si>
  <si>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</si>
  <si>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</si>
  <si>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</si>
  <si>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</si>
  <si>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</si>
  <si>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</si>
  <si>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</si>
  <si>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</si>
  <si>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</si>
  <si>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</si>
  <si>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</si>
  <si>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</si>
  <si>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</si>
  <si>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</si>
  <si>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</si>
  <si>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</si>
  <si>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</si>
  <si>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</si>
  <si>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</si>
  <si>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</si>
  <si>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</si>
  <si>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</si>
  <si>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</si>
  <si>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</si>
  <si>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</si>
  <si>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</si>
  <si>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</si>
  <si>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</si>
  <si>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</si>
  <si>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</si>
  <si>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</si>
  <si>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</si>
  <si>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</si>
  <si>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</si>
  <si>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</si>
  <si>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</si>
  <si>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</si>
  <si>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</si>
  <si>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</si>
  <si>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</si>
  <si>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</si>
  <si>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</si>
  <si>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</si>
  <si>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</si>
  <si>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</si>
  <si>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</si>
  <si>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</si>
  <si>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</si>
  <si>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</si>
  <si>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</si>
  <si>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</si>
  <si>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</si>
  <si>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</si>
  <si>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</si>
  <si>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</si>
  <si>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</si>
  <si>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</si>
  <si>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</si>
  <si>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</si>
  <si>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</si>
  <si>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</si>
  <si>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</si>
  <si>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</si>
  <si>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</si>
  <si>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</si>
  <si>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</si>
  <si>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</si>
  <si>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</si>
  <si>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</si>
  <si>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</si>
  <si>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</si>
  <si>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</si>
  <si>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</si>
  <si>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</si>
  <si>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</si>
  <si>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</si>
  <si>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</si>
  <si>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</si>
  <si>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</si>
  <si>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</si>
  <si>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</si>
  <si>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</si>
  <si>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</si>
  <si>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</si>
  <si>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</si>
  <si>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</si>
  <si>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</si>
  <si>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</si>
  <si>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</si>
  <si>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</si>
  <si>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</si>
  <si>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</si>
  <si>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</si>
  <si>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</si>
  <si>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</si>
  <si>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</si>
  <si>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</si>
  <si>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</si>
  <si>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</si>
  <si>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</si>
  <si>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</si>
  <si>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</si>
  <si>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</si>
  <si>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</si>
  <si>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</si>
  <si>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</si>
  <si>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</si>
  <si>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</si>
  <si>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</si>
  <si>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</si>
  <si>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</si>
  <si>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</si>
  <si>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</si>
  <si>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</si>
  <si>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</si>
  <si>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</si>
  <si>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</si>
  <si>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</si>
  <si>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</si>
  <si>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</si>
  <si>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</si>
  <si>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</si>
  <si>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</si>
  <si>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</si>
  <si>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</si>
  <si>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</si>
  <si>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</si>
  <si>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</si>
  <si>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</si>
  <si>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</si>
  <si>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</si>
  <si>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</si>
  <si>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</si>
  <si>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</si>
  <si>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</si>
  <si>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</si>
  <si>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</si>
  <si>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</si>
  <si>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</si>
  <si>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</si>
  <si>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</si>
  <si>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</si>
  <si>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</si>
  <si>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</si>
  <si>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</si>
  <si>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</si>
  <si>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</si>
  <si>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(135+120)</t>
  </si>
  <si>
    <t>UV</t>
  </si>
  <si>
    <t>EAST COAST CITRUS</t>
  </si>
  <si>
    <t>RUN @ 130-135</t>
  </si>
  <si>
    <r>
      <t xml:space="preserve">Notes   </t>
    </r>
    <r>
      <rPr>
        <b/>
        <sz val="20"/>
        <color rgb="FFFF0000"/>
        <rFont val="Calibri"/>
        <family val="2"/>
        <scheme val="minor"/>
      </rPr>
      <t>8MM PUNCH ON TOP ROW &amp; 10MM PUNCH ON BOTTOM TWO ROWS</t>
    </r>
  </si>
  <si>
    <t xml:space="preserve"> MUST HAVE UV &amp; SOLID WHITE - MUST HAVE GOOD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</si>
</sst>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0" fillId="5" borderId="4" xfId="0" applyFont="1" applyFill="1" applyBorder="1" applyAlignment="1" applyProtection="1">
      <alignment horizontal="center"/>
    </xf>
    <xf numFmtId="0" fontId="10" fillId="5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5" borderId="7" xfId="0" applyFont="1" applyFill="1" applyBorder="1" applyAlignment="1" applyProtection="1">
      <alignment horizontal="center" vertical="center" wrapText="1"/>
      <protection locked="0"/>
    </xf>
    <xf numFmtId="0" fontId="9" fillId="5" borderId="3" xfId="0" applyFont="1" applyFill="1" applyBorder="1" applyAlignment="1" applyProtection="1">
      <alignment horizontal="center" vertical="center" wrapText="1"/>
      <protection locked="0"/>
    </xf>
    <xf numFmtId="0" fontId="9" fillId="5" borderId="8" xfId="0" applyFont="1" applyFill="1" applyBorder="1" applyAlignment="1" applyProtection="1">
      <alignment horizontal="center" vertical="center" wrapText="1"/>
      <protection locked="0"/>
    </xf>
    <xf numFmtId="0" fontId="9" fillId="5" borderId="9" xfId="0" applyFont="1" applyFill="1" applyBorder="1" applyAlignment="1" applyProtection="1">
      <alignment horizontal="center" vertical="center" wrapText="1"/>
      <protection locked="0"/>
    </xf>
    <xf numFmtId="0" fontId="9" fillId="5" borderId="0" xfId="0" applyFont="1" applyFill="1" applyBorder="1" applyAlignment="1" applyProtection="1">
      <alignment horizontal="center" vertical="center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9" fillId="5" borderId="1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9" fillId="5" borderId="12" xfId="0" applyFont="1" applyFill="1" applyBorder="1" applyAlignment="1" applyProtection="1">
      <alignment horizontal="center" vertical="center" wrapText="1"/>
      <protection locked="0"/>
    </xf>
    <xf numFmtId="0" fontId="10" fillId="5" borderId="6" xfId="0" applyFont="1" applyFill="1" applyBorder="1" applyAlignment="1" applyProtection="1">
      <alignment horizontal="left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15" sqref="AD1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PB255G370140WHUVV</v>
      </c>
      <c r="C1" s="124"/>
      <c r="D1" s="125"/>
      <c r="E1" s="12" t="s">
        <v>57</v>
      </c>
      <c r="F1" s="135" t="s">
        <v>197</v>
      </c>
      <c r="G1" s="135"/>
      <c r="H1" s="136"/>
      <c r="I1" s="13" t="s">
        <v>181</v>
      </c>
      <c r="J1" s="97">
        <f ca="1">TODAY()</f>
        <v>44620</v>
      </c>
      <c r="K1" s="97"/>
      <c r="L1" s="98"/>
      <c r="M1" s="34"/>
      <c r="N1" s="12" t="s">
        <v>56</v>
      </c>
      <c r="O1" s="124" t="str">
        <f>B1</f>
        <v>PB255G370140WHUVV</v>
      </c>
      <c r="P1" s="124"/>
      <c r="Q1" s="125"/>
      <c r="R1" s="12" t="s">
        <v>57</v>
      </c>
      <c r="S1" s="124" t="str">
        <f>F1</f>
        <v>EAST COAST CITRUS</v>
      </c>
      <c r="T1" s="124"/>
      <c r="U1" s="125"/>
      <c r="V1" s="12" t="s">
        <v>181</v>
      </c>
      <c r="W1" s="97">
        <f ca="1">J1</f>
        <v>44620</v>
      </c>
      <c r="X1" s="97"/>
      <c r="Y1" s="98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100">
        <v>942670</v>
      </c>
      <c r="G2" s="100"/>
      <c r="H2" s="101"/>
      <c r="I2" s="12" t="s">
        <v>59</v>
      </c>
      <c r="J2" s="99">
        <v>44643</v>
      </c>
      <c r="K2" s="100"/>
      <c r="L2" s="101"/>
      <c r="M2" s="34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942670</v>
      </c>
      <c r="T2" s="124"/>
      <c r="U2" s="125"/>
      <c r="V2" s="12" t="s">
        <v>59</v>
      </c>
      <c r="W2" s="137">
        <f>J2</f>
        <v>44643</v>
      </c>
      <c r="X2" s="124"/>
      <c r="Y2" s="125"/>
    </row>
    <row r="3" spans="1:28" ht="20.100000000000001" customHeight="1" x14ac:dyDescent="0.25">
      <c r="A3" s="126" t="s">
        <v>200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 t="str">
        <f>A3</f>
        <v xml:space="preserve"> MUST HAVE UV &amp; SOLID WHITE - MUST HAVE GOOD SEALS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08" t="s">
        <v>2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4"/>
      <c r="N6" s="123" t="s">
        <v>2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/>
    </row>
    <row r="7" spans="1:28" ht="20.100000000000001" customHeight="1" x14ac:dyDescent="0.3">
      <c r="A7" s="12" t="s">
        <v>49</v>
      </c>
      <c r="B7" s="121" t="s">
        <v>155</v>
      </c>
      <c r="C7" s="121"/>
      <c r="D7" s="121"/>
      <c r="E7" s="121"/>
      <c r="F7" s="121"/>
      <c r="G7" s="121"/>
      <c r="H7" s="121"/>
      <c r="I7" s="122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100">
        <v>27</v>
      </c>
      <c r="P7" s="101"/>
      <c r="Q7" s="12" t="str">
        <f>IF(ISNUMBER(SEARCH("roll",O8,1)),"Per Roll","Per Carton")</f>
        <v>Per Carton</v>
      </c>
      <c r="R7" s="100">
        <v>200</v>
      </c>
      <c r="S7" s="101"/>
      <c r="T7" s="12" t="str">
        <f>IF(ISNUMBER(SEARCH("bag",O8,1)),"Total Bags","Total Sheets")</f>
        <v>Total Bags</v>
      </c>
      <c r="U7" s="124">
        <f>R7*O7</f>
        <v>5400</v>
      </c>
      <c r="V7" s="125"/>
      <c r="W7" s="12" t="s">
        <v>102</v>
      </c>
      <c r="X7" s="100" t="s">
        <v>23</v>
      </c>
      <c r="Y7" s="101"/>
      <c r="AB7" s="14"/>
    </row>
    <row r="8" spans="1:28" ht="20.100000000000001" customHeight="1" x14ac:dyDescent="0.25">
      <c r="A8" s="15" t="s">
        <v>16</v>
      </c>
      <c r="B8" s="102">
        <f>R9</f>
        <v>255</v>
      </c>
      <c r="C8" s="103"/>
      <c r="D8" s="32" t="str">
        <f>IF(ISNUMBER(SEARCH("bag",O8,1)),"Gusset","Centrefold")</f>
        <v>Gusset</v>
      </c>
      <c r="E8" s="102" t="str">
        <f>IF(O8="Centrefold Roll",B8*2,IF(X9="","None",X9))</f>
        <v>(135+120)</v>
      </c>
      <c r="F8" s="103"/>
      <c r="G8" s="15" t="s">
        <v>52</v>
      </c>
      <c r="H8" s="102">
        <f>(IF(V9&lt;30,"30",V9))</f>
        <v>140</v>
      </c>
      <c r="I8" s="10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G</v>
      </c>
      <c r="Y8" s="139"/>
    </row>
    <row r="9" spans="1:28" ht="20.100000000000001" customHeight="1" x14ac:dyDescent="0.3">
      <c r="A9" s="18" t="s">
        <v>48</v>
      </c>
      <c r="B9" s="112" t="s">
        <v>194</v>
      </c>
      <c r="C9" s="113"/>
      <c r="D9" s="120" t="str">
        <f>IF(K10="Middle","RUN 2 UP",IF(AND(O8="Centrefold Roll",B8=380),"RUN 2 UP",""))</f>
        <v/>
      </c>
      <c r="E9" s="121"/>
      <c r="F9" s="122"/>
      <c r="G9" s="18" t="s">
        <v>48</v>
      </c>
      <c r="H9" s="112" t="s">
        <v>198</v>
      </c>
      <c r="I9" s="113"/>
      <c r="J9" s="12" t="s">
        <v>55</v>
      </c>
      <c r="K9" s="100" t="s">
        <v>30</v>
      </c>
      <c r="L9" s="101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255</v>
      </c>
      <c r="S9" s="20" t="s">
        <v>78</v>
      </c>
      <c r="T9" s="35">
        <v>370</v>
      </c>
      <c r="U9" s="20" t="s">
        <v>78</v>
      </c>
      <c r="V9" s="35">
        <v>140</v>
      </c>
      <c r="W9" s="19"/>
      <c r="X9" s="153" t="s">
        <v>195</v>
      </c>
      <c r="Y9" s="154"/>
    </row>
    <row r="10" spans="1:28" ht="20.100000000000001" customHeight="1" x14ac:dyDescent="0.25">
      <c r="A10" s="12" t="s">
        <v>51</v>
      </c>
      <c r="B10" s="100">
        <v>8</v>
      </c>
      <c r="C10" s="101"/>
      <c r="D10" s="54" t="s">
        <v>134</v>
      </c>
      <c r="E10" s="114">
        <f>IF(ISNUMBER(SEARCH("sheet",O8,1)),((R9*T9*H8/540000)*U7/2000*1.3),((R9*T9*H8/540000)*U7/1000*1.08))</f>
        <v>142.65720000000002</v>
      </c>
      <c r="F10" s="115"/>
      <c r="G10" s="12" t="s">
        <v>53</v>
      </c>
      <c r="H10" s="118">
        <f>IF(ISNUMBER(SEARCH("sheet",O8,1)),(U7*T9/2000*1.08),(U7*T9/1000*1.08))</f>
        <v>2157.84</v>
      </c>
      <c r="I10" s="119"/>
      <c r="J10" s="12" t="s">
        <v>41</v>
      </c>
      <c r="K10" s="100" t="s">
        <v>44</v>
      </c>
      <c r="L10" s="101"/>
      <c r="M10" s="34"/>
      <c r="N10" s="21" t="s">
        <v>141</v>
      </c>
      <c r="O10" s="140" t="s">
        <v>140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17.832150000000002</v>
      </c>
      <c r="F11" s="117"/>
      <c r="G11" s="12" t="s">
        <v>15</v>
      </c>
      <c r="H11" s="116">
        <f>H10/B10</f>
        <v>269.73</v>
      </c>
      <c r="I11" s="117"/>
      <c r="J11" s="12" t="s">
        <v>50</v>
      </c>
      <c r="K11" s="100" t="s">
        <v>44</v>
      </c>
      <c r="L11" s="101"/>
      <c r="M11" s="34"/>
      <c r="N11" s="15"/>
      <c r="O11" s="102" t="str">
        <f>IF(O10="NONE","","V")</f>
        <v>V</v>
      </c>
      <c r="P11" s="103"/>
      <c r="Q11" s="15"/>
      <c r="R11" s="102" t="str">
        <f>IF(R10="None","","P")</f>
        <v/>
      </c>
      <c r="S11" s="103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4" t="s">
        <v>13</v>
      </c>
      <c r="B12" s="105"/>
      <c r="C12" s="105"/>
      <c r="D12" s="105"/>
      <c r="E12" s="106"/>
      <c r="F12" s="106"/>
      <c r="G12" s="106"/>
      <c r="H12" s="106"/>
      <c r="I12" s="106"/>
      <c r="J12" s="106"/>
      <c r="K12" s="106"/>
      <c r="L12" s="107"/>
      <c r="M12" s="34"/>
      <c r="N12" s="144" t="s">
        <v>71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8" ht="20.100000000000001" customHeight="1" x14ac:dyDescent="0.25">
      <c r="A13" s="12" t="s">
        <v>68</v>
      </c>
      <c r="B13" s="100" t="s">
        <v>44</v>
      </c>
      <c r="C13" s="100"/>
      <c r="D13" s="101"/>
      <c r="E13" s="22" t="s">
        <v>61</v>
      </c>
      <c r="F13" s="100" t="s">
        <v>44</v>
      </c>
      <c r="G13" s="100"/>
      <c r="H13" s="101"/>
      <c r="I13" s="23" t="s">
        <v>62</v>
      </c>
      <c r="J13" s="100" t="s">
        <v>44</v>
      </c>
      <c r="K13" s="100"/>
      <c r="L13" s="101"/>
      <c r="M13" s="34"/>
      <c r="N13" s="12" t="s">
        <v>72</v>
      </c>
      <c r="O13" s="36" t="s">
        <v>77</v>
      </c>
      <c r="P13" s="12" t="s">
        <v>73</v>
      </c>
      <c r="Q13" s="24">
        <f>O7</f>
        <v>27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/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4"/>
      <c r="N14" s="144" t="s">
        <v>110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8" ht="20.100000000000001" customHeight="1" x14ac:dyDescent="0.25">
      <c r="A15" s="123" t="s">
        <v>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100" t="s">
        <v>38</v>
      </c>
      <c r="P16" s="101"/>
      <c r="Q16" s="12" t="s">
        <v>105</v>
      </c>
      <c r="R16" s="100" t="s">
        <v>23</v>
      </c>
      <c r="S16" s="101"/>
      <c r="T16" s="13" t="s">
        <v>103</v>
      </c>
      <c r="U16" s="100" t="s">
        <v>31</v>
      </c>
      <c r="V16" s="101"/>
      <c r="W16" s="12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5"/>
      <c r="F17" s="96"/>
      <c r="G17" s="56" t="s">
        <v>81</v>
      </c>
      <c r="H17" s="37"/>
      <c r="I17" s="95"/>
      <c r="J17" s="96"/>
      <c r="K17" s="95"/>
      <c r="L17" s="96"/>
      <c r="M17" s="34"/>
      <c r="N17" s="12" t="s">
        <v>26</v>
      </c>
      <c r="O17" s="100" t="s">
        <v>37</v>
      </c>
      <c r="P17" s="101"/>
      <c r="Q17" s="12" t="s">
        <v>104</v>
      </c>
      <c r="R17" s="100" t="s">
        <v>31</v>
      </c>
      <c r="S17" s="101"/>
      <c r="T17" s="13" t="str">
        <f>IF(ISNUMBER(SEARCH("roll",O8,1)),"Part Rolls","Part Ctns")</f>
        <v>Part Ctns</v>
      </c>
      <c r="U17" s="100" t="s">
        <v>31</v>
      </c>
      <c r="V17" s="101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5"/>
      <c r="F18" s="96"/>
      <c r="G18" s="56" t="s">
        <v>82</v>
      </c>
      <c r="H18" s="37"/>
      <c r="I18" s="95"/>
      <c r="J18" s="96"/>
      <c r="K18" s="95"/>
      <c r="L18" s="96"/>
      <c r="M18" s="34"/>
      <c r="N18" s="12" t="s">
        <v>101</v>
      </c>
      <c r="O18" s="100" t="s">
        <v>38</v>
      </c>
      <c r="P18" s="101"/>
      <c r="Q18" s="12" t="s">
        <v>106</v>
      </c>
      <c r="R18" s="100" t="s">
        <v>31</v>
      </c>
      <c r="S18" s="101"/>
      <c r="T18" s="25" t="s">
        <v>27</v>
      </c>
      <c r="U18" s="100" t="s">
        <v>36</v>
      </c>
      <c r="V18" s="101"/>
      <c r="W18" s="12" t="s">
        <v>109</v>
      </c>
      <c r="X18" s="159"/>
      <c r="Y18" s="160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5"/>
      <c r="F19" s="96"/>
      <c r="G19" s="56" t="s">
        <v>83</v>
      </c>
      <c r="H19" s="37"/>
      <c r="I19" s="95"/>
      <c r="J19" s="96"/>
      <c r="K19" s="95"/>
      <c r="L19" s="96"/>
      <c r="M19" s="34"/>
      <c r="N19" s="161" t="s">
        <v>199</v>
      </c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5"/>
      <c r="F20" s="96"/>
      <c r="G20" s="56" t="s">
        <v>84</v>
      </c>
      <c r="H20" s="37"/>
      <c r="I20" s="95"/>
      <c r="J20" s="96"/>
      <c r="K20" s="95"/>
      <c r="L20" s="96"/>
      <c r="M20" s="34"/>
      <c r="N20" s="164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5"/>
      <c r="F21" s="96"/>
      <c r="G21" s="56" t="s">
        <v>85</v>
      </c>
      <c r="H21" s="37"/>
      <c r="I21" s="95"/>
      <c r="J21" s="96"/>
      <c r="K21" s="95"/>
      <c r="L21" s="96"/>
      <c r="M21" s="34"/>
      <c r="N21" s="164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6"/>
    </row>
    <row r="22" spans="1:25" ht="20.100000000000001" customHeight="1" x14ac:dyDescent="0.25">
      <c r="A22" s="170" t="str">
        <f>(IF(B7="NATURAL","",B7))</f>
        <v>WHITE</v>
      </c>
      <c r="B22" s="170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4"/>
      <c r="E22" s="95"/>
      <c r="F22" s="96"/>
      <c r="G22" s="56" t="s">
        <v>86</v>
      </c>
      <c r="H22" s="37"/>
      <c r="I22" s="95"/>
      <c r="J22" s="96"/>
      <c r="K22" s="95"/>
      <c r="L22" s="96"/>
      <c r="M22" s="34"/>
      <c r="N22" s="167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9"/>
    </row>
    <row r="23" spans="1:25" ht="20.100000000000001" customHeight="1" x14ac:dyDescent="0.25">
      <c r="A23" s="90" t="s">
        <v>196</v>
      </c>
      <c r="B23" s="90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4"/>
      <c r="E23" s="95"/>
      <c r="F23" s="96"/>
      <c r="G23" s="56" t="s">
        <v>87</v>
      </c>
      <c r="H23" s="37"/>
      <c r="I23" s="95"/>
      <c r="J23" s="96"/>
      <c r="K23" s="95"/>
      <c r="L23" s="96"/>
      <c r="M23" s="34"/>
      <c r="N23" s="144" t="s">
        <v>133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5"/>
      <c r="F24" s="96"/>
      <c r="G24" s="56" t="s">
        <v>88</v>
      </c>
      <c r="H24" s="37"/>
      <c r="I24" s="95"/>
      <c r="J24" s="96"/>
      <c r="K24" s="95"/>
      <c r="L24" s="96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3" t="s">
        <v>1</v>
      </c>
      <c r="B25" s="106"/>
      <c r="C25" s="106"/>
      <c r="D25" s="106"/>
      <c r="E25" s="106"/>
      <c r="F25" s="105"/>
      <c r="G25" s="105"/>
      <c r="H25" s="105"/>
      <c r="I25" s="105"/>
      <c r="J25" s="105"/>
      <c r="K25" s="106"/>
      <c r="L25" s="107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44648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44641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7704525-5B92-44C7-99BF-3FDABC9A4139}"/>
</file>

<file path=customXml/itemProps2.xml><?xml version="1.0" encoding="utf-8"?>
<ds:datastoreItem xmlns:ds="http://schemas.openxmlformats.org/officeDocument/2006/customXml" ds:itemID="{C014E083-14BA-4D34-B100-E1A7A54A1E38}"/>
</file>

<file path=customXml/itemProps3.xml><?xml version="1.0" encoding="utf-8"?>
<ds:datastoreItem xmlns:ds="http://schemas.openxmlformats.org/officeDocument/2006/customXml" ds:itemID="{D637F178-7939-4DF4-8963-EC833F97E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2022-02-23T01:17:53Z</cp:lastPrinted>
  <dcterms:created xsi:type="dcterms:W3CDTF">2019-11-27T23:28:06Z</dcterms:created>
  <dcterms:modified xsi:type="dcterms:W3CDTF">2022-02-28T01:40:13Z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