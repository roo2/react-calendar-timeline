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094FB79-0524-4FB4-A1A5-13E53306134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 s="1"/>
  <c r="E8" i="1" l="1"/>
  <c r="C25" i="1" l="1"/>
  <c r="D9" i="1" l="1"/>
  <c r="B11" i="1" l="1"/>
  <c r="A11" i="1"/>
  <c r="D8" i="1" l="1"/>
  <c r="K8" i="1" l="1"/>
  <c r="A24" i="1" l="1"/>
  <c r="C24" i="1" s="1"/>
  <c r="B1" i="1" s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<sst xmlns="http://schemas.openxmlformats.org/spreadsheetml/2006/main" count="224" uniqueCount="165">
  <si>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</si>
  <si>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</si>
  <si>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</si>
  <si>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</si>
  <si>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</si>
  <si>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</si>
  <si>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</si>
  <si>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</si>
  <si>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</si>
  <si>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</si>
  <si>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</si>
  <si>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</si>
  <si>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</si>
  <si>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</si>
  <si>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</si>
  <si>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</si>
  <si>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</si>
  <si>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</si>
  <si>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</si>
  <si>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</si>
  <si>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</si>
  <si>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</si>
  <si>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</si>
  <si>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</si>
  <si>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</si>
  <si>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</si>
  <si>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</si>
  <si>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</si>
  <si>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</si>
  <si>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</si>
  <si>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</si>
  <si>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</si>
  <si>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</si>
  <si>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</si>
  <si>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</si>
  <si>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</si>
  <si>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</si>
  <si>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</si>
  <si>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</si>
  <si>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</si>
  <si>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</si>
  <si>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</si>
  <si>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</si>
  <si>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</si>
  <si>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</si>
  <si>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</si>
  <si>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</si>
  <si>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</si>
  <si>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</si>
  <si>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</si>
  <si>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</si>
  <si>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</si>
  <si>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</si>
  <si>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</si>
  <si>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</si>
  <si>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</si>
  <si>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</si>
  <si>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</si>
  <si>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</si>
  <si>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</si>
  <si>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</si>
  <si>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</si>
  <si>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</si>
  <si>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</si>
  <si>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</si>
  <si>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</si>
  <si>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</si>
  <si>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</si>
  <si>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</si>
  <si>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</si>
  <si>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</si>
  <si>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</si>
  <si>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</si>
  <si>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</si>
  <si>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</si>
  <si>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</si>
  <si>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</si>
  <si>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</si>
  <si>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</si>
  <si>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</si>
  <si>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</si>
  <si>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</si>
  <si>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</si>
  <si>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</si>
  <si>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</si>
  <si>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</si>
  <si>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</si>
  <si>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</si>
  <si>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</si>
  <si>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</si>
  <si>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</si>
  <si>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</si>
  <si>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</si>
  <si>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</si>
  <si>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</si>
  <si>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</si>
  <si>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</si>
  <si>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</si>
  <si>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</si>
  <si>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</si>
  <si>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</si>
  <si>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</si>
  <si>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</si>
  <si>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</si>
  <si>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</si>
  <si>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</si>
  <si>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</si>
  <si>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</si>
  <si>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</si>
  <si>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</si>
  <si>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</si>
  <si>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</si>
  <si>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</si>
  <si>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</si>
  <si>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</si>
  <si>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</si>
  <si>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</si>
  <si>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</si>
  <si>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</si>
  <si>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</si>
  <si>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</si>
  <si>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</si>
  <si>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</si>
  <si>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</si>
  <si>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</si>
  <si>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</si>
  <si>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</si>
  <si>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</si>
  <si>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</si>
  <si>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</si>
  <si>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</si>
  <si>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</si>
  <si>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</si>
  <si>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</si>
  <si>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</si>
  <si>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</si>
  <si>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</si>
  <si>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</si>
  <si>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</si>
  <si>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</si>
  <si>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</si>
  <si>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</si>
  <si>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</si>
  <si>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</si>
  <si>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</si>
  <si>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</si>
  <si>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</si>
  <si>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</si>
  <si>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</si>
  <si>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</si>
  <si>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</si>
  <si>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</si>
  <si>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</si>
  <si>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</si>
  <si>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</si>
  <si>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</si>
  <si>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</si>
  <si>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</si>
  <si>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</si>
  <si>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</si>
  <si>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</si>
  <si>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</si>
  <si>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</si>
  <si>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</si>
  <si>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HUNG VAN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</si>
</sst>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Normal="10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SR1000150BK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44987</v>
      </c>
      <c r="K1" s="76"/>
      <c r="L1" s="77"/>
    </row>
    <row r="2" spans="1:14" ht="20.149999999999999" customHeight="1" x14ac:dyDescent="0.8">
      <c r="A2" s="11" t="s">
        <v>94</v>
      </c>
      <c r="B2" s="65" t="str">
        <f>(ROUNDUP(E11,0)&amp;"KG")&amp;" "&amp;(ROUNDUP(H11,0)&amp;"M")</f>
        <v>25KG 180M</v>
      </c>
      <c r="C2" s="65"/>
      <c r="D2" s="66"/>
      <c r="E2" s="11" t="s">
        <v>56</v>
      </c>
      <c r="F2" s="51">
        <v>945221</v>
      </c>
      <c r="G2" s="51"/>
      <c r="H2" s="52"/>
      <c r="I2" s="11" t="s">
        <v>57</v>
      </c>
      <c r="J2" s="78">
        <v>45017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160</v>
      </c>
      <c r="C7" s="52"/>
      <c r="D7" s="11" t="s">
        <v>47</v>
      </c>
      <c r="E7" s="107" t="s">
        <v>144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1000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13</v>
      </c>
      <c r="C10" s="52"/>
      <c r="D10" s="36" t="s">
        <v>104</v>
      </c>
      <c r="E10" s="85">
        <f>E11*B10*2</f>
        <v>650</v>
      </c>
      <c r="F10" s="86"/>
      <c r="G10" s="11" t="s">
        <v>51</v>
      </c>
      <c r="H10" s="65">
        <f>H11*B10</f>
        <v>2340</v>
      </c>
      <c r="I10" s="66"/>
      <c r="J10" s="11" t="s">
        <v>39</v>
      </c>
      <c r="K10" s="51" t="s">
        <v>41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26</v>
      </c>
      <c r="C11" s="84"/>
      <c r="D11" s="42" t="s">
        <v>105</v>
      </c>
      <c r="E11" s="87">
        <f>IF(D9="RUN 2 UP",(B8*H8*H11/540000),(B8*H8*H11/540000)/2)</f>
        <v>25</v>
      </c>
      <c r="F11" s="88"/>
      <c r="G11" s="42" t="s">
        <v>13</v>
      </c>
      <c r="H11" s="89">
        <v>180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v>6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1">
      <c r="A23" s="49" t="s">
        <v>150</v>
      </c>
      <c r="B23" s="49"/>
      <c r="C23" s="63" t="s">
        <v>151</v>
      </c>
      <c r="D23" s="64"/>
      <c r="E23" s="119">
        <v>0.4</v>
      </c>
      <c r="F23" s="120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BLACK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BK</v>
      </c>
      <c r="D24" s="64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45018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45008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496D5EA-AF21-48EF-BE45-8B58330B2D9E}"/>
</file>

<file path=customXml/itemProps2.xml><?xml version="1.0" encoding="utf-8"?>
<ds:datastoreItem xmlns:ds="http://schemas.openxmlformats.org/officeDocument/2006/customXml" ds:itemID="{9E90E0F8-FD49-4D93-8AFB-5F875267B32F}"/>
</file>

<file path=customXml/itemProps3.xml><?xml version="1.0" encoding="utf-8"?>
<ds:datastoreItem xmlns:ds="http://schemas.openxmlformats.org/officeDocument/2006/customXml" ds:itemID="{C8C3E255-0801-4ADA-9B52-2FE407A51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2023-03-01T00:33:36Z</cp:lastPrinted>
  <dcterms:created xsi:type="dcterms:W3CDTF">2019-11-27T23:28:06Z</dcterms:created>
  <dcterms:modified xsi:type="dcterms:W3CDTF">2023-03-02T23:57:27Z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