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30A6DB3-E64F-4E73-8741-674DB8B6C4C3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<sst xmlns="http://schemas.openxmlformats.org/spreadsheetml/2006/main" count="305" uniqueCount="200">
  <si>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</si>
  <si>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</si>
  <si>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</si>
  <si>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</si>
  <si>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</si>
  <si>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</si>
  <si>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</si>
  <si>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</si>
  <si>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</si>
  <si>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</si>
  <si>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</si>
  <si>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</si>
  <si>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</si>
  <si>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</si>
  <si>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</si>
  <si>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</si>
  <si>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</si>
  <si>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</si>
  <si>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</si>
  <si>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</si>
  <si>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</si>
  <si>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</si>
  <si>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</si>
  <si>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</si>
  <si>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</si>
  <si>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</si>
  <si>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</si>
  <si>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</si>
  <si>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</si>
  <si>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</si>
  <si>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</si>
  <si>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</si>
  <si>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</si>
  <si>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</si>
  <si>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</si>
  <si>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</si>
  <si>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</si>
  <si>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</si>
  <si>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</si>
  <si>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</si>
  <si>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</si>
  <si>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</si>
  <si>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</si>
  <si>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</si>
  <si>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</si>
  <si>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</si>
  <si>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</si>
  <si>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</si>
  <si>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</si>
  <si>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</si>
  <si>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</si>
  <si>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</si>
  <si>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</si>
  <si>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</si>
  <si>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</si>
  <si>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</si>
  <si>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</si>
  <si>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</si>
  <si>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</si>
  <si>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</si>
  <si>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</si>
  <si>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</si>
  <si>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</si>
  <si>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</si>
  <si>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</si>
  <si>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</si>
  <si>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</si>
  <si>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</si>
  <si>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</si>
  <si>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</si>
  <si>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</si>
  <si>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</si>
  <si>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</si>
  <si>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</si>
  <si>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</si>
  <si>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</si>
  <si>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</si>
  <si>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</si>
  <si>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</si>
  <si>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</si>
  <si>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</si>
  <si>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</si>
  <si>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</si>
  <si>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</si>
  <si>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</si>
  <si>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</si>
  <si>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</si>
  <si>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</si>
  <si>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</si>
  <si>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</si>
  <si>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</si>
  <si>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</si>
  <si>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</si>
  <si>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</si>
  <si>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</si>
  <si>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</si>
  <si>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</si>
  <si>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</si>
  <si>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</si>
  <si>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</si>
  <si>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</si>
  <si>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</si>
  <si>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</si>
  <si>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</si>
  <si>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</si>
  <si>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</si>
  <si>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</si>
  <si>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</si>
  <si>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</si>
  <si>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</si>
  <si>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</si>
  <si>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</si>
  <si>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</si>
  <si>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</si>
  <si>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</si>
  <si>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</si>
  <si>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</si>
  <si>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</si>
  <si>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</si>
  <si>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</si>
  <si>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</si>
  <si>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</si>
  <si>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</si>
  <si>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</si>
  <si>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</si>
  <si>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</si>
  <si>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</si>
  <si>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</si>
  <si>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</si>
  <si>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</si>
  <si>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</si>
  <si>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</si>
  <si>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</si>
  <si>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</si>
  <si>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</si>
  <si>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</si>
  <si>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</si>
  <si>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</si>
  <si>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</si>
  <si>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</si>
  <si>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</si>
  <si>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</si>
  <si>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</si>
  <si>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</si>
  <si>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</si>
  <si>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</si>
  <si>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</si>
  <si>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</si>
  <si>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</si>
  <si>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</si>
  <si>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</si>
  <si>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</si>
  <si>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</si>
  <si>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</si>
  <si>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</si>
  <si>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</si>
  <si>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</si>
  <si>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</si>
  <si>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</si>
  <si>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</si>
  <si>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</si>
  <si>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</si>
  <si>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</si>
  <si>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</si>
  <si>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</si>
  <si>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</si>
  <si>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</si>
  <si>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</si>
  <si>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</si>
  <si>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</si>
  <si>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</si>
  <si>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</si>
  <si>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</si>
  <si>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</si>
  <si>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</si>
  <si>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</si>
  <si>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</si>
  <si>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</si>
  <si>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</si>
  <si>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</si>
  <si>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</si>
  <si>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</si>
  <si>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</si>
  <si>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</si>
  <si>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</si>
  <si>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</si>
  <si>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</si>
  <si>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</si>
  <si>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</si>
  <si>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</si>
  <si>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</si>
  <si>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</si>
  <si>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</si>
  <si>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</si>
  <si>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</si>
  <si>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25 - 30UM</t>
  </si>
  <si>
    <t>ESSENTIAL GRAIN</t>
  </si>
  <si>
    <t>NEW ITEM - FOOD GRADE</t>
  </si>
  <si>
    <t>PRINTED CIABATTA BAG</t>
  </si>
  <si>
    <t>"CIABATTA"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</si>
</sst>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PB25062028P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43976</v>
      </c>
      <c r="K1" s="95"/>
      <c r="L1" s="96"/>
      <c r="M1" s="34"/>
      <c r="N1" s="12" t="s">
        <v>56</v>
      </c>
      <c r="O1" s="122" t="str">
        <f>B1</f>
        <v>PB25062028P</v>
      </c>
      <c r="P1" s="122"/>
      <c r="Q1" s="123"/>
      <c r="R1" s="12" t="s">
        <v>57</v>
      </c>
      <c r="S1" s="122" t="str">
        <f>F1</f>
        <v>ESSENTIAL GRAIN</v>
      </c>
      <c r="T1" s="122"/>
      <c r="U1" s="123"/>
      <c r="V1" s="12" t="s">
        <v>181</v>
      </c>
      <c r="W1" s="95">
        <f ca="1">J1</f>
        <v>43976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PRINTED CIABATTA BAG</v>
      </c>
      <c r="C2" s="122"/>
      <c r="D2" s="123"/>
      <c r="E2" s="12" t="s">
        <v>58</v>
      </c>
      <c r="F2" s="98">
        <v>937338</v>
      </c>
      <c r="G2" s="98"/>
      <c r="H2" s="99"/>
      <c r="I2" s="12" t="s">
        <v>59</v>
      </c>
      <c r="J2" s="97">
        <v>44007</v>
      </c>
      <c r="K2" s="98"/>
      <c r="L2" s="99"/>
      <c r="M2" s="34"/>
      <c r="N2" s="12" t="s">
        <v>100</v>
      </c>
      <c r="O2" s="122" t="str">
        <f>IF(B2="","",B2)</f>
        <v>PRINTED CIABATTA BAG</v>
      </c>
      <c r="P2" s="122"/>
      <c r="Q2" s="123"/>
      <c r="R2" s="12" t="s">
        <v>58</v>
      </c>
      <c r="S2" s="122">
        <f>IF(F2="","",F2)</f>
        <v>937338</v>
      </c>
      <c r="T2" s="122"/>
      <c r="U2" s="123"/>
      <c r="V2" s="12" t="s">
        <v>59</v>
      </c>
      <c r="W2" s="135">
        <f>J2</f>
        <v>44007</v>
      </c>
      <c r="X2" s="122"/>
      <c r="Y2" s="123"/>
    </row>
    <row r="3" spans="1:28" ht="20.05" customHeight="1" x14ac:dyDescent="0.3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FOOD GRADE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 t="str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250</v>
      </c>
      <c r="S9" s="20" t="s">
        <v>78</v>
      </c>
      <c r="T9" s="35">
        <v>620</v>
      </c>
      <c r="U9" s="20" t="s">
        <v>78</v>
      </c>
      <c r="V9" s="35">
        <v>28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93.000000000000014</v>
      </c>
      <c r="F10" s="113"/>
      <c r="G10" s="12" t="s">
        <v>53</v>
      </c>
      <c r="H10" s="116">
        <f>IF(ISNUMBER(SEARCH("sheet",O8,1)),(U7*T9/2000*1.08),(U7*T9/1000*1.08))</f>
        <v>6696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198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23.250000000000004</v>
      </c>
      <c r="F11" s="115"/>
      <c r="G11" s="12" t="s">
        <v>15</v>
      </c>
      <c r="H11" s="114">
        <f>H10/B10</f>
        <v>1674</v>
      </c>
      <c r="I11" s="115"/>
      <c r="J11" s="12" t="s">
        <v>50</v>
      </c>
      <c r="K11" s="98" t="s">
        <v>65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05" customHeight="1" x14ac:dyDescent="0.35">
      <c r="A14" s="15" t="s">
        <v>60</v>
      </c>
      <c r="B14" s="119" t="s">
        <v>199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171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44007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43997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50A7ABA-2E80-462C-842B-A32988A41B52}"/>
</file>

<file path=customXml/itemProps2.xml><?xml version="1.0" encoding="utf-8"?>
<ds:datastoreItem xmlns:ds="http://schemas.openxmlformats.org/officeDocument/2006/customXml" ds:itemID="{0F6EE537-B674-4716-BA7B-7367EE5632B9}"/>
</file>

<file path=customXml/itemProps3.xml><?xml version="1.0" encoding="utf-8"?>
<ds:datastoreItem xmlns:ds="http://schemas.openxmlformats.org/officeDocument/2006/customXml" ds:itemID="{8B3BFD04-3DAD-4552-9B53-DB64E8E3F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2020-05-25T00:32:03Z</cp:lastPrinted>
  <dcterms:created xsi:type="dcterms:W3CDTF">2019-11-27T23:28:06Z</dcterms:created>
  <dcterms:modified xsi:type="dcterms:W3CDTF">2020-05-25T00:47:57Z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