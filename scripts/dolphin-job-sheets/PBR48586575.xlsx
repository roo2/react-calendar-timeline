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FA98D0D-E7E2-496E-B2EC-4B0C184FABD4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<sst xmlns="http://schemas.openxmlformats.org/spreadsheetml/2006/main" count="300" uniqueCount="198">
  <si>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</si>
  <si>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</si>
  <si>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</si>
  <si>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</si>
  <si>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</si>
  <si>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</si>
  <si>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</si>
  <si>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</si>
  <si>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</si>
  <si>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</si>
  <si>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</si>
  <si>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</si>
  <si>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</si>
  <si>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</si>
  <si>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</si>
  <si>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</si>
  <si>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</si>
  <si>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</si>
  <si>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</si>
  <si>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</si>
  <si>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</si>
  <si>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</si>
  <si>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</si>
  <si>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</si>
  <si>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</si>
  <si>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</si>
  <si>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</si>
  <si>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</si>
  <si>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</si>
  <si>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</si>
  <si>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</si>
  <si>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</si>
  <si>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</si>
  <si>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</si>
  <si>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</si>
  <si>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</si>
  <si>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</si>
  <si>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</si>
  <si>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</si>
  <si>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</si>
  <si>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</si>
  <si>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</si>
  <si>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</si>
  <si>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</si>
  <si>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</si>
  <si>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</si>
  <si>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</si>
  <si>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</si>
  <si>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</si>
  <si>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</si>
  <si>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</si>
  <si>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</si>
  <si>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</si>
  <si>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</si>
  <si>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</si>
  <si>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</si>
  <si>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</si>
  <si>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</si>
  <si>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</si>
  <si>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</si>
  <si>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</si>
  <si>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</si>
  <si>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</si>
  <si>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</si>
  <si>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</si>
  <si>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</si>
  <si>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</si>
  <si>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</si>
  <si>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</si>
  <si>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</si>
  <si>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</si>
  <si>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</si>
  <si>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</si>
  <si>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</si>
  <si>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</si>
  <si>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</si>
  <si>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</si>
  <si>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</si>
  <si>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</si>
  <si>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</si>
  <si>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</si>
  <si>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</si>
  <si>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</si>
  <si>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</si>
  <si>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</si>
  <si>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</si>
  <si>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</si>
  <si>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</si>
  <si>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</si>
  <si>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</si>
  <si>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</si>
  <si>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</si>
  <si>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</si>
  <si>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</si>
  <si>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</si>
  <si>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</si>
  <si>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</si>
  <si>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</si>
  <si>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</si>
  <si>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</si>
  <si>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</si>
  <si>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</si>
  <si>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</si>
  <si>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</si>
  <si>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</si>
  <si>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</si>
  <si>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</si>
  <si>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</si>
  <si>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</si>
  <si>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</si>
  <si>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</si>
  <si>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</si>
  <si>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</si>
  <si>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</si>
  <si>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</si>
  <si>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</si>
  <si>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</si>
  <si>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</si>
  <si>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</si>
  <si>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</si>
  <si>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</si>
  <si>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</si>
  <si>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</si>
  <si>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</si>
  <si>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</si>
  <si>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</si>
  <si>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</si>
  <si>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</si>
  <si>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</si>
  <si>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</si>
  <si>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</si>
  <si>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</si>
  <si>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</si>
  <si>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</si>
  <si>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</si>
  <si>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</si>
  <si>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</si>
  <si>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</si>
  <si>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</si>
  <si>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</si>
  <si>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</si>
  <si>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</si>
  <si>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</si>
  <si>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</si>
  <si>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</si>
  <si>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</si>
  <si>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</si>
  <si>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</si>
  <si>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</si>
  <si>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</si>
  <si>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</si>
  <si>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</si>
  <si>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</si>
  <si>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</si>
  <si>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</si>
  <si>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</si>
  <si>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</si>
  <si>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</si>
  <si>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</si>
  <si>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</si>
  <si>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</si>
  <si>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</si>
  <si>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</si>
  <si>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</si>
  <si>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</si>
  <si>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</si>
  <si>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</si>
  <si>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</si>
  <si>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</si>
  <si>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</si>
  <si>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</si>
  <si>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</si>
  <si>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</si>
  <si>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</si>
  <si>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</si>
  <si>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</si>
  <si>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</si>
  <si>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</si>
  <si>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</si>
  <si>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</si>
  <si>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</si>
  <si>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</si>
  <si>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</si>
  <si>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</si>
  <si>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</si>
  <si>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</si>
  <si>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</si>
  <si>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</si>
  <si>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</si>
  <si>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</si>
  <si>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</si>
  <si>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</si>
  <si>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</si>
  <si>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</si>
  <si>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70UM</t>
  </si>
  <si>
    <t xml:space="preserve"> +/- 10mm</t>
  </si>
  <si>
    <t>PERF</t>
  </si>
  <si>
    <t>AUSY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</si>
</sst>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D15" sqref="AD1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PBR48586575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45063</v>
      </c>
      <c r="K1" s="84"/>
      <c r="L1" s="85"/>
      <c r="M1" s="29"/>
      <c r="N1" s="11" t="s">
        <v>56</v>
      </c>
      <c r="O1" s="111" t="str">
        <f>B1</f>
        <v>PBR48586575</v>
      </c>
      <c r="P1" s="111"/>
      <c r="Q1" s="112"/>
      <c r="R1" s="11" t="s">
        <v>57</v>
      </c>
      <c r="S1" s="111" t="str">
        <f>F1</f>
        <v>AUSY FISH</v>
      </c>
      <c r="T1" s="111"/>
      <c r="U1" s="112"/>
      <c r="V1" s="11" t="s">
        <v>181</v>
      </c>
      <c r="W1" s="84">
        <f ca="1">J1</f>
        <v>45063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945664</v>
      </c>
      <c r="G2" s="87"/>
      <c r="H2" s="88"/>
      <c r="I2" s="11" t="s">
        <v>59</v>
      </c>
      <c r="J2" s="86">
        <v>45087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945664</v>
      </c>
      <c r="T2" s="111"/>
      <c r="U2" s="112"/>
      <c r="V2" s="11" t="s">
        <v>59</v>
      </c>
      <c r="W2" s="122">
        <f>J2</f>
        <v>45087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Rolls</v>
      </c>
      <c r="O7" s="87">
        <v>10</v>
      </c>
      <c r="P7" s="88"/>
      <c r="Q7" s="11" t="str">
        <f>IF(ISNUMBER(SEARCH("roll",O8,1)),"Per Roll","Per Carton")</f>
        <v>Per Roll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2500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485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75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165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34</v>
      </c>
      <c r="L9" s="88"/>
      <c r="M9" s="29"/>
      <c r="N9" s="17"/>
      <c r="O9" s="127" t="str">
        <f>IF(O8="Poly Bag","PB",IF(O8="Poly Bag Roll","PBR",IF(O8="Centrefold Roll","CFR",IF(O8="Sheet","S",IF(O8="Sheet Roll","SR")))))</f>
        <v>PBR</v>
      </c>
      <c r="P9" s="128"/>
      <c r="Q9" s="17"/>
      <c r="R9" s="30">
        <v>485</v>
      </c>
      <c r="S9" s="18" t="s">
        <v>78</v>
      </c>
      <c r="T9" s="30">
        <v>865</v>
      </c>
      <c r="U9" s="18" t="s">
        <v>78</v>
      </c>
      <c r="V9" s="30">
        <v>75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157.32187500000001</v>
      </c>
      <c r="F10" s="102"/>
      <c r="G10" s="11" t="s">
        <v>53</v>
      </c>
      <c r="H10" s="105">
        <f>IF(ISNUMBER(SEARCH("sheet",O8,1)),(U7*T9/2000*1.08),(U7*T9/1000*1.08))</f>
        <v>2335.5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39.330468750000001</v>
      </c>
      <c r="F11" s="104"/>
      <c r="G11" s="11" t="s">
        <v>15</v>
      </c>
      <c r="H11" s="103">
        <f>H10/B10</f>
        <v>583.875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/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/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Rolls</v>
      </c>
      <c r="U17" s="87" t="s">
        <v>31</v>
      </c>
      <c r="V17" s="88"/>
      <c r="W17" s="11" t="str">
        <f>IF(ISNUMBER(SEARCH("roll",O8,1)),"Total Rolls","Total Ctns")</f>
        <v>Total Rolls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/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196</v>
      </c>
      <c r="P25" s="34"/>
      <c r="Q25" s="10">
        <v>28</v>
      </c>
      <c r="R25" s="10">
        <v>8</v>
      </c>
      <c r="S25" s="10"/>
      <c r="T25" s="10">
        <v>10</v>
      </c>
      <c r="U25" s="10"/>
      <c r="V25" s="10">
        <v>3</v>
      </c>
      <c r="W25" s="10">
        <v>175</v>
      </c>
      <c r="X25" s="10">
        <v>175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45094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45084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701C827-6341-415B-8870-0C22E7CBB72B}"/>
</file>

<file path=customXml/itemProps2.xml><?xml version="1.0" encoding="utf-8"?>
<ds:datastoreItem xmlns:ds="http://schemas.openxmlformats.org/officeDocument/2006/customXml" ds:itemID="{609AF32A-D498-4541-BE8E-0BAC382C82D1}"/>
</file>

<file path=customXml/itemProps3.xml><?xml version="1.0" encoding="utf-8"?>
<ds:datastoreItem xmlns:ds="http://schemas.openxmlformats.org/officeDocument/2006/customXml" ds:itemID="{E08330C6-C85F-47C4-960B-D1E4740D6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2023-05-09T23:23:09Z</cp:lastPrinted>
  <dcterms:created xsi:type="dcterms:W3CDTF">2019-11-27T23:28:06Z</dcterms:created>
  <dcterms:modified xsi:type="dcterms:W3CDTF">2023-05-18T03:40:25Z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