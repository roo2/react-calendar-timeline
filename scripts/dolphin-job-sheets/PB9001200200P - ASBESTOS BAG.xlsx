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F95CA08-C097-45C6-AD4D-06E664BC41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W8" i="1" l="1"/>
  <c r="X8" i="1" s="1"/>
  <c r="E8" i="1"/>
  <c r="D8" i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J1" i="1" l="1"/>
  <c r="A5" i="2" l="1"/>
  <c r="A4" i="2"/>
  <c r="W1" i="1"/>
  <c r="O9" i="1" l="1"/>
  <c r="B1" i="1" s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<sst xmlns="http://schemas.openxmlformats.org/spreadsheetml/2006/main" count="306" uniqueCount="201">
  <si>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</si>
  <si>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</si>
  <si>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</si>
  <si>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</si>
  <si>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</si>
  <si>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</si>
  <si>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</si>
  <si>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</si>
  <si>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</si>
  <si>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</si>
  <si>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</si>
  <si>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</si>
  <si>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</si>
  <si>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</si>
  <si>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</si>
  <si>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</si>
  <si>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</si>
  <si>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</si>
  <si>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</si>
  <si>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</si>
  <si>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</si>
  <si>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</si>
  <si>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</si>
  <si>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</si>
  <si>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</si>
  <si>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</si>
  <si>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</si>
  <si>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</si>
  <si>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</si>
  <si>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</si>
  <si>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</si>
  <si>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</si>
  <si>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</si>
  <si>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</si>
  <si>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</si>
  <si>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</si>
  <si>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</si>
  <si>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</si>
  <si>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</si>
  <si>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</si>
  <si>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</si>
  <si>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</si>
  <si>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</si>
  <si>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</si>
  <si>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</si>
  <si>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</si>
  <si>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</si>
  <si>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</si>
  <si>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</si>
  <si>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</si>
  <si>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</si>
  <si>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</si>
  <si>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</si>
  <si>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</si>
  <si>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</si>
  <si>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</si>
  <si>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</si>
  <si>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</si>
  <si>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</si>
  <si>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</si>
  <si>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</si>
  <si>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</si>
  <si>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</si>
  <si>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</si>
  <si>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</si>
  <si>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</si>
  <si>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</si>
  <si>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</si>
  <si>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</si>
  <si>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</si>
  <si>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</si>
  <si>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</si>
  <si>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</si>
  <si>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</si>
  <si>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</si>
  <si>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</si>
  <si>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</si>
  <si>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</si>
  <si>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</si>
  <si>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</si>
  <si>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</si>
  <si>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</si>
  <si>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</si>
  <si>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</si>
  <si>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</si>
  <si>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</si>
  <si>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</si>
  <si>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</si>
  <si>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</si>
  <si>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</si>
  <si>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</si>
  <si>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</si>
  <si>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</si>
  <si>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</si>
  <si>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</si>
  <si>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</si>
  <si>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</si>
  <si>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</si>
  <si>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</si>
  <si>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</si>
  <si>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</si>
  <si>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</si>
  <si>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</si>
  <si>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</si>
  <si>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</si>
  <si>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</si>
  <si>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</si>
  <si>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</si>
  <si>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</si>
  <si>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</si>
  <si>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</si>
  <si>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</si>
  <si>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</si>
  <si>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</si>
  <si>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</si>
  <si>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</si>
  <si>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</si>
  <si>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</si>
  <si>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</si>
  <si>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</si>
  <si>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</si>
  <si>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</si>
  <si>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</si>
  <si>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</si>
  <si>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</si>
  <si>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</si>
  <si>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</si>
  <si>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</si>
  <si>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</si>
  <si>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</si>
  <si>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</si>
  <si>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</si>
  <si>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</si>
  <si>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</si>
  <si>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</si>
  <si>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</si>
  <si>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</si>
  <si>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</si>
  <si>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</si>
  <si>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</si>
  <si>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</si>
  <si>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</si>
  <si>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</si>
  <si>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</si>
  <si>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</si>
  <si>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</si>
  <si>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</si>
  <si>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</si>
  <si>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</si>
  <si>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</si>
  <si>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</si>
  <si>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</si>
  <si>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</si>
  <si>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</si>
  <si>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</si>
  <si>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</si>
  <si>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</si>
  <si>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</si>
  <si>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</si>
  <si>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</si>
  <si>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</si>
  <si>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</si>
  <si>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</si>
  <si>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</si>
  <si>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</si>
  <si>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</si>
  <si>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</si>
  <si>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</si>
  <si>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</si>
  <si>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</si>
  <si>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</si>
  <si>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</si>
  <si>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</si>
  <si>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</si>
  <si>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</si>
  <si>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</si>
  <si>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</si>
  <si>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</si>
  <si>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</si>
  <si>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</si>
  <si>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</si>
  <si>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</si>
  <si>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</si>
  <si>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</si>
  <si>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</si>
  <si>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</si>
  <si>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</si>
  <si>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</si>
  <si>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</si>
  <si>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</si>
  <si>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</si>
  <si>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</si>
  <si>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</si>
  <si>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</si>
  <si>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RUN AT 185-190UM</t>
  </si>
  <si>
    <t>Centrefold Roll</t>
  </si>
  <si>
    <t>"CAUTION ASBESTOS"</t>
  </si>
  <si>
    <t>PRINTED ASBESTOS</t>
  </si>
  <si>
    <t>LIMAX</t>
  </si>
  <si>
    <t>SEDL AGENCIES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</si>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</sst>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3" sqref="A23:B23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PB90012002000P</v>
      </c>
      <c r="C1" s="108"/>
      <c r="D1" s="109"/>
      <c r="E1" s="11" t="s">
        <v>57</v>
      </c>
      <c r="F1" s="62" t="s">
        <v>199</v>
      </c>
      <c r="G1" s="62"/>
      <c r="H1" s="63"/>
      <c r="I1" s="12" t="s">
        <v>181</v>
      </c>
      <c r="J1" s="119">
        <f ca="1">TODAY()</f>
        <v>45411</v>
      </c>
      <c r="K1" s="119"/>
      <c r="L1" s="120"/>
      <c r="M1" s="29"/>
      <c r="N1" s="11" t="s">
        <v>56</v>
      </c>
      <c r="O1" s="108" t="str">
        <f>B1</f>
        <v>PB90012002000P</v>
      </c>
      <c r="P1" s="108"/>
      <c r="Q1" s="109"/>
      <c r="R1" s="11" t="s">
        <v>57</v>
      </c>
      <c r="S1" s="108" t="str">
        <f>F1</f>
        <v>SEDL AGENCIES</v>
      </c>
      <c r="T1" s="108"/>
      <c r="U1" s="109"/>
      <c r="V1" s="11" t="s">
        <v>181</v>
      </c>
      <c r="W1" s="119">
        <f ca="1">J1</f>
        <v>45411</v>
      </c>
      <c r="X1" s="119"/>
      <c r="Y1" s="120"/>
    </row>
    <row r="2" spans="1:25" ht="20.100000000000001" customHeight="1" x14ac:dyDescent="0.25">
      <c r="A2" s="11" t="s">
        <v>100</v>
      </c>
      <c r="B2" s="108" t="str">
        <f>IF(U10="","",U10)</f>
        <v>PRINTED ASBESTOS</v>
      </c>
      <c r="C2" s="108"/>
      <c r="D2" s="109"/>
      <c r="E2" s="11" t="s">
        <v>58</v>
      </c>
      <c r="F2" s="62">
        <v>947661</v>
      </c>
      <c r="G2" s="62"/>
      <c r="H2" s="63"/>
      <c r="I2" s="11" t="s">
        <v>59</v>
      </c>
      <c r="J2" s="122">
        <v>45412</v>
      </c>
      <c r="K2" s="62"/>
      <c r="L2" s="63"/>
      <c r="M2" s="29"/>
      <c r="N2" s="11" t="s">
        <v>100</v>
      </c>
      <c r="O2" s="108" t="str">
        <f>IF(B2="","",B2)</f>
        <v>PRINTED ASBESTOS</v>
      </c>
      <c r="P2" s="108"/>
      <c r="Q2" s="109"/>
      <c r="R2" s="11" t="s">
        <v>58</v>
      </c>
      <c r="S2" s="108">
        <f>IF(F2="","",F2)</f>
        <v>947661</v>
      </c>
      <c r="T2" s="108"/>
      <c r="U2" s="109"/>
      <c r="V2" s="11" t="s">
        <v>59</v>
      </c>
      <c r="W2" s="121">
        <f>J2</f>
        <v>45412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50</v>
      </c>
      <c r="S7" s="63"/>
      <c r="T7" s="11" t="str">
        <f>IF(ISNUMBER(SEARCH("bag",O8,1)),"Total Bags","Total Sheets")</f>
        <v>Total Bags</v>
      </c>
      <c r="U7" s="108">
        <f>R7*O7</f>
        <v>250</v>
      </c>
      <c r="V7" s="109"/>
      <c r="W7" s="11" t="s">
        <v>102</v>
      </c>
      <c r="X7" s="62" t="s">
        <v>23</v>
      </c>
      <c r="Y7" s="63"/>
    </row>
    <row r="8" spans="1:25" ht="20.100000000000001" customHeight="1" x14ac:dyDescent="0.25">
      <c r="A8" s="13" t="s">
        <v>16</v>
      </c>
      <c r="B8" s="96">
        <f>R9</f>
        <v>900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200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00000000000001" customHeight="1" x14ac:dyDescent="0.3">
      <c r="A9" s="16" t="s">
        <v>48</v>
      </c>
      <c r="B9" s="125" t="s">
        <v>182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IF(LEN(O8)-LEN(SUBSTITUTE(O8," ",""))=0,LEFT(O8,1),IF(LEN(O8)-LEN(SUBSTITUTE(O8," ",""))=1,LEFT(O8,1)&amp;MID(O8,FIND(" ",O8)+1,1),LEFT(O8,1)&amp;MID(O8,FIND(" ",O8)+1,1)&amp;MID(O8,FIND(" ",O8,FIND(" ",O8)+1)+1,1)))</f>
        <v>PB</v>
      </c>
      <c r="P9" s="103"/>
      <c r="Q9" s="17"/>
      <c r="R9" s="30">
        <v>900</v>
      </c>
      <c r="S9" s="18" t="s">
        <v>78</v>
      </c>
      <c r="T9" s="30">
        <v>1200</v>
      </c>
      <c r="U9" s="18" t="s">
        <v>78</v>
      </c>
      <c r="V9" s="30">
        <v>200</v>
      </c>
      <c r="W9" s="17"/>
      <c r="X9" s="88"/>
      <c r="Y9" s="89"/>
    </row>
    <row r="10" spans="1:25" ht="20.100000000000001" customHeight="1" x14ac:dyDescent="0.25">
      <c r="A10" s="11" t="s">
        <v>51</v>
      </c>
      <c r="B10" s="62">
        <v>3</v>
      </c>
      <c r="C10" s="63"/>
      <c r="D10" s="47" t="s">
        <v>134</v>
      </c>
      <c r="E10" s="127">
        <f>IF(ISNUMBER(SEARCH("sheet",O8,1)),((R9*T9*H8/540000)*U7/2000*1.3),((R9*T9*H8/540000)*U7/1000*1.08))</f>
        <v>108</v>
      </c>
      <c r="F10" s="128"/>
      <c r="G10" s="11" t="s">
        <v>53</v>
      </c>
      <c r="H10" s="131">
        <f>IF(ISNUMBER(SEARCH("sheet",O8,1)),(U7*T9/2000*1.08),(U7*T9/1000*1.08))</f>
        <v>324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197</v>
      </c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36</v>
      </c>
      <c r="F11" s="130"/>
      <c r="G11" s="11" t="s">
        <v>15</v>
      </c>
      <c r="H11" s="129">
        <f>H10/B10</f>
        <v>108</v>
      </c>
      <c r="I11" s="130"/>
      <c r="J11" s="11" t="s">
        <v>50</v>
      </c>
      <c r="K11" s="62" t="s">
        <v>65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151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 t="s">
        <v>196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170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172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200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198</v>
      </c>
      <c r="P25" s="34"/>
      <c r="Q25" s="10">
        <v>18</v>
      </c>
      <c r="R25" s="10"/>
      <c r="S25" s="10"/>
      <c r="T25" s="10"/>
      <c r="U25" s="10"/>
      <c r="V25" s="10"/>
      <c r="W25" s="10">
        <v>18</v>
      </c>
      <c r="X25" s="10">
        <v>16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183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191</v>
      </c>
      <c r="X27" s="24" t="s">
        <v>192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183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191</v>
      </c>
      <c r="X44" s="24" t="s">
        <v>192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45441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45432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193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195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184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186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EE59B41-8F00-4AF5-8E82-038DE6C39E7C}"/>
</file>

<file path=customXml/itemProps2.xml><?xml version="1.0" encoding="utf-8"?>
<ds:datastoreItem xmlns:ds="http://schemas.openxmlformats.org/officeDocument/2006/customXml" ds:itemID="{2341DADB-E025-4921-889C-627E69181D42}"/>
</file>

<file path=customXml/itemProps3.xml><?xml version="1.0" encoding="utf-8"?>
<ds:datastoreItem xmlns:ds="http://schemas.openxmlformats.org/officeDocument/2006/customXml" ds:itemID="{9BEC849D-6B08-4508-9804-E7BB95297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2024-04-09T06:20:58Z</cp:lastPrinted>
  <dcterms:created xsi:type="dcterms:W3CDTF">2019-11-27T23:28:06Z</dcterms:created>
  <dcterms:modified xsi:type="dcterms:W3CDTF">2024-04-29T01:58:48Z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