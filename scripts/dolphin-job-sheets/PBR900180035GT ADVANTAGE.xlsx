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E0F5EA7-B0BC-4BD3-8FDB-F2144B1D3870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<sst xmlns="http://schemas.openxmlformats.org/spreadsheetml/2006/main" count="301" uniqueCount="199">
  <si>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</si>
  <si>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</si>
  <si>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</si>
  <si>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</si>
  <si>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</si>
  <si>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</si>
  <si>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</si>
  <si>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</si>
  <si>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</si>
  <si>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</si>
  <si>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</si>
  <si>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</si>
  <si>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</si>
  <si>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</si>
  <si>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</si>
  <si>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</si>
  <si>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</si>
  <si>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</si>
  <si>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</si>
  <si>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</si>
  <si>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</si>
  <si>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</si>
  <si>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</si>
  <si>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</si>
  <si>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</si>
  <si>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</si>
  <si>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</si>
  <si>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</si>
  <si>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</si>
  <si>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</si>
  <si>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</si>
  <si>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</si>
  <si>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</si>
  <si>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</si>
  <si>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</si>
  <si>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</si>
  <si>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</si>
  <si>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</si>
  <si>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</si>
  <si>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</si>
  <si>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</si>
  <si>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</si>
  <si>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</si>
  <si>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</si>
  <si>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</si>
  <si>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</si>
  <si>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</si>
  <si>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</si>
  <si>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</si>
  <si>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</si>
  <si>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</si>
  <si>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</si>
  <si>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</si>
  <si>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</si>
  <si>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</si>
  <si>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</si>
  <si>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</si>
  <si>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</si>
  <si>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</si>
  <si>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</si>
  <si>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</si>
  <si>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</si>
  <si>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</si>
  <si>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</si>
  <si>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</si>
  <si>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</si>
  <si>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</si>
  <si>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</si>
  <si>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</si>
  <si>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</si>
  <si>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</si>
  <si>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</si>
  <si>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</si>
  <si>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</si>
  <si>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</si>
  <si>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</si>
  <si>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</si>
  <si>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</si>
  <si>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</si>
  <si>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</si>
  <si>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</si>
  <si>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</si>
  <si>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</si>
  <si>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</si>
  <si>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</si>
  <si>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</si>
  <si>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</si>
  <si>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</si>
  <si>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</si>
  <si>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</si>
  <si>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</si>
  <si>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</si>
  <si>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</si>
  <si>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</si>
  <si>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</si>
  <si>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</si>
  <si>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</si>
  <si>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</si>
  <si>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</si>
  <si>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</si>
  <si>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</si>
  <si>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</si>
  <si>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</si>
  <si>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</si>
  <si>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</si>
  <si>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</si>
  <si>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</si>
  <si>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</si>
  <si>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</si>
  <si>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</si>
  <si>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</si>
  <si>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</si>
  <si>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</si>
  <si>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</si>
  <si>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</si>
  <si>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</si>
  <si>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</si>
  <si>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</si>
  <si>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</si>
  <si>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</si>
  <si>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</si>
  <si>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</si>
  <si>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</si>
  <si>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</si>
  <si>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</si>
  <si>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</si>
  <si>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</si>
  <si>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</si>
  <si>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</si>
  <si>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</si>
  <si>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</si>
  <si>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</si>
  <si>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</si>
  <si>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</si>
  <si>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</si>
  <si>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</si>
  <si>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</si>
  <si>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</si>
  <si>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</si>
  <si>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</si>
  <si>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</si>
  <si>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</si>
  <si>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</si>
  <si>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</si>
  <si>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</si>
  <si>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</si>
  <si>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</si>
  <si>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</si>
  <si>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</si>
  <si>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</si>
  <si>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</si>
  <si>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</si>
  <si>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</si>
  <si>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</si>
  <si>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</si>
  <si>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</si>
  <si>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</si>
  <si>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</si>
  <si>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</si>
  <si>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</si>
  <si>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</si>
  <si>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</si>
  <si>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</si>
  <si>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</si>
  <si>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</si>
  <si>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</si>
  <si>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</si>
  <si>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</si>
  <si>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</si>
  <si>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</si>
  <si>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</si>
  <si>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</si>
  <si>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</si>
  <si>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</si>
  <si>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</si>
  <si>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</si>
  <si>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</si>
  <si>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</si>
  <si>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</si>
  <si>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</si>
  <si>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</si>
  <si>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</si>
  <si>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</si>
  <si>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</si>
  <si>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</si>
  <si>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</si>
  <si>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</si>
  <si>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</si>
  <si>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</si>
  <si>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</si>
  <si>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</si>
  <si>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</si>
  <si>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</si>
  <si>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</si>
  <si>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</si>
  <si>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</si>
  <si>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ADVANTAGE AIR</t>
  </si>
  <si>
    <t>BLACK TINT</t>
  </si>
  <si>
    <t>UD406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</si>
</sst>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PBR900180035GT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37">
        <f ca="1">TODAY()</f>
        <v>44315</v>
      </c>
      <c r="K1" s="137"/>
      <c r="L1" s="138"/>
      <c r="M1" s="34"/>
      <c r="N1" s="12" t="s">
        <v>56</v>
      </c>
      <c r="O1" s="124" t="str">
        <f>B1</f>
        <v>PBR900180035GT</v>
      </c>
      <c r="P1" s="124"/>
      <c r="Q1" s="125"/>
      <c r="R1" s="12" t="s">
        <v>57</v>
      </c>
      <c r="S1" s="124" t="str">
        <f>F1</f>
        <v>ADVANTAGE AIR</v>
      </c>
      <c r="T1" s="124"/>
      <c r="U1" s="125"/>
      <c r="V1" s="12" t="s">
        <v>181</v>
      </c>
      <c r="W1" s="137">
        <f ca="1">J1</f>
        <v>44315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>UD406</v>
      </c>
      <c r="C2" s="124"/>
      <c r="D2" s="125"/>
      <c r="E2" s="12" t="s">
        <v>58</v>
      </c>
      <c r="F2" s="73">
        <v>940168</v>
      </c>
      <c r="G2" s="73"/>
      <c r="H2" s="74"/>
      <c r="I2" s="12" t="s">
        <v>59</v>
      </c>
      <c r="J2" s="140">
        <v>44345</v>
      </c>
      <c r="K2" s="73"/>
      <c r="L2" s="74"/>
      <c r="M2" s="34"/>
      <c r="N2" s="12" t="s">
        <v>100</v>
      </c>
      <c r="O2" s="124" t="str">
        <f>IF(B2="","",B2)</f>
        <v>UD406</v>
      </c>
      <c r="P2" s="124"/>
      <c r="Q2" s="125"/>
      <c r="R2" s="12" t="s">
        <v>58</v>
      </c>
      <c r="S2" s="124">
        <f>IF(F2="","",F2)</f>
        <v>940168</v>
      </c>
      <c r="T2" s="124"/>
      <c r="U2" s="125"/>
      <c r="V2" s="12" t="s">
        <v>59</v>
      </c>
      <c r="W2" s="139">
        <f>J2</f>
        <v>44345</v>
      </c>
      <c r="X2" s="124"/>
      <c r="Y2" s="125"/>
    </row>
    <row r="3" spans="1:28" ht="20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161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Rolls</v>
      </c>
      <c r="O7" s="73">
        <v>5</v>
      </c>
      <c r="P7" s="74"/>
      <c r="Q7" s="12" t="str">
        <f>IF(ISNUMBER(SEARCH("roll",O8,1)),"Per Roll","Per Carton")</f>
        <v>Per Roll</v>
      </c>
      <c r="R7" s="73">
        <v>190</v>
      </c>
      <c r="S7" s="74"/>
      <c r="T7" s="12" t="str">
        <f>IF(ISNUMBER(SEARCH("bag",O8,1)),"Total Bags","Total Sheets")</f>
        <v>Total Bags</v>
      </c>
      <c r="U7" s="124">
        <f>R7*O7</f>
        <v>950</v>
      </c>
      <c r="V7" s="12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900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3" t="s">
        <v>165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195</v>
      </c>
      <c r="I9" s="145"/>
      <c r="J9" s="12" t="s">
        <v>55</v>
      </c>
      <c r="K9" s="73" t="s">
        <v>34</v>
      </c>
      <c r="L9" s="74"/>
      <c r="M9" s="34"/>
      <c r="N9" s="19"/>
      <c r="O9" s="117" t="str">
        <f>IF(O8="Poly Bag","PB",IF(O8="Poly Bag Roll","PBR",IF(O8="Centrefold Roll","CFR",IF(O8="Sheet","S",IF(O8="Sheet Roll","SR")))))</f>
        <v>PBR</v>
      </c>
      <c r="P9" s="118"/>
      <c r="Q9" s="19"/>
      <c r="R9" s="35">
        <v>900</v>
      </c>
      <c r="S9" s="20" t="s">
        <v>78</v>
      </c>
      <c r="T9" s="35">
        <v>1800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6">
        <f>IF(ISNUMBER(SEARCH("sheet",O8,1)),((R9*T9*H8/540000)*U7/2000*1.3),((R9*T9*H8/540000)*U7/1000*1.08))</f>
        <v>107.73</v>
      </c>
      <c r="F10" s="147"/>
      <c r="G10" s="12" t="s">
        <v>53</v>
      </c>
      <c r="H10" s="150">
        <f>IF(ISNUMBER(SEARCH("sheet",O8,1)),(U7*T9/2000*1.08),(U7*T9/1000*1.08))</f>
        <v>1846.8000000000002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48">
        <f>E10/B10</f>
        <v>21.545999999999999</v>
      </c>
      <c r="F11" s="149"/>
      <c r="G11" s="12" t="s">
        <v>15</v>
      </c>
      <c r="H11" s="148">
        <f>H10/B10</f>
        <v>369.36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6" t="s">
        <v>4</v>
      </c>
      <c r="F16" s="156"/>
      <c r="G16" s="156" t="s">
        <v>5</v>
      </c>
      <c r="H16" s="15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/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/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Rolls</v>
      </c>
      <c r="U17" s="73" t="s">
        <v>31</v>
      </c>
      <c r="V17" s="74"/>
      <c r="W17" s="12" t="str">
        <f>IF(ISNUMBER(SEARCH("roll",O8,1)),"Total Rolls","Total Ctns")</f>
        <v>Total Rolls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/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GREEN TINT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GT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7"/>
      <c r="B23" s="157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8"/>
      <c r="B24" s="159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37" zoomScaleNormal="100" workbookViewId="0">
      <selection activeCell="A28" sqref="A2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44336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197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64" t="s">
        <v>184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">
        <v>140</v>
      </c>
      <c r="U29" s="1"/>
      <c r="V29" s="1"/>
    </row>
    <row r="30" spans="1:23" x14ac:dyDescent="0.25">
      <c r="A30" s="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7"/>
      <c r="U30" s="1"/>
      <c r="V30" s="1"/>
    </row>
    <row r="31" spans="1:23" x14ac:dyDescent="0.25">
      <c r="A31" s="66" t="s">
        <v>46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6" t="s">
        <v>28</v>
      </c>
      <c r="U31" s="1"/>
      <c r="V31" s="1"/>
    </row>
    <row r="32" spans="1:23" x14ac:dyDescent="0.25">
      <c r="A32" s="5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 t="s">
        <v>168</v>
      </c>
      <c r="U32" s="1"/>
      <c r="V32" s="1"/>
    </row>
    <row r="33" spans="1:22" x14ac:dyDescent="0.25">
      <c r="A33" s="5" t="s">
        <v>34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110</v>
      </c>
      <c r="U33" s="1"/>
      <c r="V33" s="1"/>
    </row>
    <row r="34" spans="1:22" x14ac:dyDescent="0.25">
      <c r="A34" s="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130</v>
      </c>
      <c r="U34" s="1"/>
      <c r="V34" s="1"/>
    </row>
    <row r="35" spans="1:22" x14ac:dyDescent="0.25">
      <c r="A35" s="66" t="s">
        <v>47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150</v>
      </c>
      <c r="U35" s="1"/>
      <c r="V35" s="1"/>
    </row>
    <row r="36" spans="1:22" x14ac:dyDescent="0.25">
      <c r="A36" s="5" t="s">
        <v>44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>
        <v>180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170</v>
      </c>
      <c r="U38" s="1"/>
      <c r="V38" s="1"/>
    </row>
    <row r="39" spans="1:22" x14ac:dyDescent="0.25">
      <c r="A39" s="5" t="s">
        <v>45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5" t="s">
        <v>38</v>
      </c>
      <c r="U39" s="1"/>
      <c r="V39" s="1"/>
    </row>
    <row r="40" spans="1:22" x14ac:dyDescent="0.25">
      <c r="A40" s="6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22" x14ac:dyDescent="0.25">
      <c r="A41" s="66" t="s">
        <v>63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6" t="s">
        <v>26</v>
      </c>
    </row>
    <row r="42" spans="1:22" x14ac:dyDescent="0.25">
      <c r="A42" s="5" t="s">
        <v>44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35</v>
      </c>
    </row>
    <row r="43" spans="1:22" x14ac:dyDescent="0.25">
      <c r="A43" s="5" t="s">
        <v>65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37</v>
      </c>
    </row>
    <row r="44" spans="1:22" x14ac:dyDescent="0.25">
      <c r="A44" s="5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 t="s">
        <v>171</v>
      </c>
    </row>
    <row r="45" spans="1:22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"/>
    </row>
    <row r="46" spans="1:22" x14ac:dyDescent="0.25">
      <c r="A46" s="66" t="s">
        <v>68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6" t="s">
        <v>101</v>
      </c>
    </row>
    <row r="47" spans="1:22" x14ac:dyDescent="0.25">
      <c r="A47" s="5" t="s">
        <v>44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38</v>
      </c>
    </row>
    <row r="48" spans="1:22" x14ac:dyDescent="0.25">
      <c r="A48" s="5" t="s">
        <v>70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32</v>
      </c>
    </row>
    <row r="49" spans="1:20" x14ac:dyDescent="0.25">
      <c r="A49" s="5" t="s">
        <v>69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172</v>
      </c>
    </row>
    <row r="50" spans="1:20" x14ac:dyDescent="0.25">
      <c r="A50" s="6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183</v>
      </c>
    </row>
    <row r="51" spans="1:20" x14ac:dyDescent="0.25">
      <c r="A51" s="66" t="s">
        <v>61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5" t="s">
        <v>185</v>
      </c>
    </row>
    <row r="52" spans="1:20" x14ac:dyDescent="0.25">
      <c r="A52" s="5" t="s">
        <v>44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5" t="s">
        <v>173</v>
      </c>
    </row>
    <row r="54" spans="1:20" x14ac:dyDescent="0.25">
      <c r="A54" s="5" t="s">
        <v>67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31</v>
      </c>
    </row>
    <row r="55" spans="1:20" x14ac:dyDescent="0.25">
      <c r="A55" s="6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2" t="s">
        <v>23</v>
      </c>
    </row>
    <row r="56" spans="1:20" x14ac:dyDescent="0.25">
      <c r="A56" s="65" t="s">
        <v>62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20" x14ac:dyDescent="0.25">
      <c r="A57" s="62" t="s">
        <v>44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6" t="s">
        <v>27</v>
      </c>
    </row>
    <row r="58" spans="1:20" x14ac:dyDescent="0.25">
      <c r="A58" s="63" t="s">
        <v>177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36</v>
      </c>
      <c r="O58" s="1"/>
      <c r="P58" s="1"/>
      <c r="Q58" s="1"/>
      <c r="R58" s="1"/>
      <c r="S58" s="1"/>
      <c r="T58" s="1"/>
    </row>
    <row r="59" spans="1:20" x14ac:dyDescent="0.25">
      <c r="A59" s="64" t="s">
        <v>155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2" t="s">
        <v>33</v>
      </c>
    </row>
    <row r="60" spans="1:20" x14ac:dyDescent="0.25">
      <c r="A60" s="64" t="s">
        <v>148</v>
      </c>
    </row>
    <row r="61" spans="1:20" x14ac:dyDescent="0.25">
      <c r="A61" s="64" t="s">
        <v>149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6F54487-B456-43E5-A7AC-6884A7BEDF49}"/>
</file>

<file path=customXml/itemProps2.xml><?xml version="1.0" encoding="utf-8"?>
<ds:datastoreItem xmlns:ds="http://schemas.openxmlformats.org/officeDocument/2006/customXml" ds:itemID="{126A0813-E2EE-4FE0-AA89-2F4279317B36}"/>
</file>

<file path=customXml/itemProps3.xml><?xml version="1.0" encoding="utf-8"?>
<ds:datastoreItem xmlns:ds="http://schemas.openxmlformats.org/officeDocument/2006/customXml" ds:itemID="{2C8CE7F9-B3A5-4CCD-9F96-AD61A33D1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2021-04-29T01:13:13Z</cp:lastPrinted>
  <dcterms:created xsi:type="dcterms:W3CDTF">2019-11-27T23:28:06Z</dcterms:created>
  <dcterms:modified xsi:type="dcterms:W3CDTF">2021-04-29T01:18:07Z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