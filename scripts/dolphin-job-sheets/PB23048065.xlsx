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DB537D4-3893-4A16-8704-DBB45DFAE5E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<sst xmlns="http://schemas.openxmlformats.org/spreadsheetml/2006/main" count="304" uniqueCount="199">
  <si>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</si>
  <si>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</si>
  <si>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</si>
  <si>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</si>
  <si>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</si>
  <si>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</si>
  <si>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</si>
  <si>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</si>
  <si>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</si>
  <si>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</si>
  <si>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</si>
  <si>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</si>
  <si>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</si>
  <si>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</si>
  <si>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</si>
  <si>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</si>
  <si>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</si>
  <si>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</si>
  <si>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</si>
  <si>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</si>
  <si>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</si>
  <si>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</si>
  <si>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</si>
  <si>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</si>
  <si>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</si>
  <si>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</si>
  <si>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</si>
  <si>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</si>
  <si>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</si>
  <si>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</si>
  <si>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</si>
  <si>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</si>
  <si>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</si>
  <si>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</si>
  <si>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</si>
  <si>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</si>
  <si>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</si>
  <si>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</si>
  <si>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</si>
  <si>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</si>
  <si>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</si>
  <si>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</si>
  <si>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</si>
  <si>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</si>
  <si>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</si>
  <si>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</si>
  <si>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</si>
  <si>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</si>
  <si>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</si>
  <si>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</si>
  <si>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</si>
  <si>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</si>
  <si>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</si>
  <si>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</si>
  <si>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</si>
  <si>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</si>
  <si>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</si>
  <si>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</si>
  <si>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</si>
  <si>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</si>
  <si>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</si>
  <si>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</si>
  <si>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</si>
  <si>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</si>
  <si>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</si>
  <si>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</si>
  <si>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</si>
  <si>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</si>
  <si>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</si>
  <si>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</si>
  <si>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</si>
  <si>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</si>
  <si>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</si>
  <si>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</si>
  <si>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</si>
  <si>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</si>
  <si>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</si>
  <si>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</si>
  <si>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</si>
  <si>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</si>
  <si>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</si>
  <si>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</si>
  <si>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</si>
  <si>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</si>
  <si>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</si>
  <si>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</si>
  <si>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</si>
  <si>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</si>
  <si>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</si>
  <si>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</si>
  <si>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</si>
  <si>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</si>
  <si>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</si>
  <si>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</si>
  <si>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</si>
  <si>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</si>
  <si>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</si>
  <si>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</si>
  <si>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</si>
  <si>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</si>
  <si>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</si>
  <si>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</si>
  <si>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</si>
  <si>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</si>
  <si>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</si>
  <si>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</si>
  <si>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</si>
  <si>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</si>
  <si>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</si>
  <si>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</si>
  <si>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</si>
  <si>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</si>
  <si>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</si>
  <si>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</si>
  <si>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</si>
  <si>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</si>
  <si>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</si>
  <si>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</si>
  <si>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</si>
  <si>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</si>
  <si>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</si>
  <si>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</si>
  <si>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</si>
  <si>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</si>
  <si>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</si>
  <si>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</si>
  <si>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</si>
  <si>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</si>
  <si>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</si>
  <si>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</si>
  <si>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</si>
  <si>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</si>
  <si>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</si>
  <si>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</si>
  <si>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</si>
  <si>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</si>
  <si>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</si>
  <si>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</si>
  <si>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</si>
  <si>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</si>
  <si>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</si>
  <si>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</si>
  <si>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</si>
  <si>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</si>
  <si>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</si>
  <si>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</si>
  <si>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</si>
  <si>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</si>
  <si>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</si>
  <si>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</si>
  <si>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</si>
  <si>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</si>
  <si>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</si>
  <si>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</si>
  <si>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</si>
  <si>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</si>
  <si>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</si>
  <si>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</si>
  <si>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</si>
  <si>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</si>
  <si>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</si>
  <si>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</si>
  <si>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</si>
  <si>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</si>
  <si>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</si>
  <si>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</si>
  <si>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</si>
  <si>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</si>
  <si>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</si>
  <si>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</si>
  <si>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</si>
  <si>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</si>
  <si>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</si>
  <si>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</si>
  <si>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</si>
  <si>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</si>
  <si>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</si>
  <si>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</si>
  <si>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</si>
  <si>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</si>
  <si>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</si>
  <si>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</si>
  <si>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</si>
  <si>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</si>
  <si>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</si>
  <si>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</si>
  <si>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</si>
  <si>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</si>
  <si>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</si>
  <si>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</si>
  <si>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</si>
  <si>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</si>
  <si>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</si>
  <si>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</si>
  <si>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+/-3mm</t>
  </si>
  <si>
    <t>NOT UNDER</t>
  </si>
  <si>
    <t>AUS FISH CORAL</t>
  </si>
  <si>
    <t>NO CREASING OR SLACK ROLLS. ENSURE BAGS ARE STRONG - MUST HAVE WATER TIGHT SEALS. PLEASE CHECK FREQUENTLY - CUSTOMER WILL REJECT IF SEALS ARE BAD.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</si>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</sst>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PB23048065</v>
      </c>
      <c r="C1" s="111"/>
      <c r="D1" s="112"/>
      <c r="E1" s="11" t="s">
        <v>57</v>
      </c>
      <c r="F1" s="87" t="s">
        <v>196</v>
      </c>
      <c r="G1" s="87"/>
      <c r="H1" s="88"/>
      <c r="I1" s="12" t="s">
        <v>181</v>
      </c>
      <c r="J1" s="84">
        <f ca="1">TODAY()</f>
        <v>45715</v>
      </c>
      <c r="K1" s="84"/>
      <c r="L1" s="85"/>
      <c r="M1" s="29"/>
      <c r="N1" s="11" t="s">
        <v>56</v>
      </c>
      <c r="O1" s="111" t="str">
        <f>B1</f>
        <v>PB23048065</v>
      </c>
      <c r="P1" s="111"/>
      <c r="Q1" s="112"/>
      <c r="R1" s="11" t="s">
        <v>57</v>
      </c>
      <c r="S1" s="111" t="str">
        <f>F1</f>
        <v>AUS FISH CORAL</v>
      </c>
      <c r="T1" s="111"/>
      <c r="U1" s="112"/>
      <c r="V1" s="11" t="s">
        <v>181</v>
      </c>
      <c r="W1" s="84">
        <f ca="1">J1</f>
        <v>45715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949437</v>
      </c>
      <c r="G2" s="87"/>
      <c r="H2" s="88"/>
      <c r="I2" s="11" t="s">
        <v>59</v>
      </c>
      <c r="J2" s="86" t="s">
        <v>192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949437</v>
      </c>
      <c r="T2" s="111"/>
      <c r="U2" s="112"/>
      <c r="V2" s="11" t="s">
        <v>59</v>
      </c>
      <c r="W2" s="122" t="str">
        <f>J2</f>
        <v>ASAP</v>
      </c>
      <c r="X2" s="111"/>
      <c r="Y2" s="112"/>
    </row>
    <row r="3" spans="1:25" ht="20.149999999999999" customHeight="1" x14ac:dyDescent="0.75">
      <c r="A3" s="113" t="s">
        <v>197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NO CREASING OR SLACK ROLLS. ENSURE BAGS ARE STRONG - MUST HAVE WATER TIGHT SEALS. PLEASE CHECK FREQUENTLY - CUSTOMER WILL REJECT IF SEALS ARE BAD.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10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10000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230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65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195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230</v>
      </c>
      <c r="S9" s="18" t="s">
        <v>78</v>
      </c>
      <c r="T9" s="30">
        <v>480</v>
      </c>
      <c r="U9" s="18" t="s">
        <v>78</v>
      </c>
      <c r="V9" s="30">
        <v>65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10</v>
      </c>
      <c r="C10" s="88"/>
      <c r="D10" s="47" t="s">
        <v>134</v>
      </c>
      <c r="E10" s="101">
        <f>IF(ISNUMBER(SEARCH("sheet",O8,1)),((R9*T9*H8/540000)*U7/2000*1.3),((R9*T9*H8/540000)*U7/1000*1.08))</f>
        <v>143.52000000000004</v>
      </c>
      <c r="F10" s="102"/>
      <c r="G10" s="11" t="s">
        <v>53</v>
      </c>
      <c r="H10" s="105">
        <f>IF(ISNUMBER(SEARCH("sheet",O8,1)),(U7*T9/2000*1.08),(U7*T9/1000*1.08))</f>
        <v>5184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14.352000000000004</v>
      </c>
      <c r="F11" s="104"/>
      <c r="G11" s="11" t="s">
        <v>15</v>
      </c>
      <c r="H11" s="103">
        <f>H10/B10</f>
        <v>518.4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198</v>
      </c>
      <c r="P25" s="34"/>
      <c r="Q25" s="10">
        <v>26</v>
      </c>
      <c r="R25" s="10"/>
      <c r="S25" s="10"/>
      <c r="T25" s="10"/>
      <c r="U25" s="10"/>
      <c r="V25" s="10"/>
      <c r="W25" s="10">
        <v>17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45743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45736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BCAB5D2-2D5A-4D96-BC8C-DB51759C8627}"/>
</file>

<file path=customXml/itemProps2.xml><?xml version="1.0" encoding="utf-8"?>
<ds:datastoreItem xmlns:ds="http://schemas.openxmlformats.org/officeDocument/2006/customXml" ds:itemID="{33119354-D90F-4093-823C-4775C1F7CA2A}"/>
</file>

<file path=customXml/itemProps3.xml><?xml version="1.0" encoding="utf-8"?>
<ds:datastoreItem xmlns:ds="http://schemas.openxmlformats.org/officeDocument/2006/customXml" ds:itemID="{67537BCF-6E39-49CB-96E0-FDE6153DE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2025-02-26T23:47:51Z</cp:lastPrinted>
  <dcterms:created xsi:type="dcterms:W3CDTF">2019-11-27T23:28:06Z</dcterms:created>
  <dcterms:modified xsi:type="dcterms:W3CDTF">2025-02-27T00:01:10Z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