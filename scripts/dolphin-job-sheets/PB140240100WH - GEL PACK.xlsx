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92D95D3-3A7F-49AA-8B71-EE4ECA636B48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<sst xmlns="http://schemas.openxmlformats.org/spreadsheetml/2006/main" count="306" uniqueCount="203">
  <si>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</si>
  <si>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</si>
  <si>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</si>
  <si>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</si>
  <si>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</si>
  <si>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</si>
  <si>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</si>
  <si>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</si>
  <si>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</si>
  <si>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</si>
  <si>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</si>
  <si>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</si>
  <si>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</si>
  <si>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</si>
  <si>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</si>
  <si>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</si>
  <si>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</si>
  <si>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</si>
  <si>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</si>
  <si>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</si>
  <si>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</si>
  <si>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</si>
  <si>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</si>
  <si>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</si>
  <si>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</si>
  <si>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</si>
  <si>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</si>
  <si>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</si>
  <si>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</si>
  <si>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</si>
  <si>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</si>
  <si>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</si>
  <si>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</si>
  <si>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</si>
  <si>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</si>
  <si>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</si>
  <si>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</si>
  <si>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</si>
  <si>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</si>
  <si>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</si>
  <si>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</si>
  <si>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</si>
  <si>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</si>
  <si>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</si>
  <si>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</si>
  <si>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</si>
  <si>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</si>
  <si>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</si>
  <si>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</si>
  <si>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</si>
  <si>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</si>
  <si>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</si>
  <si>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</si>
  <si>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</si>
  <si>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</si>
  <si>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</si>
  <si>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</si>
  <si>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</si>
  <si>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</si>
  <si>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</si>
  <si>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</si>
  <si>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</si>
  <si>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</si>
  <si>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</si>
  <si>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</si>
  <si>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</si>
  <si>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</si>
  <si>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</si>
  <si>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</si>
  <si>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</si>
  <si>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</si>
  <si>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</si>
  <si>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</si>
  <si>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</si>
  <si>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</si>
  <si>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</si>
  <si>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</si>
  <si>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</si>
  <si>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</si>
  <si>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</si>
  <si>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</si>
  <si>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</si>
  <si>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</si>
  <si>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</si>
  <si>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</si>
  <si>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</si>
  <si>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</si>
  <si>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</si>
  <si>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</si>
  <si>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</si>
  <si>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</si>
  <si>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</si>
  <si>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</si>
  <si>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</si>
  <si>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</si>
  <si>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</si>
  <si>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</si>
  <si>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</si>
  <si>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</si>
  <si>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</si>
  <si>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</si>
  <si>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</si>
  <si>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</si>
  <si>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</si>
  <si>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</si>
  <si>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</si>
  <si>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</si>
  <si>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</si>
  <si>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</si>
  <si>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</si>
  <si>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</si>
  <si>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</si>
  <si>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</si>
  <si>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</si>
  <si>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</si>
  <si>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</si>
  <si>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</si>
  <si>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</si>
  <si>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</si>
  <si>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</si>
  <si>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</si>
  <si>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</si>
  <si>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</si>
  <si>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</si>
  <si>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</si>
  <si>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</si>
  <si>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</si>
  <si>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</si>
  <si>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</si>
  <si>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</si>
  <si>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</si>
  <si>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</si>
  <si>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</si>
  <si>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</si>
  <si>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</si>
  <si>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</si>
  <si>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</si>
  <si>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</si>
  <si>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</si>
  <si>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</si>
  <si>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</si>
  <si>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</si>
  <si>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</si>
  <si>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</si>
  <si>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</si>
  <si>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</si>
  <si>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</si>
  <si>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</si>
  <si>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</si>
  <si>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</si>
  <si>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</si>
  <si>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</si>
  <si>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</si>
  <si>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</si>
  <si>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</si>
  <si>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</si>
  <si>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</si>
  <si>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</si>
  <si>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</si>
  <si>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</si>
  <si>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</si>
  <si>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</si>
  <si>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</si>
  <si>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</si>
  <si>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</si>
  <si>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</si>
  <si>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</si>
  <si>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</si>
  <si>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</si>
  <si>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</si>
  <si>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</si>
  <si>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</si>
  <si>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</si>
  <si>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</si>
  <si>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</si>
  <si>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</si>
  <si>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</si>
  <si>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</si>
  <si>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</si>
  <si>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</si>
  <si>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</si>
  <si>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</si>
  <si>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</si>
  <si>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</si>
  <si>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</si>
  <si>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</si>
  <si>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</si>
  <si>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</si>
  <si>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</si>
  <si>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</si>
  <si>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</si>
  <si>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</si>
  <si>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</si>
  <si>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</si>
  <si>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GEL PACKS</t>
  </si>
  <si>
    <t xml:space="preserve"> +2mm /-5mm</t>
  </si>
  <si>
    <t xml:space="preserve"> +/-5um</t>
  </si>
  <si>
    <t>MUST STAY WITHIN TOLERANCE! - SOLID WHITE - MUST HAVE WATER TIGHT SEALS</t>
  </si>
  <si>
    <t>ARVOR</t>
  </si>
  <si>
    <t>14.02.2021</t>
  </si>
  <si>
    <t>PB140240100WH</t>
  </si>
  <si>
    <t>ROLLS MUST HAVE AIR IN THEM.</t>
  </si>
  <si>
    <t>DEEP DROP 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</si>
</sst>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7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7" fillId="0" borderId="7" xfId="2" applyFont="1" applyBorder="1" applyAlignment="1" applyProtection="1">
      <alignment horizontal="center" vertical="top"/>
      <protection locked="0"/>
    </xf>
    <xf numFmtId="0" fontId="18" fillId="0" borderId="3" xfId="2" applyFont="1" applyBorder="1" applyAlignment="1" applyProtection="1">
      <alignment horizontal="center" vertical="top"/>
      <protection locked="0"/>
    </xf>
    <xf numFmtId="0" fontId="18" fillId="0" borderId="8" xfId="2" applyFont="1" applyBorder="1" applyAlignment="1" applyProtection="1">
      <alignment horizontal="center" vertical="top"/>
      <protection locked="0"/>
    </xf>
    <xf numFmtId="0" fontId="18" fillId="0" borderId="9" xfId="2" applyFont="1" applyBorder="1" applyAlignment="1" applyProtection="1">
      <alignment horizontal="center" vertical="top"/>
      <protection locked="0"/>
    </xf>
    <xf numFmtId="0" fontId="18" fillId="0" borderId="0" xfId="2" applyFont="1" applyBorder="1" applyAlignment="1" applyProtection="1">
      <alignment horizontal="center" vertical="top"/>
      <protection locked="0"/>
    </xf>
    <xf numFmtId="0" fontId="18" fillId="0" borderId="10" xfId="2" applyFont="1" applyBorder="1" applyAlignment="1" applyProtection="1">
      <alignment horizontal="center" vertical="top"/>
      <protection locked="0"/>
    </xf>
    <xf numFmtId="0" fontId="18" fillId="0" borderId="11" xfId="2" applyFont="1" applyBorder="1" applyAlignment="1" applyProtection="1">
      <alignment horizontal="center" vertical="top"/>
      <protection locked="0"/>
    </xf>
    <xf numFmtId="0" fontId="18" fillId="0" borderId="1" xfId="2" applyFont="1" applyBorder="1" applyAlignment="1" applyProtection="1">
      <alignment horizontal="center" vertical="top"/>
      <protection locked="0"/>
    </xf>
    <xf numFmtId="0" fontId="18" fillId="0" borderId="12" xfId="2" applyFont="1" applyBorder="1" applyAlignment="1" applyProtection="1">
      <alignment horizontal="center" vertical="top"/>
      <protection locked="0"/>
    </xf>
    <xf numFmtId="0" fontId="10" fillId="0" borderId="2" xfId="0" applyFont="1" applyBorder="1" applyAlignment="1" applyProtection="1"/>
    <xf numFmtId="0" fontId="10" fillId="0" borderId="5" xfId="0" applyFont="1" applyBorder="1" applyAlignment="1" applyProtection="1"/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1" sqref="B1:D1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69" t="s">
        <v>200</v>
      </c>
      <c r="C1" s="169"/>
      <c r="D1" s="170"/>
      <c r="E1" s="12" t="s">
        <v>57</v>
      </c>
      <c r="F1" s="133" t="s">
        <v>202</v>
      </c>
      <c r="G1" s="134"/>
      <c r="H1" s="135"/>
      <c r="I1" s="13" t="s">
        <v>181</v>
      </c>
      <c r="J1" s="95">
        <f ca="1">TODAY()</f>
        <v>44214</v>
      </c>
      <c r="K1" s="95"/>
      <c r="L1" s="96"/>
      <c r="M1" s="34"/>
      <c r="N1" s="12" t="s">
        <v>56</v>
      </c>
      <c r="O1" s="122" t="str">
        <f>B1</f>
        <v>PB140240100WH</v>
      </c>
      <c r="P1" s="122"/>
      <c r="Q1" s="123"/>
      <c r="R1" s="12" t="s">
        <v>57</v>
      </c>
      <c r="S1" s="122" t="str">
        <f>F1</f>
        <v>DEEP DROP COMMERCIAL</v>
      </c>
      <c r="T1" s="122"/>
      <c r="U1" s="123"/>
      <c r="V1" s="12" t="s">
        <v>181</v>
      </c>
      <c r="W1" s="95">
        <f ca="1">J1</f>
        <v>44214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>GEL PACKS</v>
      </c>
      <c r="C2" s="122"/>
      <c r="D2" s="123"/>
      <c r="E2" s="12" t="s">
        <v>58</v>
      </c>
      <c r="F2" s="98">
        <v>939330</v>
      </c>
      <c r="G2" s="98"/>
      <c r="H2" s="99"/>
      <c r="I2" s="12" t="s">
        <v>59</v>
      </c>
      <c r="J2" s="97" t="s">
        <v>199</v>
      </c>
      <c r="K2" s="98"/>
      <c r="L2" s="99"/>
      <c r="M2" s="34"/>
      <c r="N2" s="12" t="s">
        <v>100</v>
      </c>
      <c r="O2" s="122" t="str">
        <f>IF(B2="","",B2)</f>
        <v>GEL PACKS</v>
      </c>
      <c r="P2" s="122"/>
      <c r="Q2" s="123"/>
      <c r="R2" s="12" t="s">
        <v>58</v>
      </c>
      <c r="S2" s="122">
        <f>IF(F2="","",F2)</f>
        <v>939330</v>
      </c>
      <c r="T2" s="122"/>
      <c r="U2" s="123"/>
      <c r="V2" s="12" t="s">
        <v>59</v>
      </c>
      <c r="W2" s="136" t="str">
        <f>J2</f>
        <v>14.02.2021</v>
      </c>
      <c r="X2" s="122"/>
      <c r="Y2" s="123"/>
    </row>
    <row r="3" spans="1:28" ht="20.100000000000001" customHeight="1" x14ac:dyDescent="0.25">
      <c r="A3" s="124" t="s">
        <v>197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MUST STAY WITHIN TOLERANCE! - SOLID WHITE - MUST HAVE WATER TIGHT SEALS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155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10</v>
      </c>
      <c r="P7" s="99"/>
      <c r="Q7" s="12" t="str">
        <f>IF(ISNUMBER(SEARCH("roll",O8,1)),"Per Roll","Per Carton")</f>
        <v>Per Carton</v>
      </c>
      <c r="R7" s="98">
        <v>1000</v>
      </c>
      <c r="S7" s="99"/>
      <c r="T7" s="12" t="str">
        <f>IF(ISNUMBER(SEARCH("bag",O8,1)),"Total Bags","Total Sheets")</f>
        <v>Total Bags</v>
      </c>
      <c r="U7" s="122">
        <f>R7*O7</f>
        <v>10000</v>
      </c>
      <c r="V7" s="123"/>
      <c r="W7" s="12" t="s">
        <v>102</v>
      </c>
      <c r="X7" s="98" t="s">
        <v>23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140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100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9" t="s">
        <v>164</v>
      </c>
      <c r="P8" s="140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7" t="str">
        <f>IF(AND(W8="Gusset",X9=""), "None",IF(AND(W8="Centrefold",X9=""),"None",IF(W8="Gusset","G",IF(W8="Centrefold","CF"))))</f>
        <v>None</v>
      </c>
      <c r="Y8" s="138"/>
    </row>
    <row r="9" spans="1:28" ht="20.100000000000001" customHeight="1" x14ac:dyDescent="0.3">
      <c r="A9" s="18" t="s">
        <v>48</v>
      </c>
      <c r="B9" s="110" t="s">
        <v>195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196</v>
      </c>
      <c r="I9" s="111"/>
      <c r="J9" s="12" t="s">
        <v>55</v>
      </c>
      <c r="K9" s="98" t="s">
        <v>30</v>
      </c>
      <c r="L9" s="99"/>
      <c r="M9" s="34"/>
      <c r="N9" s="19"/>
      <c r="O9" s="141" t="str">
        <f>IF(O8="Poly Bag","PB",IF(O8="Poly Bag Roll","PBR",IF(O8="Centrefold Roll","CFR",IF(O8="Sheet","S",IF(O8="Sheet Roll","SR")))))</f>
        <v>PB</v>
      </c>
      <c r="P9" s="142"/>
      <c r="Q9" s="19"/>
      <c r="R9" s="35">
        <v>140</v>
      </c>
      <c r="S9" s="20" t="s">
        <v>78</v>
      </c>
      <c r="T9" s="35">
        <v>240</v>
      </c>
      <c r="U9" s="20" t="s">
        <v>78</v>
      </c>
      <c r="V9" s="35">
        <v>100</v>
      </c>
      <c r="W9" s="19"/>
      <c r="X9" s="152"/>
      <c r="Y9" s="153"/>
    </row>
    <row r="10" spans="1:28" ht="20.100000000000001" customHeight="1" x14ac:dyDescent="0.25">
      <c r="A10" s="12" t="s">
        <v>51</v>
      </c>
      <c r="B10" s="98">
        <v>6</v>
      </c>
      <c r="C10" s="99"/>
      <c r="D10" s="54" t="s">
        <v>134</v>
      </c>
      <c r="E10" s="112">
        <f>IF(ISNUMBER(SEARCH("sheet",O8,1)),((R9*T9*H8/540000)*U7/2000*1.3),((R9*T9*H8/540000)*U7/1000*1.08))</f>
        <v>67.200000000000017</v>
      </c>
      <c r="F10" s="113"/>
      <c r="G10" s="12" t="s">
        <v>53</v>
      </c>
      <c r="H10" s="116">
        <f>IF(ISNUMBER(SEARCH("sheet",O8,1)),(U7*T9/2000*1.08),(U7*T9/1000*1.08))</f>
        <v>2592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9" t="s">
        <v>44</v>
      </c>
      <c r="P10" s="140"/>
      <c r="Q10" s="16" t="s">
        <v>50</v>
      </c>
      <c r="R10" s="137" t="str">
        <f>IF(K11="NONE","None",IF(K11="INLINE","Yes",IF(K11="OUT OF LINE","Yes")))</f>
        <v>None</v>
      </c>
      <c r="S10" s="137"/>
      <c r="T10" s="16" t="s">
        <v>100</v>
      </c>
      <c r="U10" s="144" t="s">
        <v>194</v>
      </c>
      <c r="V10" s="144"/>
      <c r="W10" s="144"/>
      <c r="X10" s="144"/>
      <c r="Y10" s="145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11.200000000000003</v>
      </c>
      <c r="F11" s="115"/>
      <c r="G11" s="12" t="s">
        <v>15</v>
      </c>
      <c r="H11" s="114">
        <f>H10/B10</f>
        <v>432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6"/>
      <c r="V11" s="146"/>
      <c r="W11" s="146"/>
      <c r="X11" s="146"/>
      <c r="Y11" s="147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3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10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/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3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110</v>
      </c>
      <c r="P16" s="99"/>
      <c r="Q16" s="18" t="s">
        <v>105</v>
      </c>
      <c r="R16" s="110" t="s">
        <v>31</v>
      </c>
      <c r="S16" s="111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8"/>
      <c r="Y16" s="159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171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8"/>
      <c r="Y17" s="159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8"/>
      <c r="Y18" s="159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160" t="s">
        <v>201</v>
      </c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2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163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5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163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5"/>
    </row>
    <row r="22" spans="1:25" ht="20.100000000000001" customHeight="1" x14ac:dyDescent="0.25">
      <c r="A22" s="85" t="str">
        <f>(IF(B7="NATURAL","",B7))</f>
        <v>WHITE</v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166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8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3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198</v>
      </c>
      <c r="P25" s="39"/>
      <c r="Q25" s="10">
        <v>22</v>
      </c>
      <c r="R25" s="10"/>
      <c r="S25" s="10"/>
      <c r="T25" s="10"/>
      <c r="U25" s="10"/>
      <c r="V25" s="10"/>
      <c r="W25" s="10"/>
      <c r="X25" s="10">
        <v>35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7" t="s">
        <v>132</v>
      </c>
      <c r="H26" s="157"/>
      <c r="I26" s="157" t="s">
        <v>131</v>
      </c>
      <c r="J26" s="157"/>
      <c r="K26" s="28" t="s">
        <v>94</v>
      </c>
      <c r="L26" s="28" t="s">
        <v>95</v>
      </c>
      <c r="M26" s="34"/>
      <c r="N26" s="154" t="s">
        <v>137</v>
      </c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6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8" t="s">
        <v>99</v>
      </c>
      <c r="B29" s="149"/>
      <c r="C29" s="149"/>
      <c r="D29" s="149"/>
      <c r="E29" s="149"/>
      <c r="F29" s="150"/>
      <c r="G29" s="150"/>
      <c r="H29" s="150"/>
      <c r="I29" s="150"/>
      <c r="J29" s="150"/>
      <c r="K29" s="149"/>
      <c r="L29" s="151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29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dataValidations count="1">
    <dataValidation allowBlank="1" showInputMessage="1" sqref="H17" xr:uid="{6673C49C-25B9-491E-BF9F-821928D6EDF3}"/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44245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44235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7785225-F689-423C-92B9-2E77F6D43BB7}"/>
</file>

<file path=customXml/itemProps2.xml><?xml version="1.0" encoding="utf-8"?>
<ds:datastoreItem xmlns:ds="http://schemas.openxmlformats.org/officeDocument/2006/customXml" ds:itemID="{2EBCDE1E-18B0-464E-928B-73E222782815}"/>
</file>

<file path=customXml/itemProps3.xml><?xml version="1.0" encoding="utf-8"?>
<ds:datastoreItem xmlns:ds="http://schemas.openxmlformats.org/officeDocument/2006/customXml" ds:itemID="{7C1031C9-3CCF-439C-8BB4-6CD6AC397C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2021-01-18T03:27:00Z</cp:lastPrinted>
  <dcterms:created xsi:type="dcterms:W3CDTF">2019-11-27T23:28:06Z</dcterms:created>
  <dcterms:modified xsi:type="dcterms:W3CDTF">2021-01-18T04:42:33Z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