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A338BB1-915B-4ED1-99F2-DD7DE1074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O1" i="1" s="1"/>
  <c r="J1" i="1" l="1"/>
  <c r="A5" i="2" l="1"/>
  <c r="A4" i="2"/>
  <c r="W1" i="1"/>
  <c r="S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<sst xmlns="http://schemas.openxmlformats.org/spreadsheetml/2006/main" count="306" uniqueCount="202">
  <si>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</si>
  <si>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</si>
  <si>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</si>
  <si>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</si>
  <si>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</si>
  <si>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</si>
  <si>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</si>
  <si>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</si>
  <si>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</si>
  <si>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</si>
  <si>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</si>
  <si>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</si>
  <si>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</si>
  <si>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</si>
  <si>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</si>
  <si>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</si>
  <si>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</si>
  <si>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</si>
  <si>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</si>
  <si>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</si>
  <si>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</si>
  <si>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</si>
  <si>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</si>
  <si>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</si>
  <si>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</si>
  <si>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</si>
  <si>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</si>
  <si>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</si>
  <si>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</si>
  <si>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</si>
  <si>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</si>
  <si>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</si>
  <si>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</si>
  <si>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</si>
  <si>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</si>
  <si>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</si>
  <si>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</si>
  <si>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</si>
  <si>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</si>
  <si>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</si>
  <si>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</si>
  <si>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</si>
  <si>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</si>
  <si>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</si>
  <si>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</si>
  <si>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</si>
  <si>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</si>
  <si>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</si>
  <si>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</si>
  <si>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</si>
  <si>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</si>
  <si>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</si>
  <si>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</si>
  <si>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</si>
  <si>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</si>
  <si>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</si>
  <si>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</si>
  <si>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</si>
  <si>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</si>
  <si>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</si>
  <si>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</si>
  <si>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</si>
  <si>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</si>
  <si>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</si>
  <si>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</si>
  <si>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</si>
  <si>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</si>
  <si>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</si>
  <si>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</si>
  <si>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</si>
  <si>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</si>
  <si>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</si>
  <si>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</si>
  <si>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</si>
  <si>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</si>
  <si>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</si>
  <si>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</si>
  <si>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</si>
  <si>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</si>
  <si>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</si>
  <si>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</si>
  <si>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</si>
  <si>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</si>
  <si>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</si>
  <si>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</si>
  <si>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</si>
  <si>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</si>
  <si>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</si>
  <si>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</si>
  <si>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</si>
  <si>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</si>
  <si>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</si>
  <si>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</si>
  <si>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</si>
  <si>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</si>
  <si>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</si>
  <si>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</si>
  <si>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</si>
  <si>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</si>
  <si>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</si>
  <si>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</si>
  <si>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</si>
  <si>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</si>
  <si>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</si>
  <si>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</si>
  <si>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</si>
  <si>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</si>
  <si>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</si>
  <si>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</si>
  <si>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</si>
  <si>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</si>
  <si>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</si>
  <si>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</si>
  <si>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</si>
  <si>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</si>
  <si>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</si>
  <si>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</si>
  <si>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</si>
  <si>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</si>
  <si>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</si>
  <si>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</si>
  <si>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</si>
  <si>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</si>
  <si>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</si>
  <si>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</si>
  <si>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</si>
  <si>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</si>
  <si>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</si>
  <si>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</si>
  <si>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</si>
  <si>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</si>
  <si>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</si>
  <si>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</si>
  <si>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</si>
  <si>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</si>
  <si>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</si>
  <si>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</si>
  <si>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</si>
  <si>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</si>
  <si>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</si>
  <si>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</si>
  <si>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</si>
  <si>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</si>
  <si>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</si>
  <si>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</si>
  <si>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</si>
  <si>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</si>
  <si>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</si>
  <si>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</si>
  <si>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</si>
  <si>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</si>
  <si>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</si>
  <si>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</si>
  <si>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</si>
  <si>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</si>
  <si>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</si>
  <si>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</si>
  <si>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</si>
  <si>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</si>
  <si>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</si>
  <si>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</si>
  <si>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</si>
  <si>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</si>
  <si>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</si>
  <si>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</si>
  <si>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</si>
  <si>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</si>
  <si>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</si>
  <si>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</si>
  <si>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</si>
  <si>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</si>
  <si>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</si>
  <si>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</si>
  <si>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</si>
  <si>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</si>
  <si>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</si>
  <si>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</si>
  <si>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</si>
  <si>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</si>
  <si>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</si>
  <si>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</si>
  <si>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</si>
  <si>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</si>
  <si>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</si>
  <si>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</si>
  <si>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</si>
  <si>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</si>
  <si>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</si>
  <si>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</si>
  <si>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</si>
  <si>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</si>
  <si>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</si>
  <si>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</si>
  <si>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</si>
  <si>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</si>
  <si>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PINK</t>
  </si>
  <si>
    <t>X</t>
  </si>
  <si>
    <t>NOT OVER 140UM</t>
  </si>
  <si>
    <t>OCEAN LIFE EDUCATION</t>
  </si>
  <si>
    <t xml:space="preserve">MUST HAVE WATER TIGHT SEAL - CHECK REGUARLY </t>
  </si>
  <si>
    <t>ANTIBLOCK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</si>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</sst>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22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21" fillId="5" borderId="2" xfId="0" applyFont="1" applyFill="1" applyBorder="1" applyAlignment="1" applyProtection="1">
      <alignment horizontal="center"/>
      <protection locked="0"/>
    </xf>
    <xf numFmtId="0" fontId="21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0" fillId="5" borderId="2" xfId="0" applyFont="1" applyFill="1" applyBorder="1" applyAlignment="1" applyProtection="1">
      <alignment horizont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W13" sqref="W13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5" t="str">
        <f>O9&amp;R9&amp;IF(X8="G","G","")&amp;IF(O8="Centrefold Roll","("&amp;E8&amp;")","")&amp;T9&amp;V9&amp;C22&amp;C23&amp;C24&amp;O11&amp;R11</f>
        <v>PB5109151200</v>
      </c>
      <c r="C1" s="115"/>
      <c r="D1" s="116"/>
      <c r="E1" s="11" t="s">
        <v>57</v>
      </c>
      <c r="F1" s="126" t="s">
        <v>198</v>
      </c>
      <c r="G1" s="65"/>
      <c r="H1" s="66"/>
      <c r="I1" s="12" t="s">
        <v>181</v>
      </c>
      <c r="J1" s="129">
        <f ca="1">TODAY()</f>
        <v>45421</v>
      </c>
      <c r="K1" s="129"/>
      <c r="L1" s="130"/>
      <c r="M1" s="29"/>
      <c r="N1" s="11" t="s">
        <v>56</v>
      </c>
      <c r="O1" s="115" t="str">
        <f>B1</f>
        <v>PB5109151200</v>
      </c>
      <c r="P1" s="115"/>
      <c r="Q1" s="116"/>
      <c r="R1" s="11" t="s">
        <v>57</v>
      </c>
      <c r="S1" s="115" t="str">
        <f>F1</f>
        <v>OCEAN LIFE EDUCATION</v>
      </c>
      <c r="T1" s="115"/>
      <c r="U1" s="116"/>
      <c r="V1" s="11" t="s">
        <v>181</v>
      </c>
      <c r="W1" s="129">
        <f ca="1">J1</f>
        <v>45421</v>
      </c>
      <c r="X1" s="129"/>
      <c r="Y1" s="130"/>
    </row>
    <row r="2" spans="1:25" ht="20.100000000000001" customHeight="1" x14ac:dyDescent="0.25">
      <c r="A2" s="11" t="s">
        <v>100</v>
      </c>
      <c r="B2" s="115" t="str">
        <f>IF(U10="","",U10)</f>
        <v/>
      </c>
      <c r="C2" s="115"/>
      <c r="D2" s="116"/>
      <c r="E2" s="11" t="s">
        <v>58</v>
      </c>
      <c r="F2" s="65">
        <v>947753</v>
      </c>
      <c r="G2" s="65"/>
      <c r="H2" s="66"/>
      <c r="I2" s="11" t="s">
        <v>59</v>
      </c>
      <c r="J2" s="132" t="s">
        <v>192</v>
      </c>
      <c r="K2" s="132"/>
      <c r="L2" s="133"/>
      <c r="M2" s="29"/>
      <c r="N2" s="11" t="s">
        <v>100</v>
      </c>
      <c r="O2" s="115" t="str">
        <f>IF(B2="","",B2)</f>
        <v/>
      </c>
      <c r="P2" s="115"/>
      <c r="Q2" s="116"/>
      <c r="R2" s="11" t="s">
        <v>58</v>
      </c>
      <c r="S2" s="115">
        <f>IF(F2="","",F2)</f>
        <v>947753</v>
      </c>
      <c r="T2" s="115"/>
      <c r="U2" s="116"/>
      <c r="V2" s="11" t="s">
        <v>59</v>
      </c>
      <c r="W2" s="131" t="str">
        <f>J2</f>
        <v>ASAP</v>
      </c>
      <c r="X2" s="115"/>
      <c r="Y2" s="116"/>
    </row>
    <row r="3" spans="1:25" ht="20.100000000000001" customHeight="1" x14ac:dyDescent="0.25">
      <c r="A3" s="117" t="s">
        <v>199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9"/>
      <c r="M3" s="29"/>
      <c r="N3" s="117" t="str">
        <f>A3</f>
        <v xml:space="preserve">MUST HAVE WATER TIGHT SEAL - CHECK REGUARLY 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</row>
    <row r="4" spans="1:25" ht="20.100000000000001" customHeight="1" x14ac:dyDescent="0.25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2"/>
      <c r="M4" s="29"/>
      <c r="N4" s="120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2"/>
    </row>
    <row r="5" spans="1:25" ht="20.100000000000001" customHeight="1" x14ac:dyDescent="0.2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5"/>
      <c r="M5" s="29"/>
      <c r="N5" s="123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5"/>
    </row>
    <row r="6" spans="1:25" ht="20.100000000000001" customHeight="1" x14ac:dyDescent="0.25">
      <c r="A6" s="134" t="s">
        <v>2</v>
      </c>
      <c r="B6" s="135"/>
      <c r="C6" s="135"/>
      <c r="D6" s="135"/>
      <c r="E6" s="135"/>
      <c r="F6" s="135"/>
      <c r="G6" s="135"/>
      <c r="H6" s="135"/>
      <c r="I6" s="135"/>
      <c r="J6" s="73"/>
      <c r="K6" s="73"/>
      <c r="L6" s="74"/>
      <c r="M6" s="29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00000000000001" customHeight="1" x14ac:dyDescent="0.3">
      <c r="A7" s="11" t="s">
        <v>49</v>
      </c>
      <c r="B7" s="127" t="s">
        <v>163</v>
      </c>
      <c r="C7" s="127"/>
      <c r="D7" s="127"/>
      <c r="E7" s="127"/>
      <c r="F7" s="127"/>
      <c r="G7" s="127"/>
      <c r="H7" s="127"/>
      <c r="I7" s="128"/>
      <c r="J7" s="70" t="s">
        <v>179</v>
      </c>
      <c r="K7" s="70"/>
      <c r="L7" s="71"/>
      <c r="M7" s="29"/>
      <c r="N7" s="11" t="str">
        <f>IF(ISNUMBER(SEARCH("roll",O8,1)),"No. Rolls","No. Cartons")</f>
        <v>No. Cartons</v>
      </c>
      <c r="O7" s="65">
        <v>11</v>
      </c>
      <c r="P7" s="66"/>
      <c r="Q7" s="11" t="str">
        <f>IF(ISNUMBER(SEARCH("roll",O8,1)),"Per Roll","Per Carton")</f>
        <v>Per Carton</v>
      </c>
      <c r="R7" s="65">
        <v>200</v>
      </c>
      <c r="S7" s="66"/>
      <c r="T7" s="11" t="str">
        <f>IF(ISNUMBER(SEARCH("bag",O8,1)),"Total Bags","Total Sheets")</f>
        <v>Total Bags</v>
      </c>
      <c r="U7" s="115">
        <f>R7*O7</f>
        <v>2200</v>
      </c>
      <c r="V7" s="116"/>
      <c r="W7" s="11" t="s">
        <v>102</v>
      </c>
      <c r="X7" s="65" t="s">
        <v>23</v>
      </c>
      <c r="Y7" s="66"/>
    </row>
    <row r="8" spans="1:25" ht="20.100000000000001" customHeight="1" x14ac:dyDescent="0.25">
      <c r="A8" s="13" t="s">
        <v>16</v>
      </c>
      <c r="B8" s="101">
        <f>R9</f>
        <v>510</v>
      </c>
      <c r="C8" s="102"/>
      <c r="D8" s="27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3" t="s">
        <v>52</v>
      </c>
      <c r="H8" s="101">
        <f>(IF(V9&lt;30,"30",V9))</f>
        <v>120</v>
      </c>
      <c r="I8" s="102"/>
      <c r="J8" s="11" t="s">
        <v>54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29"/>
      <c r="N8" s="14" t="s">
        <v>54</v>
      </c>
      <c r="O8" s="103" t="s">
        <v>164</v>
      </c>
      <c r="P8" s="104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9" t="str">
        <f>IF(AND(W8="Gusset",X9=""), "None",IF(AND(W8="Centrefold",X9=""),"None",IF(W8="Gusset","G",IF(W8="Centrefold","CF"))))</f>
        <v>None</v>
      </c>
      <c r="Y8" s="100"/>
    </row>
    <row r="9" spans="1:25" ht="20.100000000000001" customHeight="1" x14ac:dyDescent="0.3">
      <c r="A9" s="16" t="s">
        <v>48</v>
      </c>
      <c r="B9" s="138" t="s">
        <v>194</v>
      </c>
      <c r="C9" s="139"/>
      <c r="D9" s="146" t="str">
        <f>IF(K10="Middle","RUN 2 UP",IF(AND(O8="Centrefold Roll",B8=380),"RUN 2 UP",""))</f>
        <v/>
      </c>
      <c r="E9" s="127"/>
      <c r="F9" s="128"/>
      <c r="G9" s="16" t="s">
        <v>48</v>
      </c>
      <c r="H9" s="136" t="s">
        <v>197</v>
      </c>
      <c r="I9" s="137"/>
      <c r="J9" s="11" t="s">
        <v>55</v>
      </c>
      <c r="K9" s="65" t="s">
        <v>30</v>
      </c>
      <c r="L9" s="66"/>
      <c r="M9" s="29"/>
      <c r="N9" s="17"/>
      <c r="O9" s="109" t="str">
        <f>IF(O8="Poly Bag","PB",IF(O8="Poly Bag Roll","PBR",IF(O8="Centrefold Roll","CFR",IF(O8="Sheet","S",IF(O8="Sheet Roll","SR")))))</f>
        <v>PB</v>
      </c>
      <c r="P9" s="110"/>
      <c r="Q9" s="17"/>
      <c r="R9" s="30">
        <v>510</v>
      </c>
      <c r="S9" s="18" t="s">
        <v>196</v>
      </c>
      <c r="T9" s="30">
        <v>915</v>
      </c>
      <c r="U9" s="18" t="s">
        <v>78</v>
      </c>
      <c r="V9" s="30">
        <v>120</v>
      </c>
      <c r="W9" s="17"/>
      <c r="X9" s="91"/>
      <c r="Y9" s="92"/>
    </row>
    <row r="10" spans="1:25" ht="20.100000000000001" customHeight="1" x14ac:dyDescent="0.25">
      <c r="A10" s="11" t="s">
        <v>51</v>
      </c>
      <c r="B10" s="65">
        <v>6</v>
      </c>
      <c r="C10" s="66"/>
      <c r="D10" s="47" t="s">
        <v>134</v>
      </c>
      <c r="E10" s="140">
        <f>IF(ISNUMBER(SEARCH("sheet",O8,1)),((R9*T9*H8/540000)*U7/2000*1.3),((R9*T9*H8/540000)*U7/1000*1.08))</f>
        <v>246.3912</v>
      </c>
      <c r="F10" s="141"/>
      <c r="G10" s="11" t="s">
        <v>53</v>
      </c>
      <c r="H10" s="144">
        <f>IF(ISNUMBER(SEARCH("sheet",O8,1)),(U7*T9/2000*1.08),(U7*T9/1000*1.08))</f>
        <v>2174.04</v>
      </c>
      <c r="I10" s="145"/>
      <c r="J10" s="11" t="s">
        <v>41</v>
      </c>
      <c r="K10" s="65" t="s">
        <v>44</v>
      </c>
      <c r="L10" s="66"/>
      <c r="M10" s="29"/>
      <c r="N10" s="14" t="s">
        <v>141</v>
      </c>
      <c r="O10" s="103" t="s">
        <v>44</v>
      </c>
      <c r="P10" s="104"/>
      <c r="Q10" s="14" t="s">
        <v>50</v>
      </c>
      <c r="R10" s="99" t="str">
        <f>IF(K11="NONE","None",IF(K11="INLINE","Yes",IF(K11="OUT OF LINE","Yes")))</f>
        <v>None</v>
      </c>
      <c r="S10" s="99"/>
      <c r="T10" s="14" t="s">
        <v>100</v>
      </c>
      <c r="U10" s="111"/>
      <c r="V10" s="111"/>
      <c r="W10" s="111"/>
      <c r="X10" s="111"/>
      <c r="Y10" s="112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5" t="str">
        <f>IF(AND(O8="Centrefold Roll",D9="RUN 2 UP"),B10*2,IF(ISNUMBER(SEARCH("sheet",O8,1)),B10*2,""))</f>
        <v/>
      </c>
      <c r="C11" s="116"/>
      <c r="D11" s="11" t="s">
        <v>135</v>
      </c>
      <c r="E11" s="142">
        <f>E10/B10</f>
        <v>41.065199999999997</v>
      </c>
      <c r="F11" s="143"/>
      <c r="G11" s="11" t="s">
        <v>15</v>
      </c>
      <c r="H11" s="142">
        <f>H10/B10</f>
        <v>362.34</v>
      </c>
      <c r="I11" s="143"/>
      <c r="J11" s="11" t="s">
        <v>50</v>
      </c>
      <c r="K11" s="65" t="s">
        <v>44</v>
      </c>
      <c r="L11" s="66"/>
      <c r="M11" s="29"/>
      <c r="N11" s="13"/>
      <c r="O11" s="101" t="str">
        <f>IF(O10="NONE","","V")</f>
        <v/>
      </c>
      <c r="P11" s="102"/>
      <c r="Q11" s="13"/>
      <c r="R11" s="101" t="str">
        <f>IF(R10="None","","P")</f>
        <v/>
      </c>
      <c r="S11" s="102"/>
      <c r="T11" s="13"/>
      <c r="U11" s="113"/>
      <c r="V11" s="113"/>
      <c r="W11" s="113"/>
      <c r="X11" s="113"/>
      <c r="Y11" s="114"/>
    </row>
    <row r="12" spans="1:25" ht="20.100000000000001" customHeight="1" x14ac:dyDescent="0.2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29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 x14ac:dyDescent="0.25">
      <c r="A13" s="11" t="s">
        <v>68</v>
      </c>
      <c r="B13" s="65" t="s">
        <v>44</v>
      </c>
      <c r="C13" s="65"/>
      <c r="D13" s="66"/>
      <c r="E13" s="19" t="s">
        <v>61</v>
      </c>
      <c r="F13" s="65" t="s">
        <v>44</v>
      </c>
      <c r="G13" s="65"/>
      <c r="H13" s="66"/>
      <c r="I13" s="11" t="s">
        <v>62</v>
      </c>
      <c r="J13" s="105" t="s">
        <v>44</v>
      </c>
      <c r="K13" s="105"/>
      <c r="L13" s="106"/>
      <c r="M13" s="29"/>
      <c r="N13" s="11" t="s">
        <v>72</v>
      </c>
      <c r="O13" s="31" t="s">
        <v>77</v>
      </c>
      <c r="P13" s="11" t="s">
        <v>73</v>
      </c>
      <c r="Q13" s="20">
        <f>O7</f>
        <v>11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25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9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00000000000001" customHeight="1" x14ac:dyDescent="0.2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29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00000000000001" customHeight="1" x14ac:dyDescent="0.25">
      <c r="A16" s="69" t="s">
        <v>3</v>
      </c>
      <c r="B16" s="71"/>
      <c r="C16" s="69" t="s">
        <v>142</v>
      </c>
      <c r="D16" s="71"/>
      <c r="E16" s="159" t="s">
        <v>4</v>
      </c>
      <c r="F16" s="159"/>
      <c r="G16" s="159" t="s">
        <v>5</v>
      </c>
      <c r="H16" s="159"/>
      <c r="I16" s="70" t="s">
        <v>11</v>
      </c>
      <c r="J16" s="71"/>
      <c r="K16" s="70" t="s">
        <v>12</v>
      </c>
      <c r="L16" s="71"/>
      <c r="M16" s="29"/>
      <c r="N16" s="11" t="s">
        <v>28</v>
      </c>
      <c r="O16" s="65" t="s">
        <v>169</v>
      </c>
      <c r="P16" s="66"/>
      <c r="Q16" s="59" t="s">
        <v>105</v>
      </c>
      <c r="R16" s="63" t="s">
        <v>31</v>
      </c>
      <c r="S16" s="64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00000000000001" customHeight="1" x14ac:dyDescent="0.25">
      <c r="A17" s="62" t="s">
        <v>6</v>
      </c>
      <c r="B17" s="62"/>
      <c r="C17" s="96" t="s">
        <v>147</v>
      </c>
      <c r="D17" s="97"/>
      <c r="E17" s="93"/>
      <c r="F17" s="68"/>
      <c r="G17" s="48" t="s">
        <v>81</v>
      </c>
      <c r="H17" s="32"/>
      <c r="I17" s="60"/>
      <c r="J17" s="61"/>
      <c r="K17" s="60"/>
      <c r="L17" s="61"/>
      <c r="M17" s="29"/>
      <c r="N17" s="11" t="s">
        <v>26</v>
      </c>
      <c r="O17" s="65" t="s">
        <v>35</v>
      </c>
      <c r="P17" s="66"/>
      <c r="Q17" s="59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00000000000001" customHeight="1" x14ac:dyDescent="0.25">
      <c r="A18" s="62" t="s">
        <v>7</v>
      </c>
      <c r="B18" s="62"/>
      <c r="C18" s="96" t="s">
        <v>146</v>
      </c>
      <c r="D18" s="97"/>
      <c r="E18" s="93"/>
      <c r="F18" s="68"/>
      <c r="G18" s="48" t="s">
        <v>82</v>
      </c>
      <c r="H18" s="32"/>
      <c r="I18" s="60"/>
      <c r="J18" s="61"/>
      <c r="K18" s="60"/>
      <c r="L18" s="61"/>
      <c r="M18" s="29"/>
      <c r="N18" s="11" t="s">
        <v>101</v>
      </c>
      <c r="O18" s="65" t="s">
        <v>38</v>
      </c>
      <c r="P18" s="66"/>
      <c r="Q18" s="11" t="s">
        <v>106</v>
      </c>
      <c r="R18" s="65" t="s">
        <v>31</v>
      </c>
      <c r="S18" s="66"/>
      <c r="T18" s="21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00000000000001" customHeight="1" x14ac:dyDescent="0.25">
      <c r="A19" s="62" t="s">
        <v>8</v>
      </c>
      <c r="B19" s="62"/>
      <c r="C19" s="96" t="s">
        <v>145</v>
      </c>
      <c r="D19" s="97"/>
      <c r="E19" s="93"/>
      <c r="F19" s="68"/>
      <c r="G19" s="48" t="s">
        <v>83</v>
      </c>
      <c r="H19" s="32"/>
      <c r="I19" s="60"/>
      <c r="J19" s="61"/>
      <c r="K19" s="60"/>
      <c r="L19" s="61"/>
      <c r="M19" s="29"/>
      <c r="N19" s="78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2" t="s">
        <v>9</v>
      </c>
      <c r="B20" s="62"/>
      <c r="C20" s="96" t="s">
        <v>144</v>
      </c>
      <c r="D20" s="97"/>
      <c r="E20" s="93"/>
      <c r="F20" s="68"/>
      <c r="G20" s="48" t="s">
        <v>84</v>
      </c>
      <c r="H20" s="32"/>
      <c r="I20" s="60"/>
      <c r="J20" s="61"/>
      <c r="K20" s="60"/>
      <c r="L20" s="61"/>
      <c r="M20" s="29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2" t="s">
        <v>10</v>
      </c>
      <c r="B21" s="62"/>
      <c r="C21" s="96" t="s">
        <v>143</v>
      </c>
      <c r="D21" s="97"/>
      <c r="E21" s="93"/>
      <c r="F21" s="68"/>
      <c r="G21" s="48" t="s">
        <v>85</v>
      </c>
      <c r="H21" s="32"/>
      <c r="I21" s="60"/>
      <c r="J21" s="61"/>
      <c r="K21" s="60"/>
      <c r="L21" s="61"/>
      <c r="M21" s="29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2" t="str">
        <f>(IF(B7="NATURAL","",B7))</f>
        <v/>
      </c>
      <c r="B22" s="6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8"/>
      <c r="F22" s="68"/>
      <c r="G22" s="48" t="s">
        <v>86</v>
      </c>
      <c r="H22" s="32"/>
      <c r="I22" s="60"/>
      <c r="J22" s="61"/>
      <c r="K22" s="60"/>
      <c r="L22" s="61"/>
      <c r="M22" s="29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60" t="s">
        <v>200</v>
      </c>
      <c r="B23" s="160"/>
      <c r="C23" s="9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7"/>
      <c r="E23" s="93"/>
      <c r="F23" s="68"/>
      <c r="G23" s="48" t="s">
        <v>87</v>
      </c>
      <c r="H23" s="32"/>
      <c r="I23" s="60"/>
      <c r="J23" s="61"/>
      <c r="K23" s="60"/>
      <c r="L23" s="61"/>
      <c r="M23" s="29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00000000000001" customHeight="1" x14ac:dyDescent="0.25">
      <c r="A24" s="161"/>
      <c r="B24" s="162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68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29"/>
      <c r="N25" s="22" t="s">
        <v>96</v>
      </c>
      <c r="O25" s="10" t="s">
        <v>201</v>
      </c>
      <c r="P25" s="34"/>
      <c r="Q25" s="10">
        <v>20</v>
      </c>
      <c r="R25" s="10"/>
      <c r="S25" s="10"/>
      <c r="T25" s="10"/>
      <c r="U25" s="10"/>
      <c r="V25" s="10"/>
      <c r="W25" s="10">
        <v>19</v>
      </c>
      <c r="X25" s="10">
        <v>16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5" t="s">
        <v>132</v>
      </c>
      <c r="H26" s="95"/>
      <c r="I26" s="95" t="s">
        <v>131</v>
      </c>
      <c r="J26" s="95"/>
      <c r="K26" s="24" t="s">
        <v>94</v>
      </c>
      <c r="L26" s="24" t="s">
        <v>95</v>
      </c>
      <c r="M26" s="29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4"/>
      <c r="H27" s="94"/>
      <c r="I27" s="94"/>
      <c r="J27" s="94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4"/>
      <c r="H28" s="94"/>
      <c r="I28" s="94"/>
      <c r="J28" s="94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47" t="s">
        <v>116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56" t="s">
        <v>136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1" zoomScaleNormal="100" workbookViewId="0">
      <selection activeCell="D68" sqref="D6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45452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45442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195</v>
      </c>
      <c r="O61" s="1"/>
      <c r="Q61" s="1"/>
      <c r="R61" s="3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O65" s="1"/>
      <c r="Q65" s="1"/>
      <c r="R65" s="1"/>
      <c r="S65" s="1"/>
      <c r="T65" s="1"/>
    </row>
    <row r="66" spans="1:20" x14ac:dyDescent="0.25">
      <c r="A66" s="55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DED8FCE-71AC-41EA-83FE-A234CD9780F2}"/>
</file>

<file path=customXml/itemProps2.xml><?xml version="1.0" encoding="utf-8"?>
<ds:datastoreItem xmlns:ds="http://schemas.openxmlformats.org/officeDocument/2006/customXml" ds:itemID="{56678DEC-2794-4322-99A1-A5E2D416E71E}"/>
</file>

<file path=customXml/itemProps3.xml><?xml version="1.0" encoding="utf-8"?>
<ds:datastoreItem xmlns:ds="http://schemas.openxmlformats.org/officeDocument/2006/customXml" ds:itemID="{27187203-1AE3-4329-A324-D07CA6D6D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2024-04-26T01:02:56Z</cp:lastPrinted>
  <dcterms:created xsi:type="dcterms:W3CDTF">2019-11-27T23:28:06Z</dcterms:created>
  <dcterms:modified xsi:type="dcterms:W3CDTF">2024-05-09T05:33:54Z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