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E13B4CB-AC98-467B-AECA-7166DAF29B6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<sst xmlns="http://schemas.openxmlformats.org/spreadsheetml/2006/main" count="304" uniqueCount="200">
  <si>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</si>
  <si>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</si>
  <si>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</si>
  <si>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</si>
  <si>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</si>
  <si>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</si>
  <si>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</si>
  <si>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</si>
  <si>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</si>
  <si>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</si>
  <si>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</si>
  <si>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</si>
  <si>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</si>
  <si>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</si>
  <si>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</si>
  <si>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</si>
  <si>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</si>
  <si>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</si>
  <si>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</si>
  <si>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</si>
  <si>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</si>
  <si>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</si>
  <si>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</si>
  <si>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</si>
  <si>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</si>
  <si>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</si>
  <si>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</si>
  <si>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</si>
  <si>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</si>
  <si>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</si>
  <si>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</si>
  <si>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</si>
  <si>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</si>
  <si>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</si>
  <si>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</si>
  <si>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</si>
  <si>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</si>
  <si>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</si>
  <si>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</si>
  <si>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</si>
  <si>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</si>
  <si>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</si>
  <si>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</si>
  <si>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</si>
  <si>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</si>
  <si>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</si>
  <si>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</si>
  <si>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</si>
  <si>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</si>
  <si>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</si>
  <si>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</si>
  <si>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</si>
  <si>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</si>
  <si>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</si>
  <si>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</si>
  <si>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</si>
  <si>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</si>
  <si>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</si>
  <si>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</si>
  <si>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</si>
  <si>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</si>
  <si>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</si>
  <si>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</si>
  <si>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</si>
  <si>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</si>
  <si>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</si>
  <si>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</si>
  <si>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</si>
  <si>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</si>
  <si>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</si>
  <si>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</si>
  <si>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</si>
  <si>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</si>
  <si>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</si>
  <si>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</si>
  <si>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</si>
  <si>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</si>
  <si>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</si>
  <si>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</si>
  <si>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</si>
  <si>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</si>
  <si>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</si>
  <si>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</si>
  <si>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</si>
  <si>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</si>
  <si>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</si>
  <si>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</si>
  <si>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</si>
  <si>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</si>
  <si>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</si>
  <si>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</si>
  <si>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</si>
  <si>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</si>
  <si>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</si>
  <si>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</si>
  <si>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</si>
  <si>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</si>
  <si>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</si>
  <si>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</si>
  <si>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</si>
  <si>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</si>
  <si>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</si>
  <si>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</si>
  <si>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</si>
  <si>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</si>
  <si>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</si>
  <si>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</si>
  <si>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</si>
  <si>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</si>
  <si>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</si>
  <si>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</si>
  <si>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</si>
  <si>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</si>
  <si>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</si>
  <si>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</si>
  <si>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</si>
  <si>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</si>
  <si>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</si>
  <si>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</si>
  <si>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</si>
  <si>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</si>
  <si>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</si>
  <si>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</si>
  <si>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</si>
  <si>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</si>
  <si>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</si>
  <si>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</si>
  <si>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</si>
  <si>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</si>
  <si>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</si>
  <si>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</si>
  <si>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</si>
  <si>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</si>
  <si>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</si>
  <si>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</si>
  <si>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</si>
  <si>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</si>
  <si>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</si>
  <si>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</si>
  <si>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</si>
  <si>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</si>
  <si>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</si>
  <si>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</si>
  <si>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</si>
  <si>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</si>
  <si>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</si>
  <si>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</si>
  <si>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</si>
  <si>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</si>
  <si>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</si>
  <si>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</si>
  <si>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</si>
  <si>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</si>
  <si>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</si>
  <si>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</si>
  <si>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</si>
  <si>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</si>
  <si>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</si>
  <si>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</si>
  <si>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</si>
  <si>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</si>
  <si>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</si>
  <si>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</si>
  <si>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</si>
  <si>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</si>
  <si>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</si>
  <si>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</si>
  <si>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</si>
  <si>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</si>
  <si>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</si>
  <si>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</si>
  <si>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</si>
  <si>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</si>
  <si>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</si>
  <si>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</si>
  <si>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</si>
  <si>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</si>
  <si>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</si>
  <si>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</si>
  <si>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</si>
  <si>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</si>
  <si>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</si>
  <si>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</si>
  <si>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</si>
  <si>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</si>
  <si>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</si>
  <si>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</si>
  <si>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</si>
  <si>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</si>
  <si>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</si>
  <si>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</si>
  <si>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</si>
  <si>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</si>
  <si>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</si>
  <si>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+/-10mm</t>
  </si>
  <si>
    <t>SKINNYS</t>
  </si>
  <si>
    <t>1C2S - SKINNYS LOGO</t>
  </si>
  <si>
    <t>DIE CUT HANDLE</t>
  </si>
  <si>
    <t xml:space="preserve">MUST BE SOLID YELLOW - </t>
  </si>
  <si>
    <t>NOT 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</si>
</sst>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9" fillId="0" borderId="4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17" fillId="0" borderId="7" xfId="2" applyFont="1" applyBorder="1" applyAlignment="1" applyProtection="1">
      <alignment horizontal="center" vertical="top"/>
      <protection locked="0"/>
    </xf>
    <xf numFmtId="0" fontId="18" fillId="0" borderId="3" xfId="2" applyFont="1" applyBorder="1" applyAlignment="1" applyProtection="1">
      <alignment horizontal="center" vertical="top"/>
      <protection locked="0"/>
    </xf>
    <xf numFmtId="0" fontId="18" fillId="0" borderId="8" xfId="2" applyFont="1" applyBorder="1" applyAlignment="1" applyProtection="1">
      <alignment horizontal="center" vertical="top"/>
      <protection locked="0"/>
    </xf>
    <xf numFmtId="0" fontId="18" fillId="0" borderId="9" xfId="2" applyFont="1" applyBorder="1" applyAlignment="1" applyProtection="1">
      <alignment horizontal="center" vertical="top"/>
      <protection locked="0"/>
    </xf>
    <xf numFmtId="0" fontId="18" fillId="0" borderId="0" xfId="2" applyFont="1" applyBorder="1" applyAlignment="1" applyProtection="1">
      <alignment horizontal="center" vertical="top"/>
      <protection locked="0"/>
    </xf>
    <xf numFmtId="0" fontId="18" fillId="0" borderId="10" xfId="2" applyFont="1" applyBorder="1" applyAlignment="1" applyProtection="1">
      <alignment horizontal="center" vertical="top"/>
      <protection locked="0"/>
    </xf>
    <xf numFmtId="0" fontId="18" fillId="0" borderId="11" xfId="2" applyFont="1" applyBorder="1" applyAlignment="1" applyProtection="1">
      <alignment horizontal="center" vertical="top"/>
      <protection locked="0"/>
    </xf>
    <xf numFmtId="0" fontId="18" fillId="0" borderId="1" xfId="2" applyFont="1" applyBorder="1" applyAlignment="1" applyProtection="1">
      <alignment horizontal="center" vertical="top"/>
      <protection locked="0"/>
    </xf>
    <xf numFmtId="0" fontId="18" fillId="0" borderId="12" xfId="2" applyFont="1" applyBorder="1" applyAlignment="1" applyProtection="1">
      <alignment horizontal="center" vertical="top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00000000000001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PB60070060YVP</v>
      </c>
      <c r="C1" s="111"/>
      <c r="D1" s="112"/>
      <c r="E1" s="11" t="s">
        <v>57</v>
      </c>
      <c r="F1" s="122" t="s">
        <v>195</v>
      </c>
      <c r="G1" s="87"/>
      <c r="H1" s="88"/>
      <c r="I1" s="12" t="s">
        <v>181</v>
      </c>
      <c r="J1" s="84">
        <f ca="1">TODAY()</f>
        <v>45440</v>
      </c>
      <c r="K1" s="84"/>
      <c r="L1" s="85"/>
      <c r="M1" s="29"/>
      <c r="N1" s="11" t="s">
        <v>56</v>
      </c>
      <c r="O1" s="111" t="str">
        <f>B1</f>
        <v>PB60070060YVP</v>
      </c>
      <c r="P1" s="111"/>
      <c r="Q1" s="112"/>
      <c r="R1" s="11" t="s">
        <v>57</v>
      </c>
      <c r="S1" s="111" t="str">
        <f>F1</f>
        <v>SKINNYS</v>
      </c>
      <c r="T1" s="111"/>
      <c r="U1" s="112"/>
      <c r="V1" s="11" t="s">
        <v>181</v>
      </c>
      <c r="W1" s="84">
        <f ca="1">J1</f>
        <v>45440</v>
      </c>
      <c r="X1" s="84"/>
      <c r="Y1" s="85"/>
    </row>
    <row r="2" spans="1:25" ht="20.100000000000001" customHeight="1" x14ac:dyDescent="0.8">
      <c r="A2" s="11" t="s">
        <v>100</v>
      </c>
      <c r="B2" s="111" t="str">
        <f>IF(U10="","",U10)</f>
        <v/>
      </c>
      <c r="C2" s="111"/>
      <c r="D2" s="112"/>
      <c r="E2" s="11" t="s">
        <v>58</v>
      </c>
      <c r="F2" s="87">
        <v>947924</v>
      </c>
      <c r="G2" s="87"/>
      <c r="H2" s="88"/>
      <c r="I2" s="11" t="s">
        <v>59</v>
      </c>
      <c r="J2" s="86">
        <v>45461</v>
      </c>
      <c r="K2" s="87"/>
      <c r="L2" s="88"/>
      <c r="M2" s="29"/>
      <c r="N2" s="11" t="s">
        <v>100</v>
      </c>
      <c r="O2" s="111" t="str">
        <f>IF(B2="","",B2)</f>
        <v/>
      </c>
      <c r="P2" s="111"/>
      <c r="Q2" s="112"/>
      <c r="R2" s="11" t="s">
        <v>58</v>
      </c>
      <c r="S2" s="111">
        <f>IF(F2="","",F2)</f>
        <v>947924</v>
      </c>
      <c r="T2" s="111"/>
      <c r="U2" s="112"/>
      <c r="V2" s="11" t="s">
        <v>59</v>
      </c>
      <c r="W2" s="123">
        <f>J2</f>
        <v>45461</v>
      </c>
      <c r="X2" s="111"/>
      <c r="Y2" s="112"/>
    </row>
    <row r="3" spans="1:25" ht="20.100000000000001" customHeight="1" x14ac:dyDescent="0.75">
      <c r="A3" s="113" t="s">
        <v>198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29"/>
      <c r="N3" s="113" t="str">
        <f>A3</f>
        <v xml:space="preserve">MUST BE SOLID YELLOW - 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00000000000001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29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00000000000001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29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00000000000001" customHeight="1" x14ac:dyDescent="0.75">
      <c r="A6" s="95" t="s">
        <v>2</v>
      </c>
      <c r="B6" s="96"/>
      <c r="C6" s="96"/>
      <c r="D6" s="96"/>
      <c r="E6" s="96"/>
      <c r="F6" s="96"/>
      <c r="G6" s="96"/>
      <c r="H6" s="96"/>
      <c r="I6" s="96"/>
      <c r="J6" s="97"/>
      <c r="K6" s="97"/>
      <c r="L6" s="98"/>
      <c r="M6" s="29"/>
      <c r="N6" s="110" t="s">
        <v>2</v>
      </c>
      <c r="O6" s="93"/>
      <c r="P6" s="93"/>
      <c r="Q6" s="93"/>
      <c r="R6" s="93"/>
      <c r="S6" s="93"/>
      <c r="T6" s="93"/>
      <c r="U6" s="93"/>
      <c r="V6" s="93"/>
      <c r="W6" s="93"/>
      <c r="X6" s="93"/>
      <c r="Y6" s="94"/>
    </row>
    <row r="7" spans="1:25" ht="20.100000000000001" customHeight="1" x14ac:dyDescent="0.9">
      <c r="A7" s="11" t="s">
        <v>49</v>
      </c>
      <c r="B7" s="108" t="s">
        <v>148</v>
      </c>
      <c r="C7" s="108"/>
      <c r="D7" s="108"/>
      <c r="E7" s="108"/>
      <c r="F7" s="108"/>
      <c r="G7" s="108"/>
      <c r="H7" s="108"/>
      <c r="I7" s="109"/>
      <c r="J7" s="75" t="s">
        <v>179</v>
      </c>
      <c r="K7" s="75"/>
      <c r="L7" s="73"/>
      <c r="M7" s="29"/>
      <c r="N7" s="11" t="str">
        <f>IF(ISNUMBER(SEARCH("roll",O8,1)),"No. Rolls","No. Cartons")</f>
        <v>No. Cartons</v>
      </c>
      <c r="O7" s="87">
        <v>20</v>
      </c>
      <c r="P7" s="88"/>
      <c r="Q7" s="11" t="str">
        <f>IF(ISNUMBER(SEARCH("roll",O8,1)),"Per Roll","Per Carton")</f>
        <v>Per Carton</v>
      </c>
      <c r="R7" s="87">
        <v>500</v>
      </c>
      <c r="S7" s="88"/>
      <c r="T7" s="11" t="str">
        <f>IF(ISNUMBER(SEARCH("bag",O8,1)),"Total Bags","Total Sheets")</f>
        <v>Total Bags</v>
      </c>
      <c r="U7" s="111">
        <f>R7*O7</f>
        <v>10000</v>
      </c>
      <c r="V7" s="112"/>
      <c r="W7" s="11" t="s">
        <v>102</v>
      </c>
      <c r="X7" s="87" t="s">
        <v>23</v>
      </c>
      <c r="Y7" s="88"/>
    </row>
    <row r="8" spans="1:25" ht="20.100000000000001" customHeight="1" x14ac:dyDescent="0.8">
      <c r="A8" s="13" t="s">
        <v>16</v>
      </c>
      <c r="B8" s="89">
        <f>R9</f>
        <v>600</v>
      </c>
      <c r="C8" s="90"/>
      <c r="D8" s="27" t="str">
        <f>IF(ISNUMBER(SEARCH("bag",O8,1)),"Gusset","Centrefold")</f>
        <v>Gusset</v>
      </c>
      <c r="E8" s="89" t="str">
        <f>IF(O8="Centrefold Roll",B8*2,IF(X9="","None",X9))</f>
        <v>None</v>
      </c>
      <c r="F8" s="90"/>
      <c r="G8" s="13" t="s">
        <v>52</v>
      </c>
      <c r="H8" s="89">
        <f>(IF(V9&lt;30,"30",V9))</f>
        <v>60</v>
      </c>
      <c r="I8" s="90"/>
      <c r="J8" s="11" t="s">
        <v>54</v>
      </c>
      <c r="K8" s="111" t="str">
        <f>IF(X8="None","Layflat Tube",IF(X8="","Layflat Tube",IF(X8="CF","Layflat Tube",IF(X8="G","Gusset Tube",IF(X9="","Layflat Tube",)))))</f>
        <v>Layflat Tube</v>
      </c>
      <c r="L8" s="112"/>
      <c r="M8" s="29"/>
      <c r="N8" s="14" t="s">
        <v>54</v>
      </c>
      <c r="O8" s="126" t="s">
        <v>164</v>
      </c>
      <c r="P8" s="127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None</v>
      </c>
      <c r="Y8" s="125"/>
    </row>
    <row r="9" spans="1:25" ht="20.100000000000001" customHeight="1" x14ac:dyDescent="0.9">
      <c r="A9" s="16" t="s">
        <v>48</v>
      </c>
      <c r="B9" s="99" t="s">
        <v>194</v>
      </c>
      <c r="C9" s="100"/>
      <c r="D9" s="107" t="str">
        <f>IF(K10="Middle","RUN 2 UP",IF(AND(O8="Centrefold Roll",B8=380),"RUN 2 UP",""))</f>
        <v/>
      </c>
      <c r="E9" s="108"/>
      <c r="F9" s="109"/>
      <c r="G9" s="16" t="s">
        <v>48</v>
      </c>
      <c r="H9" s="99" t="s">
        <v>199</v>
      </c>
      <c r="I9" s="100"/>
      <c r="J9" s="11" t="s">
        <v>55</v>
      </c>
      <c r="K9" s="87" t="s">
        <v>30</v>
      </c>
      <c r="L9" s="88"/>
      <c r="M9" s="29"/>
      <c r="N9" s="17"/>
      <c r="O9" s="128" t="str">
        <f>IF(O8="Poly Bag","PB",IF(O8="Poly Bag Roll","PBR",IF(O8="Centrefold Roll","CFR",IF(O8="Sheet","S",IF(O8="Sheet Roll","SR")))))</f>
        <v>PB</v>
      </c>
      <c r="P9" s="129"/>
      <c r="Q9" s="17"/>
      <c r="R9" s="30">
        <v>600</v>
      </c>
      <c r="S9" s="18" t="s">
        <v>78</v>
      </c>
      <c r="T9" s="30">
        <v>700</v>
      </c>
      <c r="U9" s="18" t="s">
        <v>78</v>
      </c>
      <c r="V9" s="30">
        <v>60</v>
      </c>
      <c r="W9" s="17"/>
      <c r="X9" s="137"/>
      <c r="Y9" s="138"/>
    </row>
    <row r="10" spans="1:25" ht="20.100000000000001" customHeight="1" x14ac:dyDescent="0.8">
      <c r="A10" s="11" t="s">
        <v>51</v>
      </c>
      <c r="B10" s="87">
        <v>12</v>
      </c>
      <c r="C10" s="88"/>
      <c r="D10" s="47" t="s">
        <v>134</v>
      </c>
      <c r="E10" s="101">
        <f>IF(ISNUMBER(SEARCH("sheet",O8,1)),((R9*T9*H8/540000)*U7/2000*1.3),((R9*T9*H8/540000)*U7/1000*1.08))</f>
        <v>504</v>
      </c>
      <c r="F10" s="102"/>
      <c r="G10" s="11" t="s">
        <v>53</v>
      </c>
      <c r="H10" s="105">
        <f>IF(ISNUMBER(SEARCH("sheet",O8,1)),(U7*T9/2000*1.08),(U7*T9/1000*1.08))</f>
        <v>7560.0000000000009</v>
      </c>
      <c r="I10" s="106"/>
      <c r="J10" s="11" t="s">
        <v>41</v>
      </c>
      <c r="K10" s="87" t="s">
        <v>44</v>
      </c>
      <c r="L10" s="88"/>
      <c r="M10" s="29"/>
      <c r="N10" s="14" t="s">
        <v>141</v>
      </c>
      <c r="O10" s="126" t="s">
        <v>187</v>
      </c>
      <c r="P10" s="127"/>
      <c r="Q10" s="14" t="s">
        <v>50</v>
      </c>
      <c r="R10" s="124" t="str">
        <f>IF(K11="NONE","None",IF(K11="INLINE","Yes",IF(K11="OUT OF LINE","Yes")))</f>
        <v>Yes</v>
      </c>
      <c r="S10" s="124"/>
      <c r="T10" s="14" t="s">
        <v>100</v>
      </c>
      <c r="U10" s="131"/>
      <c r="V10" s="131"/>
      <c r="W10" s="131"/>
      <c r="X10" s="131"/>
      <c r="Y10" s="132"/>
    </row>
    <row r="11" spans="1:25" ht="20.100000000000001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03">
        <f>E10/B10</f>
        <v>42</v>
      </c>
      <c r="F11" s="104"/>
      <c r="G11" s="11" t="s">
        <v>15</v>
      </c>
      <c r="H11" s="103">
        <f>H10/B10</f>
        <v>630.00000000000011</v>
      </c>
      <c r="I11" s="104"/>
      <c r="J11" s="11" t="s">
        <v>50</v>
      </c>
      <c r="K11" s="87" t="s">
        <v>64</v>
      </c>
      <c r="L11" s="88"/>
      <c r="M11" s="29"/>
      <c r="N11" s="13"/>
      <c r="O11" s="89" t="str">
        <f>IF(O10="NONE","","V")</f>
        <v>V</v>
      </c>
      <c r="P11" s="90"/>
      <c r="Q11" s="13"/>
      <c r="R11" s="89" t="str">
        <f>IF(R10="None","","P")</f>
        <v>P</v>
      </c>
      <c r="S11" s="90"/>
      <c r="T11" s="13"/>
      <c r="U11" s="133"/>
      <c r="V11" s="133"/>
      <c r="W11" s="133"/>
      <c r="X11" s="133"/>
      <c r="Y11" s="134"/>
    </row>
    <row r="12" spans="1:25" ht="20.100000000000001" customHeight="1" x14ac:dyDescent="0.75">
      <c r="A12" s="91" t="s">
        <v>13</v>
      </c>
      <c r="B12" s="92"/>
      <c r="C12" s="92"/>
      <c r="D12" s="92"/>
      <c r="E12" s="93"/>
      <c r="F12" s="93"/>
      <c r="G12" s="93"/>
      <c r="H12" s="93"/>
      <c r="I12" s="93"/>
      <c r="J12" s="93"/>
      <c r="K12" s="93"/>
      <c r="L12" s="94"/>
      <c r="M12" s="29"/>
      <c r="N12" s="130" t="s">
        <v>71</v>
      </c>
      <c r="O12" s="97"/>
      <c r="P12" s="97"/>
      <c r="Q12" s="97"/>
      <c r="R12" s="97"/>
      <c r="S12" s="97"/>
      <c r="T12" s="97"/>
      <c r="U12" s="97"/>
      <c r="V12" s="97"/>
      <c r="W12" s="97"/>
      <c r="X12" s="97"/>
      <c r="Y12" s="98"/>
    </row>
    <row r="13" spans="1:25" ht="20.100000000000001" customHeight="1" x14ac:dyDescent="0.8">
      <c r="A13" s="11" t="s">
        <v>68</v>
      </c>
      <c r="B13" s="87" t="s">
        <v>69</v>
      </c>
      <c r="C13" s="87"/>
      <c r="D13" s="88"/>
      <c r="E13" s="19" t="s">
        <v>61</v>
      </c>
      <c r="F13" s="87" t="s">
        <v>67</v>
      </c>
      <c r="G13" s="87"/>
      <c r="H13" s="88"/>
      <c r="I13" s="11" t="s">
        <v>62</v>
      </c>
      <c r="J13" s="87" t="s">
        <v>152</v>
      </c>
      <c r="K13" s="87"/>
      <c r="L13" s="88"/>
      <c r="M13" s="29"/>
      <c r="N13" s="11" t="s">
        <v>72</v>
      </c>
      <c r="O13" s="31" t="s">
        <v>77</v>
      </c>
      <c r="P13" s="11" t="s">
        <v>73</v>
      </c>
      <c r="Q13" s="20">
        <f>O7</f>
        <v>20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 t="str">
        <f>IF(AND((O17="LOOSE"),(NOT(O18="BUNDLE"))),"",IF(AND((O17="LINED"),(NOT(O18="BUNDLE"))),"",(IF(R7&lt;=500,"50",IF(R7&gt;500,"100")))))</f>
        <v>50</v>
      </c>
      <c r="X13" s="11" t="s">
        <v>76</v>
      </c>
      <c r="Y13" s="32"/>
    </row>
    <row r="14" spans="1:25" ht="20.100000000000001" customHeight="1" x14ac:dyDescent="0.9">
      <c r="A14" s="13" t="s">
        <v>60</v>
      </c>
      <c r="B14" s="108" t="s">
        <v>196</v>
      </c>
      <c r="C14" s="108"/>
      <c r="D14" s="108"/>
      <c r="E14" s="108"/>
      <c r="F14" s="108"/>
      <c r="G14" s="108"/>
      <c r="H14" s="108"/>
      <c r="I14" s="108"/>
      <c r="J14" s="108"/>
      <c r="K14" s="108"/>
      <c r="L14" s="109"/>
      <c r="M14" s="29"/>
      <c r="N14" s="130" t="s">
        <v>110</v>
      </c>
      <c r="O14" s="97"/>
      <c r="P14" s="97"/>
      <c r="Q14" s="97"/>
      <c r="R14" s="97"/>
      <c r="S14" s="97"/>
      <c r="T14" s="97"/>
      <c r="U14" s="97"/>
      <c r="V14" s="97"/>
      <c r="W14" s="97"/>
      <c r="X14" s="97"/>
      <c r="Y14" s="98"/>
    </row>
    <row r="15" spans="1:25" ht="20.100000000000001" customHeight="1" x14ac:dyDescent="0.75">
      <c r="A15" s="110" t="s">
        <v>0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4"/>
      <c r="M15" s="29"/>
      <c r="N15" s="72" t="s">
        <v>108</v>
      </c>
      <c r="O15" s="75"/>
      <c r="P15" s="73"/>
      <c r="Q15" s="72" t="s">
        <v>107</v>
      </c>
      <c r="R15" s="75"/>
      <c r="S15" s="73"/>
      <c r="T15" s="72" t="s">
        <v>118</v>
      </c>
      <c r="U15" s="75"/>
      <c r="V15" s="73"/>
      <c r="W15" s="72" t="s">
        <v>117</v>
      </c>
      <c r="X15" s="75"/>
      <c r="Y15" s="73"/>
    </row>
    <row r="16" spans="1:25" ht="20.100000000000001" customHeight="1" x14ac:dyDescent="0.8">
      <c r="A16" s="72" t="s">
        <v>3</v>
      </c>
      <c r="B16" s="73"/>
      <c r="C16" s="72" t="s">
        <v>142</v>
      </c>
      <c r="D16" s="73"/>
      <c r="E16" s="76" t="s">
        <v>4</v>
      </c>
      <c r="F16" s="76"/>
      <c r="G16" s="76" t="s">
        <v>5</v>
      </c>
      <c r="H16" s="76"/>
      <c r="I16" s="75" t="s">
        <v>11</v>
      </c>
      <c r="J16" s="73"/>
      <c r="K16" s="75" t="s">
        <v>12</v>
      </c>
      <c r="L16" s="73"/>
      <c r="M16" s="29"/>
      <c r="N16" s="11" t="s">
        <v>28</v>
      </c>
      <c r="O16" s="87" t="s">
        <v>38</v>
      </c>
      <c r="P16" s="88"/>
      <c r="Q16" s="11" t="s">
        <v>105</v>
      </c>
      <c r="R16" s="87" t="s">
        <v>23</v>
      </c>
      <c r="S16" s="88"/>
      <c r="T16" s="12" t="s">
        <v>103</v>
      </c>
      <c r="U16" s="87" t="s">
        <v>31</v>
      </c>
      <c r="V16" s="88"/>
      <c r="W16" s="11" t="str">
        <f>IF(ISNUMBER(SEARCH("bag",O8,1)),"Total Bags","Total Sheets")</f>
        <v>Total Bags</v>
      </c>
      <c r="X16" s="143"/>
      <c r="Y16" s="83"/>
    </row>
    <row r="17" spans="1:25" ht="20.100000000000001" customHeight="1" x14ac:dyDescent="0.8">
      <c r="A17" s="74" t="s">
        <v>6</v>
      </c>
      <c r="B17" s="74"/>
      <c r="C17" s="77" t="s">
        <v>147</v>
      </c>
      <c r="D17" s="78"/>
      <c r="E17" s="82"/>
      <c r="F17" s="83"/>
      <c r="G17" s="48" t="s">
        <v>81</v>
      </c>
      <c r="H17" s="32"/>
      <c r="I17" s="141"/>
      <c r="J17" s="142"/>
      <c r="K17" s="141"/>
      <c r="L17" s="142"/>
      <c r="M17" s="29"/>
      <c r="N17" s="11" t="s">
        <v>26</v>
      </c>
      <c r="O17" s="87" t="s">
        <v>35</v>
      </c>
      <c r="P17" s="88"/>
      <c r="Q17" s="11" t="s">
        <v>104</v>
      </c>
      <c r="R17" s="87" t="s">
        <v>31</v>
      </c>
      <c r="S17" s="88"/>
      <c r="T17" s="12" t="str">
        <f>IF(ISNUMBER(SEARCH("roll",O8,1)),"Part Rolls","Part Ctns")</f>
        <v>Part Ctns</v>
      </c>
      <c r="U17" s="87" t="s">
        <v>31</v>
      </c>
      <c r="V17" s="88"/>
      <c r="W17" s="11" t="str">
        <f>IF(ISNUMBER(SEARCH("roll",O8,1)),"Total Rolls","Total Ctns")</f>
        <v>Total Ctns</v>
      </c>
      <c r="X17" s="143"/>
      <c r="Y17" s="83"/>
    </row>
    <row r="18" spans="1:25" ht="20.100000000000001" customHeight="1" x14ac:dyDescent="0.8">
      <c r="A18" s="74" t="s">
        <v>7</v>
      </c>
      <c r="B18" s="74"/>
      <c r="C18" s="77" t="s">
        <v>146</v>
      </c>
      <c r="D18" s="78"/>
      <c r="E18" s="82"/>
      <c r="F18" s="83"/>
      <c r="G18" s="48" t="s">
        <v>82</v>
      </c>
      <c r="H18" s="32"/>
      <c r="I18" s="141"/>
      <c r="J18" s="142"/>
      <c r="K18" s="141"/>
      <c r="L18" s="142"/>
      <c r="M18" s="29"/>
      <c r="N18" s="11" t="s">
        <v>101</v>
      </c>
      <c r="O18" s="87" t="s">
        <v>38</v>
      </c>
      <c r="P18" s="88"/>
      <c r="Q18" s="11" t="s">
        <v>106</v>
      </c>
      <c r="R18" s="87" t="s">
        <v>31</v>
      </c>
      <c r="S18" s="88"/>
      <c r="T18" s="21" t="s">
        <v>27</v>
      </c>
      <c r="U18" s="87" t="s">
        <v>36</v>
      </c>
      <c r="V18" s="88"/>
      <c r="W18" s="11" t="s">
        <v>109</v>
      </c>
      <c r="X18" s="143"/>
      <c r="Y18" s="83"/>
    </row>
    <row r="19" spans="1:25" ht="20.100000000000001" customHeight="1" x14ac:dyDescent="0.75">
      <c r="A19" s="74" t="s">
        <v>8</v>
      </c>
      <c r="B19" s="74"/>
      <c r="C19" s="77" t="s">
        <v>145</v>
      </c>
      <c r="D19" s="78"/>
      <c r="E19" s="82"/>
      <c r="F19" s="83"/>
      <c r="G19" s="48" t="s">
        <v>83</v>
      </c>
      <c r="H19" s="32"/>
      <c r="I19" s="141"/>
      <c r="J19" s="142"/>
      <c r="K19" s="141"/>
      <c r="L19" s="142"/>
      <c r="M19" s="29"/>
      <c r="N19" s="144" t="s">
        <v>197</v>
      </c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46"/>
    </row>
    <row r="20" spans="1:25" ht="20.100000000000001" customHeight="1" x14ac:dyDescent="0.75">
      <c r="A20" s="74" t="s">
        <v>9</v>
      </c>
      <c r="B20" s="74"/>
      <c r="C20" s="77" t="s">
        <v>144</v>
      </c>
      <c r="D20" s="78"/>
      <c r="E20" s="82"/>
      <c r="F20" s="83"/>
      <c r="G20" s="48" t="s">
        <v>84</v>
      </c>
      <c r="H20" s="32"/>
      <c r="I20" s="141"/>
      <c r="J20" s="142"/>
      <c r="K20" s="141"/>
      <c r="L20" s="142"/>
      <c r="M20" s="29"/>
      <c r="N20" s="147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9"/>
    </row>
    <row r="21" spans="1:25" ht="20.100000000000001" customHeight="1" x14ac:dyDescent="0.75">
      <c r="A21" s="74" t="s">
        <v>10</v>
      </c>
      <c r="B21" s="74"/>
      <c r="C21" s="77" t="s">
        <v>143</v>
      </c>
      <c r="D21" s="78"/>
      <c r="E21" s="82"/>
      <c r="F21" s="83"/>
      <c r="G21" s="48" t="s">
        <v>85</v>
      </c>
      <c r="H21" s="32"/>
      <c r="I21" s="141"/>
      <c r="J21" s="142"/>
      <c r="K21" s="141"/>
      <c r="L21" s="142"/>
      <c r="M21" s="29"/>
      <c r="N21" s="147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9"/>
    </row>
    <row r="22" spans="1:25" ht="20.100000000000001" customHeight="1" x14ac:dyDescent="0.75">
      <c r="A22" s="74" t="str">
        <f>(IF(B7="NATURAL","",B7))</f>
        <v>YELLOW</v>
      </c>
      <c r="B22" s="74"/>
      <c r="C22" s="7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Y</v>
      </c>
      <c r="D22" s="78"/>
      <c r="E22" s="140"/>
      <c r="F22" s="83"/>
      <c r="G22" s="48" t="s">
        <v>86</v>
      </c>
      <c r="H22" s="32"/>
      <c r="I22" s="141"/>
      <c r="J22" s="142"/>
      <c r="K22" s="141"/>
      <c r="L22" s="142"/>
      <c r="M22" s="29"/>
      <c r="N22" s="150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2"/>
    </row>
    <row r="23" spans="1:25" ht="20.100000000000001" customHeight="1" x14ac:dyDescent="0.75">
      <c r="A23" s="79"/>
      <c r="B23" s="79"/>
      <c r="C23" s="7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8"/>
      <c r="E23" s="82"/>
      <c r="F23" s="83"/>
      <c r="G23" s="48" t="s">
        <v>87</v>
      </c>
      <c r="H23" s="32"/>
      <c r="I23" s="141"/>
      <c r="J23" s="142"/>
      <c r="K23" s="141"/>
      <c r="L23" s="142"/>
      <c r="M23" s="29"/>
      <c r="N23" s="130" t="s">
        <v>133</v>
      </c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8"/>
    </row>
    <row r="24" spans="1:25" ht="20.100000000000001" customHeight="1" x14ac:dyDescent="0.75">
      <c r="A24" s="80"/>
      <c r="B24" s="81"/>
      <c r="C24" s="77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8"/>
      <c r="E24" s="82"/>
      <c r="F24" s="83"/>
      <c r="G24" s="48" t="s">
        <v>88</v>
      </c>
      <c r="H24" s="32"/>
      <c r="I24" s="141"/>
      <c r="J24" s="142"/>
      <c r="K24" s="141"/>
      <c r="L24" s="142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00000000000001" customHeight="1" x14ac:dyDescent="0.75">
      <c r="A25" s="110" t="s">
        <v>1</v>
      </c>
      <c r="B25" s="93"/>
      <c r="C25" s="93"/>
      <c r="D25" s="93"/>
      <c r="E25" s="93"/>
      <c r="F25" s="92"/>
      <c r="G25" s="92"/>
      <c r="H25" s="92"/>
      <c r="I25" s="92"/>
      <c r="J25" s="92"/>
      <c r="K25" s="93"/>
      <c r="L25" s="9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139" t="s">
        <v>132</v>
      </c>
      <c r="H26" s="139"/>
      <c r="I26" s="139" t="s">
        <v>131</v>
      </c>
      <c r="J26" s="139"/>
      <c r="K26" s="24" t="s">
        <v>94</v>
      </c>
      <c r="L26" s="24" t="s">
        <v>95</v>
      </c>
      <c r="M26" s="29"/>
      <c r="N26" s="110" t="s">
        <v>137</v>
      </c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4"/>
    </row>
    <row r="27" spans="1:25" ht="20.100000000000001" customHeight="1" x14ac:dyDescent="0.75">
      <c r="A27" s="22" t="s">
        <v>96</v>
      </c>
      <c r="B27" s="7"/>
      <c r="C27" s="7"/>
      <c r="D27" s="7"/>
      <c r="E27" s="8"/>
      <c r="F27" s="7"/>
      <c r="G27" s="59"/>
      <c r="H27" s="59"/>
      <c r="I27" s="59"/>
      <c r="J27" s="59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00000000000001" customHeight="1" x14ac:dyDescent="0.75">
      <c r="A28" s="22" t="s">
        <v>97</v>
      </c>
      <c r="B28" s="7"/>
      <c r="C28" s="7"/>
      <c r="D28" s="7"/>
      <c r="E28" s="9"/>
      <c r="F28" s="7"/>
      <c r="G28" s="59"/>
      <c r="H28" s="59"/>
      <c r="I28" s="59"/>
      <c r="J28" s="59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00000000000001" customHeight="1" x14ac:dyDescent="0.75">
      <c r="A29" s="91" t="s">
        <v>99</v>
      </c>
      <c r="B29" s="92"/>
      <c r="C29" s="92"/>
      <c r="D29" s="92"/>
      <c r="E29" s="92"/>
      <c r="F29" s="135"/>
      <c r="G29" s="135"/>
      <c r="H29" s="135"/>
      <c r="I29" s="135"/>
      <c r="J29" s="135"/>
      <c r="K29" s="92"/>
      <c r="L29" s="136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00000000000001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00000000000001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00000000000001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00000000000001" customHeight="1" x14ac:dyDescent="0.75">
      <c r="A33" s="60" t="s">
        <v>116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2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00000000000001" customHeight="1" x14ac:dyDescent="0.75">
      <c r="A34" s="63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5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00000000000001" customHeight="1" x14ac:dyDescent="0.75">
      <c r="A35" s="66"/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8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00000000000001" customHeight="1" x14ac:dyDescent="0.75">
      <c r="A36" s="69" t="s">
        <v>136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1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00000000000001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00000000000001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00000000000001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00000000000001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00000000000001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00000000000001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00000000000001" customHeight="1" x14ac:dyDescent="0.75">
      <c r="N43" s="51"/>
    </row>
    <row r="44" spans="1:25" ht="20.100000000000001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00000000000001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00000000000001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00000000000001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00000000000001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00000000000001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00000000000001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00000000000001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00000000000001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00000000000001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00000000000001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00000000000001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00000000000001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00000000000001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00000000000001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00000000000001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00000000000001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00000000000001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00000000000001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00000000000001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00000000000001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00000000000001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00000000000001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00000000000001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00000000000001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00000000000001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00000000000001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00000000000001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00000000000001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00000000000001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00000000000001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00000000000001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00000000000001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00000000000001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00000000000001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00000000000001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00000000000001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00000000000001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00000000000001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00000000000001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00000000000001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00000000000001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00000000000001" customHeight="1" x14ac:dyDescent="0.75"/>
    <row r="87" spans="1:25" ht="20.100000000000001" customHeight="1" x14ac:dyDescent="0.75"/>
    <row r="88" spans="1:25" ht="20.100000000000001" customHeight="1" x14ac:dyDescent="0.75"/>
    <row r="89" spans="1:25" ht="20.100000000000001" customHeight="1" x14ac:dyDescent="0.75"/>
    <row r="90" spans="1:25" ht="20.100000000000001" customHeight="1" x14ac:dyDescent="0.75"/>
    <row r="91" spans="1:25" ht="20.100000000000001" customHeight="1" x14ac:dyDescent="0.75"/>
    <row r="92" spans="1:25" ht="20.100000000000001" customHeight="1" x14ac:dyDescent="0.75"/>
    <row r="93" spans="1:25" ht="20.100000000000001" customHeight="1" x14ac:dyDescent="0.75"/>
    <row r="94" spans="1:25" ht="20.100000000000001" customHeight="1" x14ac:dyDescent="0.75"/>
    <row r="95" spans="1:25" ht="20.100000000000001" customHeight="1" x14ac:dyDescent="0.75"/>
    <row r="96" spans="1:25" ht="20.100000000000001" customHeight="1" x14ac:dyDescent="0.75"/>
    <row r="97" ht="20.100000000000001" customHeight="1" x14ac:dyDescent="0.75"/>
    <row r="98" ht="20.100000000000001" customHeight="1" x14ac:dyDescent="0.75"/>
    <row r="99" ht="20.100000000000001" customHeight="1" x14ac:dyDescent="0.75"/>
    <row r="100" ht="20.100000000000001" customHeight="1" x14ac:dyDescent="0.75"/>
    <row r="101" ht="20.100000000000001" customHeight="1" x14ac:dyDescent="0.75"/>
    <row r="102" ht="20.100000000000001" customHeight="1" x14ac:dyDescent="0.75"/>
    <row r="103" ht="20.100000000000001" customHeight="1" x14ac:dyDescent="0.75"/>
    <row r="104" ht="20.100000000000001" customHeight="1" x14ac:dyDescent="0.75"/>
    <row r="105" ht="20.100000000000001" customHeight="1" x14ac:dyDescent="0.75"/>
    <row r="106" ht="20.100000000000001" customHeight="1" x14ac:dyDescent="0.75"/>
    <row r="107" ht="20.100000000000001" customHeight="1" x14ac:dyDescent="0.75"/>
    <row r="108" ht="20.100000000000001" customHeight="1" x14ac:dyDescent="0.75"/>
    <row r="109" ht="20.100000000000001" customHeight="1" x14ac:dyDescent="0.75"/>
    <row r="110" ht="20.100000000000001" customHeight="1" x14ac:dyDescent="0.75"/>
    <row r="111" ht="20.100000000000001" customHeight="1" x14ac:dyDescent="0.75"/>
    <row r="112" ht="20.100000000000001" customHeight="1" x14ac:dyDescent="0.75"/>
    <row r="113" ht="20.100000000000001" customHeight="1" x14ac:dyDescent="0.75"/>
    <row r="114" ht="20.100000000000001" customHeight="1" x14ac:dyDescent="0.75"/>
    <row r="115" ht="20.100000000000001" customHeight="1" x14ac:dyDescent="0.75"/>
    <row r="116" ht="20.100000000000001" customHeight="1" x14ac:dyDescent="0.75"/>
    <row r="117" ht="20.100000000000001" customHeight="1" x14ac:dyDescent="0.75"/>
    <row r="118" ht="20.100000000000001" customHeight="1" x14ac:dyDescent="0.75"/>
    <row r="119" ht="20.100000000000001" customHeight="1" x14ac:dyDescent="0.75"/>
    <row r="120" ht="20.100000000000001" customHeight="1" x14ac:dyDescent="0.75"/>
    <row r="121" ht="20.100000000000001" customHeight="1" x14ac:dyDescent="0.75"/>
    <row r="122" ht="20.100000000000001" customHeight="1" x14ac:dyDescent="0.75"/>
    <row r="123" ht="20.100000000000001" customHeight="1" x14ac:dyDescent="0.75"/>
    <row r="124" ht="20.100000000000001" customHeight="1" x14ac:dyDescent="0.75"/>
    <row r="125" ht="20.100000000000001" customHeight="1" x14ac:dyDescent="0.75"/>
    <row r="126" ht="20.100000000000001" customHeight="1" x14ac:dyDescent="0.75"/>
    <row r="127" ht="20.100000000000001" customHeight="1" x14ac:dyDescent="0.75"/>
    <row r="128" ht="20.100000000000001" customHeight="1" x14ac:dyDescent="0.75"/>
    <row r="129" ht="20.100000000000001" customHeight="1" x14ac:dyDescent="0.75"/>
    <row r="130" ht="20.100000000000001" customHeight="1" x14ac:dyDescent="0.75"/>
    <row r="131" ht="20.100000000000001" customHeight="1" x14ac:dyDescent="0.75"/>
    <row r="132" ht="20.100000000000001" customHeight="1" x14ac:dyDescent="0.75"/>
    <row r="133" ht="20.100000000000001" customHeight="1" x14ac:dyDescent="0.75"/>
    <row r="134" ht="20.100000000000001" customHeight="1" x14ac:dyDescent="0.75"/>
    <row r="135" ht="20.100000000000001" customHeight="1" x14ac:dyDescent="0.75"/>
    <row r="136" ht="20.100000000000001" customHeight="1" x14ac:dyDescent="0.75"/>
    <row r="137" ht="20.100000000000001" customHeight="1" x14ac:dyDescent="0.75"/>
    <row r="138" ht="20.100000000000001" customHeight="1" x14ac:dyDescent="0.75"/>
    <row r="139" ht="20.100000000000001" customHeight="1" x14ac:dyDescent="0.75"/>
    <row r="140" ht="20.100000000000001" customHeight="1" x14ac:dyDescent="0.75"/>
    <row r="141" ht="20.100000000000001" customHeight="1" x14ac:dyDescent="0.75"/>
    <row r="142" ht="20.100000000000001" customHeight="1" x14ac:dyDescent="0.75"/>
    <row r="143" ht="20.100000000000001" customHeight="1" x14ac:dyDescent="0.75"/>
    <row r="144" ht="20.100000000000001" customHeight="1" x14ac:dyDescent="0.75"/>
    <row r="145" ht="20.100000000000001" customHeight="1" x14ac:dyDescent="0.75"/>
    <row r="146" ht="20.100000000000001" customHeight="1" x14ac:dyDescent="0.75"/>
    <row r="147" ht="20.100000000000001" customHeight="1" x14ac:dyDescent="0.75"/>
    <row r="148" ht="20.100000000000001" customHeight="1" x14ac:dyDescent="0.75"/>
    <row r="149" ht="20.100000000000001" customHeight="1" x14ac:dyDescent="0.75"/>
    <row r="150" ht="20.100000000000001" customHeight="1" x14ac:dyDescent="0.75"/>
    <row r="151" ht="20.100000000000001" customHeight="1" x14ac:dyDescent="0.75"/>
    <row r="152" ht="20.100000000000001" customHeight="1" x14ac:dyDescent="0.75"/>
    <row r="153" ht="20.100000000000001" customHeight="1" x14ac:dyDescent="0.75"/>
    <row r="154" ht="20.100000000000001" customHeight="1" x14ac:dyDescent="0.75"/>
    <row r="155" ht="20.100000000000001" customHeight="1" x14ac:dyDescent="0.75"/>
    <row r="156" ht="20.100000000000001" customHeight="1" x14ac:dyDescent="0.75"/>
    <row r="157" ht="20.100000000000001" customHeight="1" x14ac:dyDescent="0.75"/>
    <row r="158" ht="20.100000000000001" customHeight="1" x14ac:dyDescent="0.75"/>
    <row r="159" ht="20.100000000000001" customHeight="1" x14ac:dyDescent="0.75"/>
    <row r="160" ht="20.100000000000001" customHeight="1" x14ac:dyDescent="0.75"/>
    <row r="161" ht="20.100000000000001" customHeight="1" x14ac:dyDescent="0.75"/>
    <row r="162" ht="20.100000000000001" customHeight="1" x14ac:dyDescent="0.75"/>
    <row r="163" ht="20.100000000000001" customHeight="1" x14ac:dyDescent="0.75"/>
    <row r="164" ht="20.100000000000001" customHeight="1" x14ac:dyDescent="0.75"/>
    <row r="165" ht="20.100000000000001" customHeight="1" x14ac:dyDescent="0.75"/>
    <row r="166" ht="20.100000000000001" customHeight="1" x14ac:dyDescent="0.75"/>
    <row r="167" ht="20.100000000000001" customHeight="1" x14ac:dyDescent="0.75"/>
    <row r="168" ht="20.100000000000001" customHeight="1" x14ac:dyDescent="0.75"/>
    <row r="169" ht="20.100000000000001" customHeight="1" x14ac:dyDescent="0.75"/>
    <row r="170" ht="20.100000000000001" customHeight="1" x14ac:dyDescent="0.75"/>
    <row r="171" ht="20.100000000000001" customHeight="1" x14ac:dyDescent="0.75"/>
    <row r="172" ht="20.100000000000001" customHeight="1" x14ac:dyDescent="0.75"/>
    <row r="173" ht="20.100000000000001" customHeight="1" x14ac:dyDescent="0.75"/>
    <row r="174" ht="20.100000000000001" customHeight="1" x14ac:dyDescent="0.75"/>
    <row r="175" ht="20.100000000000001" customHeight="1" x14ac:dyDescent="0.75"/>
    <row r="176" ht="20.100000000000001" customHeight="1" x14ac:dyDescent="0.75"/>
    <row r="177" ht="20.100000000000001" customHeight="1" x14ac:dyDescent="0.75"/>
    <row r="178" ht="20.100000000000001" customHeight="1" x14ac:dyDescent="0.75"/>
    <row r="179" ht="20.100000000000001" customHeight="1" x14ac:dyDescent="0.75"/>
    <row r="180" ht="20.100000000000001" customHeight="1" x14ac:dyDescent="0.75"/>
    <row r="181" ht="20.100000000000001" customHeight="1" x14ac:dyDescent="0.75"/>
    <row r="182" ht="20.100000000000001" customHeight="1" x14ac:dyDescent="0.75"/>
    <row r="183" ht="20.100000000000001" customHeight="1" x14ac:dyDescent="0.75"/>
    <row r="184" ht="20.100000000000001" customHeight="1" x14ac:dyDescent="0.75"/>
    <row r="185" ht="20.100000000000001" customHeight="1" x14ac:dyDescent="0.75"/>
    <row r="186" ht="20.100000000000001" customHeight="1" x14ac:dyDescent="0.75"/>
    <row r="187" ht="20.100000000000001" customHeight="1" x14ac:dyDescent="0.75"/>
    <row r="188" ht="20.100000000000001" customHeight="1" x14ac:dyDescent="0.75"/>
    <row r="189" ht="20.100000000000001" customHeight="1" x14ac:dyDescent="0.75"/>
    <row r="190" ht="20.100000000000001" customHeight="1" x14ac:dyDescent="0.75"/>
    <row r="191" ht="20.100000000000001" customHeight="1" x14ac:dyDescent="0.75"/>
    <row r="192" ht="20.100000000000001" customHeight="1" x14ac:dyDescent="0.75"/>
    <row r="193" ht="20.100000000000001" customHeight="1" x14ac:dyDescent="0.75"/>
    <row r="194" ht="20.100000000000001" customHeight="1" x14ac:dyDescent="0.75"/>
    <row r="195" ht="20.100000000000001" customHeight="1" x14ac:dyDescent="0.75"/>
    <row r="196" ht="20.100000000000001" customHeight="1" x14ac:dyDescent="0.75"/>
    <row r="197" ht="20.100000000000001" customHeight="1" x14ac:dyDescent="0.75"/>
    <row r="198" ht="20.100000000000001" customHeight="1" x14ac:dyDescent="0.75"/>
    <row r="199" ht="20.100000000000001" customHeight="1" x14ac:dyDescent="0.75"/>
    <row r="200" ht="20.100000000000001" customHeight="1" x14ac:dyDescent="0.75"/>
    <row r="201" ht="20.100000000000001" customHeight="1" x14ac:dyDescent="0.75"/>
    <row r="202" ht="20.100000000000001" customHeight="1" x14ac:dyDescent="0.75"/>
    <row r="203" ht="20.100000000000001" customHeight="1" x14ac:dyDescent="0.75"/>
    <row r="204" ht="20.100000000000001" customHeight="1" x14ac:dyDescent="0.75"/>
    <row r="205" ht="20.100000000000001" customHeight="1" x14ac:dyDescent="0.75"/>
    <row r="206" ht="20.100000000000001" customHeight="1" x14ac:dyDescent="0.75"/>
    <row r="207" ht="20.100000000000001" customHeight="1" x14ac:dyDescent="0.75"/>
    <row r="208" ht="20.100000000000001" customHeight="1" x14ac:dyDescent="0.75"/>
    <row r="209" ht="20.100000000000001" customHeight="1" x14ac:dyDescent="0.75"/>
    <row r="210" ht="20.100000000000001" customHeight="1" x14ac:dyDescent="0.75"/>
    <row r="211" ht="20.100000000000001" customHeight="1" x14ac:dyDescent="0.75"/>
    <row r="212" ht="20.100000000000001" customHeight="1" x14ac:dyDescent="0.75"/>
    <row r="213" ht="20.100000000000001" customHeight="1" x14ac:dyDescent="0.75"/>
    <row r="214" ht="20.100000000000001" customHeight="1" x14ac:dyDescent="0.75"/>
    <row r="215" ht="20.100000000000001" customHeight="1" x14ac:dyDescent="0.75"/>
    <row r="216" ht="20.100000000000001" customHeight="1" x14ac:dyDescent="0.75"/>
    <row r="217" ht="20.100000000000001" customHeight="1" x14ac:dyDescent="0.75"/>
    <row r="218" ht="20.100000000000001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2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45471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45461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07487A4-5385-4991-846A-9EBC97EA1FA4}"/>
</file>

<file path=customXml/itemProps2.xml><?xml version="1.0" encoding="utf-8"?>
<ds:datastoreItem xmlns:ds="http://schemas.openxmlformats.org/officeDocument/2006/customXml" ds:itemID="{E742B020-1881-45C7-893A-17F9B7DB20DF}"/>
</file>

<file path=customXml/itemProps3.xml><?xml version="1.0" encoding="utf-8"?>
<ds:datastoreItem xmlns:ds="http://schemas.openxmlformats.org/officeDocument/2006/customXml" ds:itemID="{8F03A0E5-E183-4DCA-8AB8-C57EABF715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2024-05-27T23:37:17Z</cp:lastPrinted>
  <dcterms:created xsi:type="dcterms:W3CDTF">2019-11-27T23:28:06Z</dcterms:created>
  <dcterms:modified xsi:type="dcterms:W3CDTF">2024-06-04T01:02:37Z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