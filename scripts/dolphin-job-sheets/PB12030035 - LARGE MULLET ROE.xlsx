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8EC0802-36A0-43DE-9BC7-F89A4268038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<sst xmlns="http://schemas.openxmlformats.org/spreadsheetml/2006/main" count="305" uniqueCount="201">
  <si>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</si>
  <si>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</si>
  <si>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</si>
  <si>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</si>
  <si>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</si>
  <si>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</si>
  <si>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</si>
  <si>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</si>
  <si>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</si>
  <si>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</si>
  <si>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</si>
  <si>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</si>
  <si>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</si>
  <si>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</si>
  <si>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</si>
  <si>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</si>
  <si>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</si>
  <si>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</si>
  <si>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</si>
  <si>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</si>
  <si>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</si>
  <si>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</si>
  <si>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</si>
  <si>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</si>
  <si>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</si>
  <si>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</si>
  <si>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</si>
  <si>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</si>
  <si>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</si>
  <si>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</si>
  <si>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</si>
  <si>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</si>
  <si>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</si>
  <si>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</si>
  <si>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</si>
  <si>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</si>
  <si>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</si>
  <si>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</si>
  <si>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</si>
  <si>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</si>
  <si>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</si>
  <si>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</si>
  <si>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</si>
  <si>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</si>
  <si>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</si>
  <si>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</si>
  <si>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</si>
  <si>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</si>
  <si>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</si>
  <si>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</si>
  <si>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</si>
  <si>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</si>
  <si>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</si>
  <si>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</si>
  <si>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</si>
  <si>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</si>
  <si>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</si>
  <si>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</si>
  <si>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</si>
  <si>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</si>
  <si>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</si>
  <si>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</si>
  <si>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</si>
  <si>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</si>
  <si>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</si>
  <si>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</si>
  <si>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</si>
  <si>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</si>
  <si>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</si>
  <si>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</si>
  <si>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</si>
  <si>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</si>
  <si>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</si>
  <si>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</si>
  <si>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</si>
  <si>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</si>
  <si>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</si>
  <si>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</si>
  <si>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</si>
  <si>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</si>
  <si>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</si>
  <si>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</si>
  <si>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</si>
  <si>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</si>
  <si>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</si>
  <si>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</si>
  <si>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</si>
  <si>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</si>
  <si>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</si>
  <si>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</si>
  <si>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</si>
  <si>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</si>
  <si>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</si>
  <si>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</si>
  <si>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</si>
  <si>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</si>
  <si>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</si>
  <si>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</si>
  <si>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</si>
  <si>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</si>
  <si>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</si>
  <si>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</si>
  <si>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</si>
  <si>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</si>
  <si>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</si>
  <si>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</si>
  <si>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</si>
  <si>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</si>
  <si>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</si>
  <si>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</si>
  <si>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</si>
  <si>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</si>
  <si>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</si>
  <si>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</si>
  <si>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</si>
  <si>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</si>
  <si>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</si>
  <si>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</si>
  <si>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</si>
  <si>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</si>
  <si>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</si>
  <si>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</si>
  <si>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</si>
  <si>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</si>
  <si>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</si>
  <si>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</si>
  <si>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</si>
  <si>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</si>
  <si>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</si>
  <si>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</si>
  <si>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</si>
  <si>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</si>
  <si>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</si>
  <si>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</si>
  <si>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</si>
  <si>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</si>
  <si>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</si>
  <si>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</si>
  <si>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</si>
  <si>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</si>
  <si>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</si>
  <si>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</si>
  <si>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</si>
  <si>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</si>
  <si>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</si>
  <si>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</si>
  <si>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</si>
  <si>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</si>
  <si>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</si>
  <si>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</si>
  <si>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</si>
  <si>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</si>
  <si>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</si>
  <si>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</si>
  <si>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</si>
  <si>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</si>
  <si>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</si>
  <si>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</si>
  <si>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</si>
  <si>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</si>
  <si>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</si>
  <si>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</si>
  <si>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</si>
  <si>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</si>
  <si>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</si>
  <si>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</si>
  <si>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</si>
  <si>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</si>
  <si>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</si>
  <si>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</si>
  <si>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</si>
  <si>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</si>
  <si>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</si>
  <si>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</si>
  <si>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</si>
  <si>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</si>
  <si>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</si>
  <si>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</si>
  <si>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</si>
  <si>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</si>
  <si>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</si>
  <si>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</si>
  <si>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</si>
  <si>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</si>
  <si>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</si>
  <si>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</si>
  <si>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</si>
  <si>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</si>
  <si>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</si>
  <si>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</si>
  <si>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</si>
  <si>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</si>
  <si>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</si>
  <si>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</si>
  <si>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</si>
  <si>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+/- 5mm</t>
  </si>
  <si>
    <t>SUPAFIN SEAFOODS</t>
  </si>
  <si>
    <t xml:space="preserve">LIMAX </t>
  </si>
  <si>
    <t>ANTIBLOCK</t>
  </si>
  <si>
    <t>ANTISTATIC</t>
  </si>
  <si>
    <t xml:space="preserve"> MULLET 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</si>
</sst>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PB120230350AS</v>
      </c>
      <c r="C1" s="108"/>
      <c r="D1" s="109"/>
      <c r="E1" s="10" t="s">
        <v>57</v>
      </c>
      <c r="F1" s="62" t="s">
        <v>196</v>
      </c>
      <c r="G1" s="62"/>
      <c r="H1" s="63"/>
      <c r="I1" s="11" t="s">
        <v>181</v>
      </c>
      <c r="J1" s="119">
        <f ca="1">TODAY()</f>
        <v>45706</v>
      </c>
      <c r="K1" s="119"/>
      <c r="L1" s="120"/>
      <c r="M1" s="28"/>
      <c r="N1" s="10" t="s">
        <v>56</v>
      </c>
      <c r="O1" s="108" t="str">
        <f>B1</f>
        <v>PB120230350AS</v>
      </c>
      <c r="P1" s="108"/>
      <c r="Q1" s="109"/>
      <c r="R1" s="10" t="s">
        <v>57</v>
      </c>
      <c r="S1" s="108" t="str">
        <f>F1</f>
        <v>SUPAFIN SEAFOODS</v>
      </c>
      <c r="T1" s="108"/>
      <c r="U1" s="109"/>
      <c r="V1" s="10" t="s">
        <v>181</v>
      </c>
      <c r="W1" s="119">
        <f ca="1">J1</f>
        <v>45706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 xml:space="preserve"> MULLET ROE</v>
      </c>
      <c r="C2" s="108"/>
      <c r="D2" s="109"/>
      <c r="E2" s="10" t="s">
        <v>58</v>
      </c>
      <c r="F2" s="62">
        <v>949472</v>
      </c>
      <c r="G2" s="62"/>
      <c r="H2" s="63"/>
      <c r="I2" s="10" t="s">
        <v>59</v>
      </c>
      <c r="J2" s="122">
        <v>45727</v>
      </c>
      <c r="K2" s="62"/>
      <c r="L2" s="63"/>
      <c r="M2" s="28"/>
      <c r="N2" s="10" t="s">
        <v>100</v>
      </c>
      <c r="O2" s="108" t="str">
        <f>IF(B2="","",B2)</f>
        <v xml:space="preserve"> MULLET ROE</v>
      </c>
      <c r="P2" s="108"/>
      <c r="Q2" s="109"/>
      <c r="R2" s="10" t="s">
        <v>58</v>
      </c>
      <c r="S2" s="108">
        <f>IF(F2="","",F2)</f>
        <v>949472</v>
      </c>
      <c r="T2" s="108"/>
      <c r="U2" s="109"/>
      <c r="V2" s="10" t="s">
        <v>59</v>
      </c>
      <c r="W2" s="121">
        <f>J2</f>
        <v>45727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20</v>
      </c>
      <c r="P7" s="63"/>
      <c r="Q7" s="10" t="str">
        <f>IF(ISNUMBER(SEARCH("roll",O8,1)),"Per Roll","Per Carton")</f>
        <v>Per Carton</v>
      </c>
      <c r="R7" s="62">
        <v>5000</v>
      </c>
      <c r="S7" s="63"/>
      <c r="T7" s="10" t="str">
        <f>IF(ISNUMBER(SEARCH("bag",O8,1)),"Total Bags","Total Sheets")</f>
        <v>Total Bags</v>
      </c>
      <c r="U7" s="108">
        <f>R7*O7</f>
        <v>100000</v>
      </c>
      <c r="V7" s="109"/>
      <c r="W7" s="10" t="s">
        <v>102</v>
      </c>
      <c r="X7" s="62" t="s">
        <v>31</v>
      </c>
      <c r="Y7" s="63"/>
    </row>
    <row r="8" spans="1:25" ht="20.149999999999999" customHeight="1" x14ac:dyDescent="0.8">
      <c r="A8" s="12" t="s">
        <v>16</v>
      </c>
      <c r="B8" s="96">
        <f>R9</f>
        <v>120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35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194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120</v>
      </c>
      <c r="S9" s="17" t="s">
        <v>78</v>
      </c>
      <c r="T9" s="29">
        <v>230</v>
      </c>
      <c r="U9" s="17" t="s">
        <v>78</v>
      </c>
      <c r="V9" s="29">
        <v>35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15</v>
      </c>
      <c r="C10" s="63"/>
      <c r="D10" s="46" t="s">
        <v>134</v>
      </c>
      <c r="E10" s="127">
        <f>IF(ISNUMBER(SEARCH("sheet",O8,1)),((R9*T9*H8/540000)*U7/2000*1.3),((R9*T9*H8/540000)*U7/1000*1.08))</f>
        <v>193.20000000000005</v>
      </c>
      <c r="F10" s="128"/>
      <c r="G10" s="10" t="s">
        <v>53</v>
      </c>
      <c r="H10" s="131">
        <f>IF(ISNUMBER(SEARCH("sheet",O8,1)),(U7*T9/2000*1.08),(U7*T9/1000*1.08))</f>
        <v>24840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200</v>
      </c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12.880000000000003</v>
      </c>
      <c r="F11" s="130"/>
      <c r="G11" s="10" t="s">
        <v>15</v>
      </c>
      <c r="H11" s="129">
        <f>H10/B10</f>
        <v>1656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198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 t="s">
        <v>199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197</v>
      </c>
      <c r="P25" s="33"/>
      <c r="Q25" s="9">
        <v>28</v>
      </c>
      <c r="R25" s="9"/>
      <c r="S25" s="9"/>
      <c r="T25" s="9"/>
      <c r="U25" s="9"/>
      <c r="V25" s="9"/>
      <c r="W25" s="9">
        <v>14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/>
      <c r="C27" s="7"/>
      <c r="D27" s="9">
        <v>10.8</v>
      </c>
      <c r="E27" s="58">
        <v>7.2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45734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45727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EB5185-89BD-45C8-83FA-C57FE91A9994}"/>
</file>

<file path=customXml/itemProps2.xml><?xml version="1.0" encoding="utf-8"?>
<ds:datastoreItem xmlns:ds="http://schemas.openxmlformats.org/officeDocument/2006/customXml" ds:itemID="{89E96AB9-31CE-4271-9E30-86019938093D}"/>
</file>

<file path=customXml/itemProps3.xml><?xml version="1.0" encoding="utf-8"?>
<ds:datastoreItem xmlns:ds="http://schemas.openxmlformats.org/officeDocument/2006/customXml" ds:itemID="{469F326A-FEB9-4ECB-AFEC-DAD858AD3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2025-02-18T02:47:21Z</cp:lastPrinted>
  <dcterms:created xsi:type="dcterms:W3CDTF">2019-11-27T23:28:06Z</dcterms:created>
  <dcterms:modified xsi:type="dcterms:W3CDTF">2025-02-18T02:49:31Z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