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61AE16D-BA1C-44D6-AC37-BE6BD58CC22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<sst xmlns="http://schemas.openxmlformats.org/spreadsheetml/2006/main" count="301" uniqueCount="198">
  <si>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</si>
  <si>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</si>
  <si>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</si>
  <si>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</si>
  <si>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</si>
  <si>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</si>
  <si>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</si>
  <si>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</si>
  <si>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</si>
  <si>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</si>
  <si>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</si>
  <si>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</si>
  <si>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</si>
  <si>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</si>
  <si>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</si>
  <si>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</si>
  <si>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</si>
  <si>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</si>
  <si>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</si>
  <si>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</si>
  <si>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</si>
  <si>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</si>
  <si>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</si>
  <si>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</si>
  <si>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</si>
  <si>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</si>
  <si>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</si>
  <si>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</si>
  <si>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</si>
  <si>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</si>
  <si>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</si>
  <si>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</si>
  <si>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</si>
  <si>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</si>
  <si>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</si>
  <si>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</si>
  <si>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</si>
  <si>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</si>
  <si>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</si>
  <si>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</si>
  <si>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</si>
  <si>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</si>
  <si>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</si>
  <si>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</si>
  <si>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</si>
  <si>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</si>
  <si>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</si>
  <si>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</si>
  <si>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</si>
  <si>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</si>
  <si>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</si>
  <si>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</si>
  <si>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</si>
  <si>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</si>
  <si>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</si>
  <si>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</si>
  <si>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</si>
  <si>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</si>
  <si>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</si>
  <si>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</si>
  <si>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</si>
  <si>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</si>
  <si>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</si>
  <si>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</si>
  <si>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</si>
  <si>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</si>
  <si>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</si>
  <si>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</si>
  <si>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</si>
  <si>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</si>
  <si>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</si>
  <si>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</si>
  <si>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</si>
  <si>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</si>
  <si>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</si>
  <si>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</si>
  <si>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</si>
  <si>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</si>
  <si>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</si>
  <si>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</si>
  <si>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</si>
  <si>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</si>
  <si>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</si>
  <si>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</si>
  <si>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</si>
  <si>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</si>
  <si>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</si>
  <si>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</si>
  <si>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</si>
  <si>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</si>
  <si>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</si>
  <si>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</si>
  <si>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</si>
  <si>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</si>
  <si>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</si>
  <si>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</si>
  <si>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</si>
  <si>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</si>
  <si>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</si>
  <si>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</si>
  <si>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</si>
  <si>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</si>
  <si>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</si>
  <si>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</si>
  <si>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</si>
  <si>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</si>
  <si>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</si>
  <si>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</si>
  <si>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</si>
  <si>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</si>
  <si>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</si>
  <si>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</si>
  <si>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</si>
  <si>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</si>
  <si>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</si>
  <si>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</si>
  <si>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</si>
  <si>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</si>
  <si>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</si>
  <si>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</si>
  <si>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</si>
  <si>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</si>
  <si>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</si>
  <si>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</si>
  <si>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</si>
  <si>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</si>
  <si>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</si>
  <si>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</si>
  <si>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</si>
  <si>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</si>
  <si>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</si>
  <si>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</si>
  <si>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</si>
  <si>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</si>
  <si>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</si>
  <si>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</si>
  <si>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</si>
  <si>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</si>
  <si>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</si>
  <si>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</si>
  <si>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</si>
  <si>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</si>
  <si>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</si>
  <si>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</si>
  <si>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</si>
  <si>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</si>
  <si>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</si>
  <si>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</si>
  <si>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</si>
  <si>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</si>
  <si>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</si>
  <si>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</si>
  <si>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</si>
  <si>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</si>
  <si>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</si>
  <si>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</si>
  <si>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</si>
  <si>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</si>
  <si>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</si>
  <si>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</si>
  <si>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</si>
  <si>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</si>
  <si>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</si>
  <si>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</si>
  <si>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</si>
  <si>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</si>
  <si>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</si>
  <si>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</si>
  <si>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</si>
  <si>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</si>
  <si>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</si>
  <si>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</si>
  <si>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</si>
  <si>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</si>
  <si>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</si>
  <si>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</si>
  <si>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</si>
  <si>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</si>
  <si>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</si>
  <si>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</si>
  <si>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</si>
  <si>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</si>
  <si>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>PERF INLINE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</si>
  <si>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</si>
  <si>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</si>
  <si>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</si>
  <si>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</si>
  <si>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</si>
  <si>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</si>
  <si>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</si>
  <si>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</si>
  <si>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</si>
  <si>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</si>
  <si>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</si>
  <si>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</si>
  <si>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</si>
  <si>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 xml:space="preserve"> +/- 5um</t>
  </si>
  <si>
    <t>SFI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</si>
</sst>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5" fillId="0" borderId="2" xfId="0" applyFont="1" applyBorder="1" applyAlignment="1" applyProtection="1">
      <alignment horizontal="center"/>
      <protection locked="0"/>
    </xf>
    <xf numFmtId="0" fontId="15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3" t="str">
        <f>O9&amp;R9&amp;IF(X8="G","G","")&amp;IF(O8="Centrefold Roll","("&amp;E8&amp;")","")&amp;T9&amp;V9&amp;C22&amp;C23&amp;C24&amp;O11&amp;R11</f>
        <v>PBR10001500100</v>
      </c>
      <c r="C1" s="113"/>
      <c r="D1" s="114"/>
      <c r="E1" s="16" t="s">
        <v>56</v>
      </c>
      <c r="F1" s="94" t="s">
        <v>197</v>
      </c>
      <c r="G1" s="94"/>
      <c r="H1" s="95"/>
      <c r="I1" s="16" t="s">
        <v>180</v>
      </c>
      <c r="J1" s="130">
        <f ca="1">TODAY()</f>
        <v>45538</v>
      </c>
      <c r="K1" s="130"/>
      <c r="L1" s="131"/>
      <c r="M1" s="30"/>
      <c r="N1" s="16" t="s">
        <v>55</v>
      </c>
      <c r="O1" s="113" t="str">
        <f>B1</f>
        <v>PBR10001500100</v>
      </c>
      <c r="P1" s="113"/>
      <c r="Q1" s="114"/>
      <c r="R1" s="16" t="s">
        <v>56</v>
      </c>
      <c r="S1" s="113" t="str">
        <f>F1</f>
        <v>SFI AUSTRALIA</v>
      </c>
      <c r="T1" s="113"/>
      <c r="U1" s="114"/>
      <c r="V1" s="16" t="s">
        <v>180</v>
      </c>
      <c r="W1" s="130">
        <f ca="1">J1</f>
        <v>45538</v>
      </c>
      <c r="X1" s="130"/>
      <c r="Y1" s="131"/>
    </row>
    <row r="2" spans="1:25" ht="20.149999999999999" customHeight="1" x14ac:dyDescent="0.8">
      <c r="A2" s="16" t="s">
        <v>99</v>
      </c>
      <c r="B2" s="113" t="str">
        <f>IF(U10="","",U10)</f>
        <v/>
      </c>
      <c r="C2" s="113"/>
      <c r="D2" s="114"/>
      <c r="E2" s="16" t="s">
        <v>57</v>
      </c>
      <c r="F2" s="94">
        <v>948556</v>
      </c>
      <c r="G2" s="94"/>
      <c r="H2" s="95"/>
      <c r="I2" s="16" t="s">
        <v>58</v>
      </c>
      <c r="J2" s="93" t="s">
        <v>193</v>
      </c>
      <c r="K2" s="94"/>
      <c r="L2" s="95"/>
      <c r="M2" s="30"/>
      <c r="N2" s="16" t="s">
        <v>99</v>
      </c>
      <c r="O2" s="113" t="str">
        <f>IF(B2="","",B2)</f>
        <v/>
      </c>
      <c r="P2" s="113"/>
      <c r="Q2" s="114"/>
      <c r="R2" s="16" t="s">
        <v>57</v>
      </c>
      <c r="S2" s="113">
        <f>IF(F2="","",F2)</f>
        <v>948556</v>
      </c>
      <c r="T2" s="113"/>
      <c r="U2" s="114"/>
      <c r="V2" s="16" t="s">
        <v>58</v>
      </c>
      <c r="W2" s="132" t="str">
        <f>J2</f>
        <v>ASAP</v>
      </c>
      <c r="X2" s="113"/>
      <c r="Y2" s="114"/>
    </row>
    <row r="3" spans="1:25" ht="20.149999999999999" customHeight="1" x14ac:dyDescent="0.75">
      <c r="A3" s="125" t="s">
        <v>182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  <c r="M3" s="30"/>
      <c r="N3" s="125" t="str">
        <f>A3</f>
        <v>PERF INLINE</v>
      </c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1:25" ht="20.149999999999999" customHeight="1" x14ac:dyDescent="0.75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  <c r="M4" s="30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49999999999999" customHeight="1" x14ac:dyDescent="0.75">
      <c r="A5" s="129"/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30"/>
      <c r="N5" s="129"/>
      <c r="O5" s="98"/>
      <c r="P5" s="98"/>
      <c r="Q5" s="98"/>
      <c r="R5" s="98"/>
      <c r="S5" s="98"/>
      <c r="T5" s="98"/>
      <c r="U5" s="98"/>
      <c r="V5" s="98"/>
      <c r="W5" s="98"/>
      <c r="X5" s="98"/>
      <c r="Y5" s="99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80</v>
      </c>
      <c r="P7" s="95"/>
      <c r="Q7" s="16" t="str">
        <f>IF(ISNUMBER(SEARCH("roll",O8,1)),"Per Roll","Per Carton")</f>
        <v>Per Roll</v>
      </c>
      <c r="R7" s="94">
        <v>50</v>
      </c>
      <c r="S7" s="95"/>
      <c r="T7" s="16" t="str">
        <f>IF(ISNUMBER(SEARCH("bag",O8,1)),"Total Bags","Total Sheets")</f>
        <v>Total Bags</v>
      </c>
      <c r="U7" s="113">
        <f>R7*O7</f>
        <v>4000</v>
      </c>
      <c r="V7" s="114"/>
      <c r="W7" s="16" t="s">
        <v>101</v>
      </c>
      <c r="X7" s="94" t="s">
        <v>22</v>
      </c>
      <c r="Y7" s="95"/>
    </row>
    <row r="8" spans="1:25" ht="20.149999999999999" customHeight="1" x14ac:dyDescent="0.8">
      <c r="A8" s="17" t="s">
        <v>15</v>
      </c>
      <c r="B8" s="103">
        <f>R9</f>
        <v>1000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7" t="s">
        <v>51</v>
      </c>
      <c r="H8" s="103">
        <f>(IF(V9&lt;30,"30",V9))</f>
        <v>100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30"/>
      <c r="N8" s="18" t="s">
        <v>53</v>
      </c>
      <c r="O8" s="104" t="s">
        <v>164</v>
      </c>
      <c r="P8" s="105"/>
      <c r="Q8" s="18" t="s">
        <v>190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3"/>
    </row>
    <row r="9" spans="1:25" ht="20.149999999999999" customHeight="1" x14ac:dyDescent="0.9">
      <c r="A9" s="21" t="s">
        <v>47</v>
      </c>
      <c r="B9" s="111" t="s">
        <v>195</v>
      </c>
      <c r="C9" s="112"/>
      <c r="D9" s="137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196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1000</v>
      </c>
      <c r="S9" s="23" t="s">
        <v>77</v>
      </c>
      <c r="T9" s="31">
        <v>1500</v>
      </c>
      <c r="U9" s="23" t="s">
        <v>77</v>
      </c>
      <c r="V9" s="31">
        <v>100</v>
      </c>
      <c r="W9" s="22"/>
      <c r="X9" s="100"/>
      <c r="Y9" s="101"/>
    </row>
    <row r="10" spans="1:25" ht="20.149999999999999" customHeight="1" x14ac:dyDescent="0.8">
      <c r="A10" s="16" t="s">
        <v>50</v>
      </c>
      <c r="B10" s="94">
        <v>80</v>
      </c>
      <c r="C10" s="95"/>
      <c r="D10" s="49" t="s">
        <v>133</v>
      </c>
      <c r="E10" s="115">
        <f>IF(ISNUMBER(SEARCH("sheet",O8,1)),((R9*T9*H8/540000)*U7/2000*1.3),((R9*T9*H8/540000)*U7/1000*1.08))</f>
        <v>1200</v>
      </c>
      <c r="F10" s="116"/>
      <c r="G10" s="16" t="s">
        <v>52</v>
      </c>
      <c r="H10" s="119">
        <f>IF(ISNUMBER(SEARCH("sheet",O8,1)),(U7*T9/2000*1.08),(U7*T9/1000*1.08))</f>
        <v>6480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/>
      <c r="V10" s="96"/>
      <c r="W10" s="96"/>
      <c r="X10" s="96"/>
      <c r="Y10" s="9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15</v>
      </c>
      <c r="F11" s="118"/>
      <c r="G11" s="16" t="s">
        <v>14</v>
      </c>
      <c r="H11" s="117">
        <f>H10/B10</f>
        <v>81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4" t="s">
        <v>70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6"/>
    </row>
    <row r="13" spans="1:25" ht="20.149999999999999" customHeight="1" x14ac:dyDescent="0.8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80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 t="str">
        <f>IF(AND((O17="LOOSE"),(NOT(O18="BUNDLE"))),"",IF(AND((O17="LINED"),(NOT(O18="BUNDLE"))),"",(IF(R7&lt;=500,"50",IF(R7&gt;500,"100")))))</f>
        <v>50</v>
      </c>
      <c r="X13" s="16" t="s">
        <v>75</v>
      </c>
      <c r="Y13" s="33"/>
    </row>
    <row r="14" spans="1:25" ht="20.149999999999999" customHeight="1" x14ac:dyDescent="0.9">
      <c r="A14" s="17" t="s">
        <v>59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1"/>
      <c r="M14" s="30"/>
      <c r="N14" s="142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22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38"/>
      <c r="Y16" s="139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30</v>
      </c>
      <c r="V17" s="95"/>
      <c r="W17" s="16" t="str">
        <f>IF(ISNUMBER(SEARCH("roll",O8,1)),"Total Rolls","Total Ctns")</f>
        <v>Total Rolls</v>
      </c>
      <c r="X17" s="138"/>
      <c r="Y17" s="139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38"/>
      <c r="Y18" s="139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2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3" t="s">
        <v>131</v>
      </c>
      <c r="H26" s="143"/>
      <c r="I26" s="143" t="s">
        <v>130</v>
      </c>
      <c r="J26" s="143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183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191</v>
      </c>
      <c r="X27" s="11" t="s">
        <v>192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183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191</v>
      </c>
      <c r="X44" s="11" t="s">
        <v>192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45568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45559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194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185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186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E7DE966-07BA-4B20-A44F-1968E89AA5F8}"/>
</file>

<file path=customXml/itemProps2.xml><?xml version="1.0" encoding="utf-8"?>
<ds:datastoreItem xmlns:ds="http://schemas.openxmlformats.org/officeDocument/2006/customXml" ds:itemID="{B71A04F5-0EE0-4FC3-9131-3FD62FA81394}"/>
</file>

<file path=customXml/itemProps3.xml><?xml version="1.0" encoding="utf-8"?>
<ds:datastoreItem xmlns:ds="http://schemas.openxmlformats.org/officeDocument/2006/customXml" ds:itemID="{B800BC84-44F7-4EDB-83D2-7FE26837B9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2024-09-03T00:41:36Z</cp:lastPrinted>
  <dcterms:created xsi:type="dcterms:W3CDTF">2019-11-27T23:28:06Z</dcterms:created>
  <dcterms:modified xsi:type="dcterms:W3CDTF">2024-09-09T03:31:10Z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