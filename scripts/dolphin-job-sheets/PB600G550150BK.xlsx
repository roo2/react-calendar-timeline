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2EA8A6F-9FFA-4C9D-8E0F-2FC2FC333AB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<sst xmlns="http://schemas.openxmlformats.org/spreadsheetml/2006/main" count="306" uniqueCount="201">
  <si>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</si>
  <si>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</si>
  <si>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</si>
  <si>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</si>
  <si>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</si>
  <si>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</si>
  <si>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</si>
  <si>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</si>
  <si>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</si>
  <si>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</si>
  <si>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</si>
  <si>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</si>
  <si>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</si>
  <si>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</si>
  <si>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</si>
  <si>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</si>
  <si>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</si>
  <si>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</si>
  <si>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</si>
  <si>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</si>
  <si>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</si>
  <si>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</si>
  <si>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</si>
  <si>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</si>
  <si>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</si>
  <si>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</si>
  <si>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</si>
  <si>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</si>
  <si>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</si>
  <si>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</si>
  <si>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</si>
  <si>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</si>
  <si>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</si>
  <si>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</si>
  <si>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</si>
  <si>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</si>
  <si>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</si>
  <si>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</si>
  <si>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</si>
  <si>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</si>
  <si>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</si>
  <si>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</si>
  <si>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</si>
  <si>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</si>
  <si>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</si>
  <si>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</si>
  <si>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</si>
  <si>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</si>
  <si>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</si>
  <si>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</si>
  <si>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</si>
  <si>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</si>
  <si>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</si>
  <si>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</si>
  <si>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</si>
  <si>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</si>
  <si>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</si>
  <si>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</si>
  <si>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</si>
  <si>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</si>
  <si>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</si>
  <si>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</si>
  <si>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</si>
  <si>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</si>
  <si>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</si>
  <si>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</si>
  <si>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</si>
  <si>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</si>
  <si>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</si>
  <si>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</si>
  <si>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</si>
  <si>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</si>
  <si>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</si>
  <si>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</si>
  <si>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</si>
  <si>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</si>
  <si>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</si>
  <si>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</si>
  <si>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</si>
  <si>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</si>
  <si>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</si>
  <si>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</si>
  <si>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</si>
  <si>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</si>
  <si>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</si>
  <si>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</si>
  <si>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</si>
  <si>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</si>
  <si>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</si>
  <si>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</si>
  <si>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</si>
  <si>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</si>
  <si>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</si>
  <si>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</si>
  <si>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</si>
  <si>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</si>
  <si>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</si>
  <si>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</si>
  <si>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</si>
  <si>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</si>
  <si>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</si>
  <si>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</si>
  <si>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</si>
  <si>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</si>
  <si>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</si>
  <si>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</si>
  <si>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</si>
  <si>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</si>
  <si>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</si>
  <si>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</si>
  <si>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</si>
  <si>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</si>
  <si>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</si>
  <si>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</si>
  <si>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</si>
  <si>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</si>
  <si>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</si>
  <si>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</si>
  <si>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</si>
  <si>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</si>
  <si>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</si>
  <si>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</si>
  <si>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</si>
  <si>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</si>
  <si>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</si>
  <si>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</si>
  <si>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</si>
  <si>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</si>
  <si>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</si>
  <si>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</si>
  <si>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</si>
  <si>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</si>
  <si>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</si>
  <si>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</si>
  <si>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</si>
  <si>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</si>
  <si>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</si>
  <si>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</si>
  <si>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</si>
  <si>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</si>
  <si>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</si>
  <si>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</si>
  <si>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</si>
  <si>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</si>
  <si>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</si>
  <si>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</si>
  <si>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</si>
  <si>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</si>
  <si>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</si>
  <si>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</si>
  <si>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</si>
  <si>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</si>
  <si>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</si>
  <si>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</si>
  <si>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</si>
  <si>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</si>
  <si>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</si>
  <si>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</si>
  <si>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</si>
  <si>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</si>
  <si>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</si>
  <si>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</si>
  <si>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</si>
  <si>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</si>
  <si>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</si>
  <si>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</si>
  <si>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</si>
  <si>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</si>
  <si>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</si>
  <si>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</si>
  <si>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</si>
  <si>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</si>
  <si>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</si>
  <si>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</si>
  <si>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</si>
  <si>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</si>
  <si>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</si>
  <si>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</si>
  <si>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</si>
  <si>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</si>
  <si>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</si>
  <si>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</si>
  <si>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</si>
  <si>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</si>
  <si>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</si>
  <si>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</si>
  <si>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</si>
  <si>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</si>
  <si>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</si>
  <si>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</si>
  <si>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</si>
  <si>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</si>
  <si>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</si>
  <si>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</si>
  <si>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</si>
  <si>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LIMAX </t>
  </si>
  <si>
    <t xml:space="preserve">CHILDRENS HEALTH </t>
  </si>
  <si>
    <t>11.06.2022</t>
  </si>
  <si>
    <t>NOT OVER</t>
  </si>
  <si>
    <r>
      <t xml:space="preserve">******NEW ITEM ******  SOLID BLACK - MATERIAL MUST NOT BE SPLITTY -                                        </t>
    </r>
    <r>
      <rPr>
        <b/>
        <sz val="24"/>
        <color rgb="FFFF0000"/>
        <rFont val="Calibri"/>
        <family val="2"/>
        <scheme val="minor"/>
      </rPr>
      <t>LABELS TO READ 150UM</t>
    </r>
  </si>
  <si>
    <t>(400+200)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</si>
</sst>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B12" sqref="AB1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PB600G550140BK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44690</v>
      </c>
      <c r="K1" s="95"/>
      <c r="L1" s="96"/>
      <c r="M1" s="34"/>
      <c r="N1" s="12" t="s">
        <v>56</v>
      </c>
      <c r="O1" s="122" t="str">
        <f>B1</f>
        <v>PB600G550140BK</v>
      </c>
      <c r="P1" s="122"/>
      <c r="Q1" s="123"/>
      <c r="R1" s="12" t="s">
        <v>57</v>
      </c>
      <c r="S1" s="122" t="str">
        <f>F1</f>
        <v xml:space="preserve">CHILDRENS HEALTH </v>
      </c>
      <c r="T1" s="122"/>
      <c r="U1" s="123"/>
      <c r="V1" s="12" t="s">
        <v>181</v>
      </c>
      <c r="W1" s="95">
        <f ca="1">J1</f>
        <v>44690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943174</v>
      </c>
      <c r="G2" s="98"/>
      <c r="H2" s="99"/>
      <c r="I2" s="12" t="s">
        <v>59</v>
      </c>
      <c r="J2" s="97" t="s">
        <v>197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943174</v>
      </c>
      <c r="T2" s="122"/>
      <c r="U2" s="123"/>
      <c r="V2" s="12" t="s">
        <v>59</v>
      </c>
      <c r="W2" s="135" t="str">
        <f>J2</f>
        <v>11.06.2022</v>
      </c>
      <c r="X2" s="122"/>
      <c r="Y2" s="123"/>
    </row>
    <row r="3" spans="1:28" ht="20.100000000000001" customHeight="1" x14ac:dyDescent="0.25">
      <c r="A3" s="124" t="s">
        <v>199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******NEW ITEM ******  SOLID BLACK - MATERIAL MUST NOT BE SPLITTY -                                        LABELS TO READ 150UM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177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5</v>
      </c>
      <c r="P7" s="99"/>
      <c r="Q7" s="12" t="str">
        <f>IF(ISNUMBER(SEARCH("roll",O8,1)),"Per Roll","Per Carton")</f>
        <v>Per Carton</v>
      </c>
      <c r="R7" s="98">
        <v>200</v>
      </c>
      <c r="S7" s="99"/>
      <c r="T7" s="12" t="str">
        <f>IF(ISNUMBER(SEARCH("bag",O8,1)),"Total Bags","Total Sheets")</f>
        <v>Total Bags</v>
      </c>
      <c r="U7" s="122">
        <f>R7*O7</f>
        <v>1000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600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(400+200)</v>
      </c>
      <c r="F8" s="101"/>
      <c r="G8" s="15" t="s">
        <v>52</v>
      </c>
      <c r="H8" s="100">
        <f>(IF(V9&lt;30,"30",V9))</f>
        <v>140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600</v>
      </c>
      <c r="S9" s="20" t="s">
        <v>78</v>
      </c>
      <c r="T9" s="35">
        <v>550</v>
      </c>
      <c r="U9" s="20" t="s">
        <v>78</v>
      </c>
      <c r="V9" s="35">
        <v>140</v>
      </c>
      <c r="W9" s="19"/>
      <c r="X9" s="151" t="s">
        <v>200</v>
      </c>
      <c r="Y9" s="152"/>
    </row>
    <row r="10" spans="1:28" ht="20.100000000000001" customHeight="1" x14ac:dyDescent="0.25">
      <c r="A10" s="12" t="s">
        <v>51</v>
      </c>
      <c r="B10" s="98">
        <v>3</v>
      </c>
      <c r="C10" s="99"/>
      <c r="D10" s="54" t="s">
        <v>134</v>
      </c>
      <c r="E10" s="112">
        <f>IF(ISNUMBER(SEARCH("sheet",O8,1)),((R9*T9*H8/540000)*U7/2000*1.3),((R9*T9*H8/540000)*U7/1000*1.08))</f>
        <v>92.4</v>
      </c>
      <c r="F10" s="113"/>
      <c r="G10" s="12" t="s">
        <v>53</v>
      </c>
      <c r="H10" s="116">
        <f>IF(ISNUMBER(SEARCH("sheet",O8,1)),(U7*T9/2000*1.08),(U7*T9/1000*1.08))</f>
        <v>594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30.8</v>
      </c>
      <c r="F11" s="115"/>
      <c r="G11" s="12" t="s">
        <v>15</v>
      </c>
      <c r="H11" s="114">
        <f>H10/B10</f>
        <v>198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1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169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>BLACK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9"/>
      <c r="E22" s="93">
        <v>4</v>
      </c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195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44721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44711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82ED012-5824-4150-A7D8-35555234AB71}"/>
</file>

<file path=customXml/itemProps2.xml><?xml version="1.0" encoding="utf-8"?>
<ds:datastoreItem xmlns:ds="http://schemas.openxmlformats.org/officeDocument/2006/customXml" ds:itemID="{0B00A189-5E19-4DFE-AA68-C0E40AFD4DEB}"/>
</file>

<file path=customXml/itemProps3.xml><?xml version="1.0" encoding="utf-8"?>
<ds:datastoreItem xmlns:ds="http://schemas.openxmlformats.org/officeDocument/2006/customXml" ds:itemID="{22C93DC8-401A-4441-B5C8-090398944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2022-05-09T02:30:24Z</cp:lastPrinted>
  <dcterms:created xsi:type="dcterms:W3CDTF">2019-11-27T23:28:06Z</dcterms:created>
  <dcterms:modified xsi:type="dcterms:W3CDTF">2022-05-09T03:03:59Z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