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ACD44D6-8A38-48FF-95A9-50595A998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<sst xmlns="http://schemas.openxmlformats.org/spreadsheetml/2006/main" count="305" uniqueCount="201">
  <si>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</si>
  <si>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</si>
  <si>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</si>
  <si>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</si>
  <si>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</si>
  <si>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</si>
  <si>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</si>
  <si>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</si>
  <si>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</si>
  <si>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</si>
  <si>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</si>
  <si>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</si>
  <si>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</si>
  <si>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</si>
  <si>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</si>
  <si>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</si>
  <si>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</si>
  <si>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</si>
  <si>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</si>
  <si>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</si>
  <si>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</si>
  <si>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</si>
  <si>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</si>
  <si>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</si>
  <si>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</si>
  <si>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</si>
  <si>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</si>
  <si>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</si>
  <si>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</si>
  <si>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</si>
  <si>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</si>
  <si>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</si>
  <si>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</si>
  <si>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</si>
  <si>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</si>
  <si>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</si>
  <si>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</si>
  <si>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</si>
  <si>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</si>
  <si>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</si>
  <si>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</si>
  <si>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</si>
  <si>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</si>
  <si>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</si>
  <si>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</si>
  <si>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</si>
  <si>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</si>
  <si>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</si>
  <si>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</si>
  <si>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</si>
  <si>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</si>
  <si>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</si>
  <si>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</si>
  <si>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</si>
  <si>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</si>
  <si>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</si>
  <si>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</si>
  <si>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</si>
  <si>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</si>
  <si>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</si>
  <si>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</si>
  <si>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</si>
  <si>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</si>
  <si>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</si>
  <si>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</si>
  <si>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</si>
  <si>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</si>
  <si>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</si>
  <si>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</si>
  <si>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</si>
  <si>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</si>
  <si>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</si>
  <si>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</si>
  <si>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</si>
  <si>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</si>
  <si>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</si>
  <si>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</si>
  <si>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</si>
  <si>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</si>
  <si>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</si>
  <si>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</si>
  <si>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</si>
  <si>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</si>
  <si>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</si>
  <si>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</si>
  <si>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</si>
  <si>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</si>
  <si>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</si>
  <si>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</si>
  <si>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</si>
  <si>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</si>
  <si>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</si>
  <si>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</si>
  <si>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</si>
  <si>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</si>
  <si>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</si>
  <si>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</si>
  <si>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</si>
  <si>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</si>
  <si>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</si>
  <si>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</si>
  <si>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</si>
  <si>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</si>
  <si>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</si>
  <si>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</si>
  <si>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</si>
  <si>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</si>
  <si>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</si>
  <si>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</si>
  <si>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</si>
  <si>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</si>
  <si>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</si>
  <si>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</si>
  <si>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</si>
  <si>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</si>
  <si>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</si>
  <si>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</si>
  <si>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</si>
  <si>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</si>
  <si>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</si>
  <si>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</si>
  <si>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</si>
  <si>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</si>
  <si>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</si>
  <si>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</si>
  <si>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</si>
  <si>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</si>
  <si>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</si>
  <si>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</si>
  <si>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</si>
  <si>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</si>
  <si>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</si>
  <si>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</si>
  <si>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</si>
  <si>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</si>
  <si>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</si>
  <si>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</si>
  <si>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</si>
  <si>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</si>
  <si>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</si>
  <si>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</si>
  <si>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</si>
  <si>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</si>
  <si>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</si>
  <si>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</si>
  <si>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</si>
  <si>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</si>
  <si>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</si>
  <si>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</si>
  <si>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</si>
  <si>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</si>
  <si>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</si>
  <si>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</si>
  <si>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</si>
  <si>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</si>
  <si>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</si>
  <si>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</si>
  <si>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</si>
  <si>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</si>
  <si>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</si>
  <si>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</si>
  <si>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</si>
  <si>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</si>
  <si>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</si>
  <si>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</si>
  <si>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</si>
  <si>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</si>
  <si>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</si>
  <si>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</si>
  <si>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</si>
  <si>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</si>
  <si>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</si>
  <si>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</si>
  <si>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</si>
  <si>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</si>
  <si>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</si>
  <si>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</si>
  <si>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</si>
  <si>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</si>
  <si>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</si>
  <si>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</si>
  <si>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</si>
  <si>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</si>
  <si>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</si>
  <si>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</si>
  <si>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</si>
  <si>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</si>
  <si>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</si>
  <si>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</si>
  <si>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</si>
  <si>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</si>
  <si>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</si>
  <si>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</si>
  <si>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</si>
  <si>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DEEP DROP COMMERCIAL</t>
  </si>
  <si>
    <t xml:space="preserve"> +/- 5mm</t>
  </si>
  <si>
    <t xml:space="preserve"> +/- 5um</t>
  </si>
  <si>
    <t>GEL PACKS</t>
  </si>
  <si>
    <t>MUST HAVE WATER TIGHT SEALS AND GOOD QUALITY FILM</t>
  </si>
  <si>
    <t xml:space="preserve">ORION 2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</si>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</sst>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2" sqref="E22:F2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PB160300100WH</v>
      </c>
      <c r="C1" s="111"/>
      <c r="D1" s="112"/>
      <c r="E1" s="11" t="s">
        <v>57</v>
      </c>
      <c r="F1" s="87" t="s">
        <v>194</v>
      </c>
      <c r="G1" s="87"/>
      <c r="H1" s="88"/>
      <c r="I1" s="12" t="s">
        <v>181</v>
      </c>
      <c r="J1" s="84">
        <f ca="1">TODAY()</f>
        <v>45698</v>
      </c>
      <c r="K1" s="84"/>
      <c r="L1" s="85"/>
      <c r="M1" s="29"/>
      <c r="N1" s="11" t="s">
        <v>56</v>
      </c>
      <c r="O1" s="111" t="str">
        <f>B1</f>
        <v>PB160300100WH</v>
      </c>
      <c r="P1" s="111"/>
      <c r="Q1" s="112"/>
      <c r="R1" s="11" t="s">
        <v>57</v>
      </c>
      <c r="S1" s="111" t="str">
        <f>F1</f>
        <v>DEEP DROP COMMERCIAL</v>
      </c>
      <c r="T1" s="111"/>
      <c r="U1" s="112"/>
      <c r="V1" s="11" t="s">
        <v>181</v>
      </c>
      <c r="W1" s="84">
        <f ca="1">J1</f>
        <v>45698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>GEL PACKS</v>
      </c>
      <c r="C2" s="111"/>
      <c r="D2" s="112"/>
      <c r="E2" s="11" t="s">
        <v>58</v>
      </c>
      <c r="F2" s="87">
        <v>949037</v>
      </c>
      <c r="G2" s="87"/>
      <c r="H2" s="88"/>
      <c r="I2" s="11" t="s">
        <v>59</v>
      </c>
      <c r="J2" s="86">
        <v>45643</v>
      </c>
      <c r="K2" s="87"/>
      <c r="L2" s="88"/>
      <c r="M2" s="29"/>
      <c r="N2" s="11" t="s">
        <v>100</v>
      </c>
      <c r="O2" s="111" t="str">
        <f>IF(B2="","",B2)</f>
        <v>GEL PACKS</v>
      </c>
      <c r="P2" s="111"/>
      <c r="Q2" s="112"/>
      <c r="R2" s="11" t="s">
        <v>58</v>
      </c>
      <c r="S2" s="111">
        <f>IF(F2="","",F2)</f>
        <v>949037</v>
      </c>
      <c r="T2" s="111"/>
      <c r="U2" s="112"/>
      <c r="V2" s="11" t="s">
        <v>59</v>
      </c>
      <c r="W2" s="122">
        <f>J2</f>
        <v>45643</v>
      </c>
      <c r="X2" s="111"/>
      <c r="Y2" s="112"/>
    </row>
    <row r="3" spans="1:25" ht="20.100000000000001" customHeight="1" x14ac:dyDescent="0.2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WATER TIGHT SEALS AND GOOD QUALITY FILM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155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10</v>
      </c>
      <c r="P7" s="88"/>
      <c r="Q7" s="11" t="str">
        <f>IF(ISNUMBER(SEARCH("roll",O8,1)),"Per Roll","Per Carton")</f>
        <v>Per Carton</v>
      </c>
      <c r="R7" s="87">
        <v>1000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160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196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160</v>
      </c>
      <c r="S9" s="18" t="s">
        <v>78</v>
      </c>
      <c r="T9" s="30">
        <v>300</v>
      </c>
      <c r="U9" s="18" t="s">
        <v>78</v>
      </c>
      <c r="V9" s="30">
        <v>100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7</v>
      </c>
      <c r="C10" s="88"/>
      <c r="D10" s="47" t="s">
        <v>134</v>
      </c>
      <c r="E10" s="101">
        <f>IF(ISNUMBER(SEARCH("sheet",O8,1)),((R9*T9*H8/540000)*U7/2000*1.3),((R9*T9*H8/540000)*U7/1000*1.08))</f>
        <v>96</v>
      </c>
      <c r="F10" s="102"/>
      <c r="G10" s="11" t="s">
        <v>53</v>
      </c>
      <c r="H10" s="105">
        <f>IF(ISNUMBER(SEARCH("sheet",O8,1)),(U7*T9/2000*1.08),(U7*T9/1000*1.08))</f>
        <v>3240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13.714285714285714</v>
      </c>
      <c r="F11" s="104"/>
      <c r="G11" s="11" t="s">
        <v>15</v>
      </c>
      <c r="H11" s="103">
        <f>H10/B10</f>
        <v>462.85714285714283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2"/>
      <c r="Y16" s="83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38"/>
      <c r="J17" s="139"/>
      <c r="K17" s="138"/>
      <c r="L17" s="139"/>
      <c r="M17" s="29"/>
      <c r="N17" s="11" t="s">
        <v>26</v>
      </c>
      <c r="O17" s="87" t="s">
        <v>171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2"/>
      <c r="Y17" s="83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38"/>
      <c r="J18" s="139"/>
      <c r="K18" s="138"/>
      <c r="L18" s="139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2"/>
      <c r="Y18" s="83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38"/>
      <c r="J19" s="139"/>
      <c r="K19" s="138"/>
      <c r="L19" s="139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38"/>
      <c r="J20" s="139"/>
      <c r="K20" s="138"/>
      <c r="L20" s="139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38"/>
      <c r="J21" s="139"/>
      <c r="K21" s="138"/>
      <c r="L21" s="139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WHITE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8"/>
      <c r="E22" s="141" t="s">
        <v>200</v>
      </c>
      <c r="F22" s="83"/>
      <c r="G22" s="48" t="s">
        <v>86</v>
      </c>
      <c r="H22" s="32"/>
      <c r="I22" s="138"/>
      <c r="J22" s="139"/>
      <c r="K22" s="138"/>
      <c r="L22" s="139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138"/>
      <c r="F23" s="139"/>
      <c r="G23" s="48" t="s">
        <v>87</v>
      </c>
      <c r="H23" s="32"/>
      <c r="I23" s="138"/>
      <c r="J23" s="139"/>
      <c r="K23" s="138"/>
      <c r="L23" s="139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138"/>
      <c r="F24" s="139"/>
      <c r="G24" s="48" t="s">
        <v>88</v>
      </c>
      <c r="H24" s="32"/>
      <c r="I24" s="138"/>
      <c r="J24" s="139"/>
      <c r="K24" s="138"/>
      <c r="L24" s="139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199</v>
      </c>
      <c r="P25" s="34">
        <v>7.25</v>
      </c>
      <c r="Q25" s="10">
        <v>16</v>
      </c>
      <c r="R25" s="10"/>
      <c r="S25" s="10"/>
      <c r="T25" s="10"/>
      <c r="U25" s="10"/>
      <c r="V25" s="10"/>
      <c r="W25" s="10">
        <v>200</v>
      </c>
      <c r="X25" s="10">
        <v>200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45726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45719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979EE2D-E0A8-42E3-9E17-5FBCFD6C0205}"/>
</file>

<file path=customXml/itemProps2.xml><?xml version="1.0" encoding="utf-8"?>
<ds:datastoreItem xmlns:ds="http://schemas.openxmlformats.org/officeDocument/2006/customXml" ds:itemID="{E940CBB8-AFAB-4A66-9F29-E437EA86CB89}"/>
</file>

<file path=customXml/itemProps3.xml><?xml version="1.0" encoding="utf-8"?>
<ds:datastoreItem xmlns:ds="http://schemas.openxmlformats.org/officeDocument/2006/customXml" ds:itemID="{6FDD8952-8D00-44E3-A966-3D92532992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2024-11-25T23:57:55Z</cp:lastPrinted>
  <dcterms:created xsi:type="dcterms:W3CDTF">2019-11-27T23:28:06Z</dcterms:created>
  <dcterms:modified xsi:type="dcterms:W3CDTF">2025-02-10T05:24:06Z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