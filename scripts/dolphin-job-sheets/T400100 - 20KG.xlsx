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AC88F37-3DA3-48C8-8ADB-79DF926F54B3}" xr6:coauthVersionLast="47" xr6:coauthVersionMax="47" xr10:uidLastSave="{00000000-0000-0000-0000-000000000000}"/>
  <bookViews>
    <workbookView minimized="1" xWindow="10" yWindow="0" windowWidth="9590" windowHeight="57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<sst xmlns="http://schemas.openxmlformats.org/spreadsheetml/2006/main" count="227" uniqueCount="168">
  <si>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</si>
  <si>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</si>
  <si>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</si>
  <si>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</si>
  <si>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</si>
  <si>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</si>
  <si>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</si>
  <si>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</si>
  <si>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</si>
  <si>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</si>
  <si>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</si>
  <si>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</si>
  <si>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</si>
  <si>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</si>
  <si>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</si>
  <si>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</si>
  <si>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</si>
  <si>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</si>
  <si>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</si>
  <si>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</si>
  <si>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</si>
  <si>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</si>
  <si>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</si>
  <si>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</si>
  <si>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</si>
  <si>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</si>
  <si>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</si>
  <si>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</si>
  <si>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</si>
  <si>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</si>
  <si>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</si>
  <si>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</si>
  <si>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</si>
  <si>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</si>
  <si>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</si>
  <si>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</si>
  <si>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</si>
  <si>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</si>
  <si>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</si>
  <si>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</si>
  <si>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</si>
  <si>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</si>
  <si>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</si>
  <si>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</si>
  <si>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</si>
  <si>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</si>
  <si>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</si>
  <si>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</si>
  <si>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</si>
  <si>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</si>
  <si>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</si>
  <si>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</si>
  <si>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</si>
  <si>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</si>
  <si>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</si>
  <si>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</si>
  <si>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</si>
  <si>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</si>
  <si>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</si>
  <si>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</si>
  <si>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</si>
  <si>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</si>
  <si>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</si>
  <si>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</si>
  <si>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</si>
  <si>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</si>
  <si>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</si>
  <si>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</si>
  <si>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</si>
  <si>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</si>
  <si>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</si>
  <si>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</si>
  <si>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</si>
  <si>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</si>
  <si>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</si>
  <si>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</si>
  <si>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</si>
  <si>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</si>
  <si>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</si>
  <si>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</si>
  <si>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</si>
  <si>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</si>
  <si>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</si>
  <si>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</si>
  <si>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</si>
  <si>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</si>
  <si>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</si>
  <si>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</si>
  <si>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</si>
  <si>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</si>
  <si>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</si>
  <si>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</si>
  <si>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</si>
  <si>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</si>
  <si>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</si>
  <si>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</si>
  <si>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</si>
  <si>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</si>
  <si>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</si>
  <si>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</si>
  <si>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</si>
  <si>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</si>
  <si>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</si>
  <si>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</si>
  <si>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</si>
  <si>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</si>
  <si>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</si>
  <si>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</si>
  <si>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</si>
  <si>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</si>
  <si>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</si>
  <si>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</si>
  <si>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</si>
  <si>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</si>
  <si>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</si>
  <si>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</si>
  <si>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</si>
  <si>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</si>
  <si>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</si>
  <si>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</si>
  <si>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</si>
  <si>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</si>
  <si>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</si>
  <si>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</si>
  <si>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</si>
  <si>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</si>
  <si>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</si>
  <si>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</si>
  <si>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</si>
  <si>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</si>
  <si>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</si>
  <si>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</si>
  <si>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</si>
  <si>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</si>
  <si>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</si>
  <si>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</si>
  <si>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</si>
  <si>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</si>
  <si>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</si>
  <si>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</si>
  <si>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</si>
  <si>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</si>
  <si>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</si>
  <si>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</si>
  <si>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</si>
  <si>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</si>
  <si>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</si>
  <si>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</si>
  <si>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</si>
  <si>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</si>
  <si>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</si>
  <si>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</si>
  <si>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</si>
  <si>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</si>
  <si>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</si>
  <si>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</si>
  <si>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</si>
  <si>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</si>
  <si>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</si>
  <si>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</si>
  <si>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</si>
  <si>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</si>
  <si>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</si>
  <si>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90um</t>
  </si>
  <si>
    <t xml:space="preserve"> +/- 5mm</t>
  </si>
  <si>
    <t>#3</t>
  </si>
  <si>
    <t>ARGUS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</si>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</sst>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11" sqref="E11:F11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T40075</v>
      </c>
      <c r="C1" s="101"/>
      <c r="D1" s="102"/>
      <c r="E1" s="10" t="s">
        <v>55</v>
      </c>
      <c r="F1" s="46" t="s">
        <v>166</v>
      </c>
      <c r="G1" s="46"/>
      <c r="H1" s="47"/>
      <c r="I1" s="10" t="s">
        <v>147</v>
      </c>
      <c r="J1" s="112">
        <f ca="1">TODAY()</f>
        <v>45916</v>
      </c>
      <c r="K1" s="112"/>
      <c r="L1" s="113"/>
    </row>
    <row r="2" spans="1:14" ht="20.149999999999999" customHeight="1" x14ac:dyDescent="0.8">
      <c r="A2" s="10" t="s">
        <v>94</v>
      </c>
      <c r="B2" s="92" t="str">
        <f>IF(B7="Tube",(ROUNDUP(E11,0)&amp;"KG"),(ROUNDUP(H11,0)&amp;"M"))</f>
        <v>25KG</v>
      </c>
      <c r="C2" s="92"/>
      <c r="D2" s="93"/>
      <c r="E2" s="10" t="s">
        <v>56</v>
      </c>
      <c r="F2" s="46">
        <v>948468</v>
      </c>
      <c r="G2" s="46"/>
      <c r="H2" s="47"/>
      <c r="I2" s="10" t="s">
        <v>57</v>
      </c>
      <c r="J2" s="114" t="s">
        <v>161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0" t="s">
        <v>157</v>
      </c>
      <c r="B7" s="46" t="s">
        <v>158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1" t="s">
        <v>14</v>
      </c>
      <c r="B8" s="68">
        <v>400</v>
      </c>
      <c r="C8" s="69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8">
        <v>75</v>
      </c>
      <c r="I8" s="69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2" t="s">
        <v>46</v>
      </c>
      <c r="B9" s="84" t="s">
        <v>164</v>
      </c>
      <c r="C9" s="85"/>
      <c r="D9" s="116" t="str">
        <f>IF(K10="Middle","RUN 2 UP",IF(AND(B7="Cont Centrefold",B8=380),"RUN 2 UP",""))</f>
        <v/>
      </c>
      <c r="E9" s="117"/>
      <c r="F9" s="118"/>
      <c r="G9" s="12" t="s">
        <v>46</v>
      </c>
      <c r="H9" s="84" t="s">
        <v>163</v>
      </c>
      <c r="I9" s="85"/>
      <c r="J9" s="10" t="s">
        <v>53</v>
      </c>
      <c r="K9" s="46" t="s">
        <v>28</v>
      </c>
      <c r="L9" s="47"/>
    </row>
    <row r="10" spans="1:14" ht="20.149999999999999" customHeight="1" x14ac:dyDescent="0.8">
      <c r="A10" s="10" t="s">
        <v>49</v>
      </c>
      <c r="B10" s="46">
        <v>2</v>
      </c>
      <c r="C10" s="47"/>
      <c r="D10" s="35" t="s">
        <v>104</v>
      </c>
      <c r="E10" s="88">
        <f>E11*B10</f>
        <v>50</v>
      </c>
      <c r="F10" s="89"/>
      <c r="G10" s="10" t="s">
        <v>51</v>
      </c>
      <c r="H10" s="92">
        <f>H11*B10</f>
        <v>900</v>
      </c>
      <c r="I10" s="93"/>
      <c r="J10" s="10" t="s">
        <v>39</v>
      </c>
      <c r="K10" s="46" t="s">
        <v>42</v>
      </c>
      <c r="L10" s="47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0">
        <v>25</v>
      </c>
      <c r="F11" s="91"/>
      <c r="G11" s="41" t="s">
        <v>13</v>
      </c>
      <c r="H11" s="94">
        <f>E11*540000/B8/H8</f>
        <v>450</v>
      </c>
      <c r="I11" s="95"/>
      <c r="J11" s="41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49999999999999" customHeight="1" x14ac:dyDescent="0.9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0" t="s">
        <v>71</v>
      </c>
      <c r="B16" s="46" t="s">
        <v>75</v>
      </c>
      <c r="C16" s="46"/>
      <c r="D16" s="47"/>
      <c r="E16" s="10" t="s">
        <v>72</v>
      </c>
      <c r="F16" s="101">
        <f>B10</f>
        <v>2</v>
      </c>
      <c r="G16" s="101"/>
      <c r="H16" s="102"/>
      <c r="I16" s="10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9" t="s">
        <v>76</v>
      </c>
      <c r="H19" s="30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9" t="s">
        <v>77</v>
      </c>
      <c r="H20" s="30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9" t="s">
        <v>78</v>
      </c>
      <c r="H21" s="30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9" t="s">
        <v>79</v>
      </c>
      <c r="H22" s="30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9" t="s">
        <v>80</v>
      </c>
      <c r="H23" s="30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9" t="s">
        <v>81</v>
      </c>
      <c r="H24" s="30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 t="s">
        <v>167</v>
      </c>
      <c r="F25" s="60"/>
      <c r="G25" s="9" t="s">
        <v>82</v>
      </c>
      <c r="H25" s="30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9" t="s">
        <v>103</v>
      </c>
      <c r="H27" s="119"/>
      <c r="I27" s="119" t="s">
        <v>102</v>
      </c>
      <c r="J27" s="119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165</v>
      </c>
      <c r="C28" s="6"/>
      <c r="D28" s="22">
        <v>34.200000000000003</v>
      </c>
      <c r="E28" s="44">
        <v>1.8</v>
      </c>
      <c r="F28" s="6"/>
      <c r="G28" s="115"/>
      <c r="H28" s="115"/>
      <c r="I28" s="115"/>
      <c r="J28" s="11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115"/>
      <c r="H29" s="115"/>
      <c r="I29" s="115"/>
      <c r="J29" s="115"/>
      <c r="K29" s="6"/>
      <c r="L29" s="22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45946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45937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6B3D0B7-AA22-41EE-99CE-196BDE4A9B00}"/>
</file>

<file path=customXml/itemProps2.xml><?xml version="1.0" encoding="utf-8"?>
<ds:datastoreItem xmlns:ds="http://schemas.openxmlformats.org/officeDocument/2006/customXml" ds:itemID="{69014D75-0D95-480C-94EE-3A58910AF1C0}"/>
</file>

<file path=customXml/itemProps3.xml><?xml version="1.0" encoding="utf-8"?>
<ds:datastoreItem xmlns:ds="http://schemas.openxmlformats.org/officeDocument/2006/customXml" ds:itemID="{8D0974D2-9BF2-42FB-A6D9-A57CEDA6E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2024-09-12T04:03:33Z</cp:lastPrinted>
  <dcterms:created xsi:type="dcterms:W3CDTF">2019-11-27T23:28:06Z</dcterms:created>
  <dcterms:modified xsi:type="dcterms:W3CDTF">2025-09-19T00:06:00Z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