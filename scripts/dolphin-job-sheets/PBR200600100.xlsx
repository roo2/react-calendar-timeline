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0CE71A9-4DB5-47D5-BDEE-0A4F8BE2F3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7" i="1" l="1"/>
  <c r="W17" i="1"/>
  <c r="W16" i="1"/>
  <c r="N7" i="1"/>
  <c r="Q7" i="1"/>
  <c r="T7" i="1"/>
  <c r="O9" i="1"/>
  <c r="N3" i="1" l="1"/>
  <c r="D8" i="1" l="1"/>
  <c r="E8" i="1"/>
  <c r="W8" i="1"/>
  <c r="X8" i="1" s="1"/>
  <c r="K8" i="1" l="1"/>
  <c r="A11" i="1" l="1"/>
  <c r="W2" i="1" l="1"/>
  <c r="U13" i="1" l="1"/>
  <c r="O11" i="1" l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<sst xmlns="http://schemas.openxmlformats.org/spreadsheetml/2006/main" count="300" uniqueCount="199">
  <si>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</si>
  <si>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</si>
  <si>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</si>
  <si>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</si>
  <si>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</si>
  <si>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</si>
  <si>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</si>
  <si>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</si>
  <si>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</si>
  <si>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</si>
  <si>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</si>
  <si>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</si>
  <si>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</si>
  <si>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</si>
  <si>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</si>
  <si>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</si>
  <si>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</si>
  <si>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</si>
  <si>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</si>
  <si>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</si>
  <si>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</si>
  <si>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</si>
  <si>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</si>
  <si>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</si>
  <si>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</si>
  <si>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</si>
  <si>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</si>
  <si>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</si>
  <si>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</si>
  <si>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</si>
  <si>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</si>
  <si>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</si>
  <si>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</si>
  <si>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</si>
  <si>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</si>
  <si>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</si>
  <si>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</si>
  <si>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</si>
  <si>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</si>
  <si>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</si>
  <si>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</si>
  <si>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</si>
  <si>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</si>
  <si>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</si>
  <si>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</si>
  <si>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</si>
  <si>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</si>
  <si>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</si>
  <si>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</si>
  <si>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</si>
  <si>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</si>
  <si>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</si>
  <si>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</si>
  <si>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</si>
  <si>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</si>
  <si>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</si>
  <si>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</si>
  <si>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</si>
  <si>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</si>
  <si>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</si>
  <si>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</si>
  <si>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</si>
  <si>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</si>
  <si>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</si>
  <si>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</si>
  <si>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</si>
  <si>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</si>
  <si>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</si>
  <si>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</si>
  <si>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</si>
  <si>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</si>
  <si>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</si>
  <si>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</si>
  <si>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</si>
  <si>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</si>
  <si>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</si>
  <si>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</si>
  <si>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</si>
  <si>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</si>
  <si>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</si>
  <si>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</si>
  <si>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</si>
  <si>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</si>
  <si>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</si>
  <si>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</si>
  <si>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</si>
  <si>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</si>
  <si>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</si>
  <si>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</si>
  <si>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</si>
  <si>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</si>
  <si>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</si>
  <si>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</si>
  <si>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</si>
  <si>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</si>
  <si>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</si>
  <si>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</si>
  <si>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</si>
  <si>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</si>
  <si>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</si>
  <si>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</si>
  <si>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</si>
  <si>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</si>
  <si>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</si>
  <si>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</si>
  <si>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</si>
  <si>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</si>
  <si>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</si>
  <si>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</si>
  <si>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</si>
  <si>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</si>
  <si>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</si>
  <si>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</si>
  <si>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</si>
  <si>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</si>
  <si>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</si>
  <si>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</si>
  <si>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</si>
  <si>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</si>
  <si>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</si>
  <si>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</si>
  <si>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</si>
  <si>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</si>
  <si>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</si>
  <si>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</si>
  <si>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</si>
  <si>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</si>
  <si>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</si>
  <si>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</si>
  <si>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</si>
  <si>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</si>
  <si>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</si>
  <si>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</si>
  <si>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</si>
  <si>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</si>
  <si>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</si>
  <si>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</si>
  <si>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</si>
  <si>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</si>
  <si>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</si>
  <si>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</si>
  <si>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</si>
  <si>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</si>
  <si>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</si>
  <si>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</si>
  <si>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</si>
  <si>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</si>
  <si>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</si>
  <si>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</si>
  <si>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</si>
  <si>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</si>
  <si>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</si>
  <si>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</si>
  <si>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</si>
  <si>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</si>
  <si>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</si>
  <si>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</si>
  <si>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</si>
  <si>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</si>
  <si>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</si>
  <si>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</si>
  <si>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</si>
  <si>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</si>
  <si>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</si>
  <si>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</si>
  <si>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</si>
  <si>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</si>
  <si>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</si>
  <si>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</si>
  <si>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</si>
  <si>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</si>
  <si>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</si>
  <si>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</si>
  <si>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</si>
  <si>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</si>
  <si>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</si>
  <si>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</si>
  <si>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</si>
  <si>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</si>
  <si>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</si>
  <si>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</si>
  <si>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</si>
  <si>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</si>
  <si>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</si>
  <si>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</si>
  <si>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</si>
  <si>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</si>
  <si>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</si>
  <si>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</si>
  <si>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</si>
  <si>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</si>
  <si>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</si>
  <si>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</si>
  <si>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</si>
  <si>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Tube</t>
  </si>
  <si>
    <t>PRO-PAC</t>
  </si>
  <si>
    <t xml:space="preserve"> +/- 5mm</t>
  </si>
  <si>
    <t>RUN AT 95um</t>
  </si>
  <si>
    <t>NEW ITEM - PERF 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</si>
</sst>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PBR200600100</v>
      </c>
      <c r="C1" s="125"/>
      <c r="D1" s="126"/>
      <c r="E1" s="18" t="s">
        <v>56</v>
      </c>
      <c r="F1" s="149" t="s">
        <v>195</v>
      </c>
      <c r="G1" s="149"/>
      <c r="H1" s="150"/>
      <c r="I1" s="18" t="s">
        <v>180</v>
      </c>
      <c r="J1" s="146">
        <f ca="1">TODAY()</f>
        <v>44070</v>
      </c>
      <c r="K1" s="146"/>
      <c r="L1" s="147"/>
      <c r="M1" s="35"/>
      <c r="N1" s="18" t="s">
        <v>55</v>
      </c>
      <c r="O1" s="125" t="str">
        <f>B1</f>
        <v>PBR200600100</v>
      </c>
      <c r="P1" s="125"/>
      <c r="Q1" s="126"/>
      <c r="R1" s="18" t="s">
        <v>56</v>
      </c>
      <c r="S1" s="125" t="str">
        <f>F1</f>
        <v>PRO-PAC</v>
      </c>
      <c r="T1" s="125"/>
      <c r="U1" s="126"/>
      <c r="V1" s="18" t="s">
        <v>180</v>
      </c>
      <c r="W1" s="146">
        <f ca="1">J1</f>
        <v>44070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938243</v>
      </c>
      <c r="G2" s="104"/>
      <c r="H2" s="105"/>
      <c r="I2" s="18" t="s">
        <v>58</v>
      </c>
      <c r="J2" s="103">
        <v>44101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938243</v>
      </c>
      <c r="T2" s="125"/>
      <c r="U2" s="126"/>
      <c r="V2" s="18" t="s">
        <v>58</v>
      </c>
      <c r="W2" s="148">
        <f>J2</f>
        <v>44101</v>
      </c>
      <c r="X2" s="125"/>
      <c r="Y2" s="126"/>
    </row>
    <row r="3" spans="1:25" ht="20.100000000000001" customHeight="1" x14ac:dyDescent="0.25">
      <c r="A3" s="155" t="s">
        <v>198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7"/>
      <c r="M3" s="35"/>
      <c r="N3" s="137" t="str">
        <f>A3</f>
        <v>NEW ITEM -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58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60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61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3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IF(ISNUMBER(SEARCH("Tube",O8,1)),"No. Rolls",IF(ISNUMBER(SEARCH("roll",O8,1)),"No. Rolls","No. Cartons"))</f>
        <v>No. Rolls</v>
      </c>
      <c r="O7" s="104">
        <v>5</v>
      </c>
      <c r="P7" s="105"/>
      <c r="Q7" s="18" t="str">
        <f>IF(ISNUMBER(SEARCH("Tube",O8,1)),"Per Roll",IF(ISNUMBER(SEARCH("roll",O8,1)),"Per Roll","Per Carton"))</f>
        <v>Per Roll</v>
      </c>
      <c r="R7" s="104">
        <v>500</v>
      </c>
      <c r="S7" s="105"/>
      <c r="T7" s="18" t="str">
        <f>IF(ISNUMBER(SEARCH("Tube",O8,1)),"Total Tube",IF(ISNUMBER(SEARCH("bag",O8,1)),"Total Bags","Total Sheets"))</f>
        <v>Total Bags</v>
      </c>
      <c r="U7" s="125">
        <f>R7*O7</f>
        <v>2500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200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196</v>
      </c>
      <c r="C9" s="124"/>
      <c r="D9" s="167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Roll","SR",IF(O8="TUBE","T",))))))</f>
        <v>PBR</v>
      </c>
      <c r="P9" s="134"/>
      <c r="Q9" s="24"/>
      <c r="R9" s="36">
        <v>200</v>
      </c>
      <c r="S9" s="25"/>
      <c r="T9" s="36">
        <v>600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5</v>
      </c>
      <c r="C10" s="105"/>
      <c r="D10" s="56" t="s">
        <v>133</v>
      </c>
      <c r="E10" s="127">
        <f>IF(ISNUMBER(SEARCH("sheet",O8,1)),((R9*T9*H8/540000)*U7/2000*1.3),((R9*T9*H8/540000)*U7/1000*1.08))</f>
        <v>60.000000000000007</v>
      </c>
      <c r="F10" s="128"/>
      <c r="G10" s="18" t="s">
        <v>52</v>
      </c>
      <c r="H10" s="131">
        <f>IF(ISNUMBER(SEARCH("sheet",O8,1)),(U7*T9/2000*1.08),(U7*T9/1000*1.08))</f>
        <v>1620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12.000000000000002</v>
      </c>
      <c r="F11" s="130"/>
      <c r="G11" s="18" t="s">
        <v>14</v>
      </c>
      <c r="H11" s="129">
        <f>H10/B10</f>
        <v>324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64" t="s">
        <v>70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6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73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22</v>
      </c>
      <c r="V16" s="105"/>
      <c r="W16" s="18" t="str">
        <f>IF(ISNUMBER(SEARCH("Tube",O8,1)),"Total Tube",IF(ISNUMBER(SEARCH("bag",O8,1)),"Total Bags","Total Sheets"))</f>
        <v>Total Bags</v>
      </c>
      <c r="X16" s="168"/>
      <c r="Y16" s="169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IF(ISNUMBER(SEARCH("Tube",O8,1)),"Part Rolls",IF(ISNUMBER(SEARCH("roll",O8,1)),"Part Rolls","Part Ctns"))</f>
        <v>Part Rolls</v>
      </c>
      <c r="U17" s="104" t="s">
        <v>22</v>
      </c>
      <c r="V17" s="105"/>
      <c r="W17" s="18" t="str">
        <f>IF(ISNUMBER(SEARCH("Tube",O8,1)),"No. Rolls",IF(ISNUMBER(SEARCH("roll",O8,1)),"Total Rolls","Total Ctns"))</f>
        <v>Total Rolls</v>
      </c>
      <c r="X17" s="168"/>
      <c r="Y17" s="169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68"/>
      <c r="Y18" s="169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73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74" t="s">
        <v>131</v>
      </c>
      <c r="H26" s="174"/>
      <c r="I26" s="174" t="s">
        <v>130</v>
      </c>
      <c r="J26" s="174"/>
      <c r="K26" s="12" t="s">
        <v>93</v>
      </c>
      <c r="L26" s="12" t="s">
        <v>94</v>
      </c>
      <c r="M26" s="35"/>
      <c r="N26" s="170" t="s">
        <v>136</v>
      </c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2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3" sqref="N2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44101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44091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3" t="s">
        <v>194</v>
      </c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8"/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4" t="s">
        <v>140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188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 t="s">
        <v>139</v>
      </c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8"/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5" t="s">
        <v>27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 t="s">
        <v>167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110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130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150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>
        <v>180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169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5" t="s">
        <v>37</v>
      </c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5" t="s">
        <v>25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34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36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 t="s">
        <v>170</v>
      </c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5"/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5" t="s">
        <v>100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37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31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171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5" t="s">
        <v>185</v>
      </c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4" t="s">
        <v>172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30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3" t="s">
        <v>22</v>
      </c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 t="s">
        <v>26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35</v>
      </c>
    </row>
    <row r="59" spans="1:20" x14ac:dyDescent="0.25">
      <c r="A59" s="67" t="s">
        <v>147</v>
      </c>
      <c r="N59" s="63" t="s">
        <v>32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3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8A86646-4EB8-4F14-876F-90EB909CFF50}"/>
</file>

<file path=customXml/itemProps2.xml><?xml version="1.0" encoding="utf-8"?>
<ds:datastoreItem xmlns:ds="http://schemas.openxmlformats.org/officeDocument/2006/customXml" ds:itemID="{E6925244-2A7D-4FF7-AC27-9ED31F4984E4}"/>
</file>

<file path=customXml/itemProps3.xml><?xml version="1.0" encoding="utf-8"?>
<ds:datastoreItem xmlns:ds="http://schemas.openxmlformats.org/officeDocument/2006/customXml" ds:itemID="{0140BEBD-69BF-4903-A53F-4D1533FC5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2020-07-15T00:30:48Z</cp:lastPrinted>
  <dcterms:created xsi:type="dcterms:W3CDTF">2019-11-27T23:28:06Z</dcterms:created>
  <dcterms:modified xsi:type="dcterms:W3CDTF">2020-08-27T05:07:54Z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