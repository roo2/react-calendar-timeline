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rownpack.sharepoint.com/sites/CrownpackShared/Shared Documents/Dolphin Plastics/F Drive Export/EXCELL WORK SHEETS/NEW PRODUCTION SHEETS 2020/"/>
    </mc:Choice>
  </mc:AlternateContent>
  <xr:revisionPtr revIDLastSave="3" documentId="13_ncr:1_{246A3C54-0CD7-4574-99B0-1D432A50F255}" xr6:coauthVersionLast="47" xr6:coauthVersionMax="47" xr10:uidLastSave="{9CD56516-EA48-4B20-AED4-A8BE74E69042}"/>
  <bookViews>
    <workbookView xWindow="28680" yWindow="-120" windowWidth="29040" windowHeight="1572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H10" i="1" l="1"/>
  <c r="U13" i="1" l="1"/>
  <c r="H11" i="1"/>
  <c r="H8" i="1"/>
  <c r="E10" i="1" s="1"/>
  <c r="E11" i="1" l="1"/>
  <c r="B8" i="1"/>
  <c r="D9" i="1" s="1"/>
  <c r="B11" i="1" s="1"/>
  <c r="S2" i="1"/>
  <c r="O2" i="1"/>
  <c r="C22" i="1" l="1"/>
  <c r="B1" i="1" s="1"/>
  <c r="J1" i="1" l="1"/>
  <c r="A4" i="2" s="1"/>
  <c r="A5" i="2" l="1"/>
  <c r="W1" i="1"/>
  <c r="S1" i="1" l="1"/>
  <c r="O1" i="1" l="1"/>
</calcChain>
</file>

<file path=xl/sharedStrings.xml><?xml version="1.0" encoding="utf-8"?>
<sst xmlns="http://schemas.openxmlformats.org/spreadsheetml/2006/main" count="311" uniqueCount="205">
  <si>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</si>
  <si>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</si>
  <si>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</si>
  <si>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</si>
  <si>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</si>
  <si>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</si>
  <si>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</si>
  <si>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</si>
  <si>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</si>
  <si>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</si>
  <si>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</si>
  <si>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</si>
  <si>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</si>
  <si>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</si>
  <si>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</si>
  <si>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</si>
  <si>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</si>
  <si>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</si>
  <si>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</si>
  <si>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</si>
  <si>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</si>
  <si>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</si>
  <si>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</si>
  <si>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</si>
  <si>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</si>
  <si>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</si>
  <si>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</si>
  <si>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</si>
  <si>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</si>
  <si>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</si>
  <si>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</si>
  <si>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</si>
  <si>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</si>
  <si>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</si>
  <si>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</si>
  <si>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</si>
  <si>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</si>
  <si>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</si>
  <si>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</si>
  <si>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</si>
  <si>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</si>
  <si>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</si>
  <si>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</si>
  <si>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</si>
  <si>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</si>
  <si>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</si>
  <si>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</si>
  <si>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</si>
  <si>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</si>
  <si>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</si>
  <si>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</si>
  <si>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</si>
  <si>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</si>
  <si>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</si>
  <si>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</si>
  <si>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</si>
  <si>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</si>
  <si>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</si>
  <si>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</si>
  <si>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</si>
  <si>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</si>
  <si>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</si>
  <si>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</si>
  <si>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</si>
  <si>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</si>
  <si>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</si>
  <si>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</si>
  <si>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</si>
  <si>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</si>
  <si>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</si>
  <si>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</si>
  <si>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</si>
  <si>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</si>
  <si>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</si>
  <si>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</si>
  <si>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</si>
  <si>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</si>
  <si>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</si>
  <si>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</si>
  <si>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</si>
  <si>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</si>
  <si>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</si>
  <si>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</si>
  <si>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</si>
  <si>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</si>
  <si>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</si>
  <si>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</si>
  <si>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</si>
  <si>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</si>
  <si>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</si>
  <si>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</si>
  <si>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</si>
  <si>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</si>
  <si>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</si>
  <si>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</si>
  <si>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</si>
  <si>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</si>
  <si>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</si>
  <si>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</si>
  <si>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</si>
  <si>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</si>
  <si>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</si>
  <si>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</si>
  <si>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</si>
  <si>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</si>
  <si>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</si>
  <si>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</si>
  <si>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</si>
  <si>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</si>
  <si>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</si>
  <si>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</si>
  <si>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</si>
  <si>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</si>
  <si>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</si>
  <si>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</si>
  <si>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</si>
  <si>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</si>
  <si>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</si>
  <si>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</si>
  <si>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</si>
  <si>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</si>
  <si>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</si>
  <si>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</si>
  <si>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</si>
  <si>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</si>
  <si>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</si>
  <si>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</si>
  <si>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</si>
  <si>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</si>
  <si>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</si>
  <si>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</si>
  <si>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</si>
  <si>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</si>
  <si>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</si>
  <si>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</si>
  <si>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</si>
  <si>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</si>
  <si>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</si>
  <si>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</si>
  <si>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</si>
  <si>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</si>
  <si>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</si>
  <si>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</si>
  <si>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</si>
  <si>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</si>
  <si>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</si>
  <si>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</si>
  <si>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</si>
  <si>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</si>
  <si>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</si>
  <si>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</si>
  <si>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</si>
  <si>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</si>
  <si>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</si>
  <si>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</si>
  <si>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</si>
  <si>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</si>
  <si>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</si>
  <si>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</si>
  <si>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</si>
  <si>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</si>
  <si>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</si>
  <si>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</si>
  <si>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</si>
  <si>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</si>
  <si>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</si>
  <si>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</si>
  <si>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</si>
  <si>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</si>
  <si>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</si>
  <si>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</si>
  <si>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</si>
  <si>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</si>
  <si>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</si>
  <si>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</si>
  <si>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</si>
  <si>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</si>
  <si>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</si>
  <si>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</si>
  <si>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</si>
  <si>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</si>
  <si>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</si>
  <si>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</si>
  <si>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</si>
  <si>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</si>
  <si>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</si>
  <si>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</si>
  <si>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</si>
  <si>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</si>
  <si>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</si>
  <si>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</si>
  <si>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</si>
  <si>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</si>
  <si>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</si>
  <si>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>DAYWALK LOGO</t>
  </si>
  <si>
    <t>UV</t>
  </si>
  <si>
    <t xml:space="preserve"> +/- 10mm</t>
  </si>
  <si>
    <t xml:space="preserve"> +/- 10um</t>
  </si>
  <si>
    <t xml:space="preserve">DAY WALK </t>
  </si>
  <si>
    <t xml:space="preserve">LIMAX </t>
  </si>
  <si>
    <t>USE DAYWALK PALLET - MUST HAVE UV</t>
  </si>
  <si>
    <t>%</t>
  </si>
  <si>
    <t>ANTIBLOCK</t>
  </si>
  <si>
    <t>#55</t>
  </si>
  <si>
    <t>12-BUV3032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</si>
</sst>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0"/>
      <name val="Calibri"/>
      <family val="2"/>
      <scheme val="minor"/>
    </font>
    <font>
      <b/>
      <sz val="16"/>
      <color rgb="FF7030A0"/>
      <name val="Calibri"/>
      <family val="2"/>
      <scheme val="minor"/>
    </font>
    <font>
      <b/>
      <sz val="18"/>
      <color rgb="FF7030A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68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left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7" fillId="0" borderId="7" xfId="2" applyFont="1" applyBorder="1" applyAlignment="1" applyProtection="1">
      <alignment horizontal="left" vertical="top"/>
      <protection locked="0"/>
    </xf>
    <xf numFmtId="0" fontId="17" fillId="0" borderId="3" xfId="2" applyFont="1" applyBorder="1" applyAlignment="1" applyProtection="1">
      <alignment horizontal="left" vertical="top"/>
      <protection locked="0"/>
    </xf>
    <xf numFmtId="0" fontId="17" fillId="0" borderId="8" xfId="2" applyFont="1" applyBorder="1" applyAlignment="1" applyProtection="1">
      <alignment horizontal="left" vertical="top"/>
      <protection locked="0"/>
    </xf>
    <xf numFmtId="0" fontId="17" fillId="0" borderId="9" xfId="2" applyFont="1" applyBorder="1" applyAlignment="1" applyProtection="1">
      <alignment horizontal="left" vertical="top"/>
      <protection locked="0"/>
    </xf>
    <xf numFmtId="0" fontId="17" fillId="0" borderId="0" xfId="2" applyFont="1" applyBorder="1" applyAlignment="1" applyProtection="1">
      <alignment horizontal="left" vertical="top"/>
      <protection locked="0"/>
    </xf>
    <xf numFmtId="0" fontId="17" fillId="0" borderId="10" xfId="2" applyFont="1" applyBorder="1" applyAlignment="1" applyProtection="1">
      <alignment horizontal="left" vertical="top"/>
      <protection locked="0"/>
    </xf>
    <xf numFmtId="0" fontId="17" fillId="0" borderId="11" xfId="2" applyFont="1" applyBorder="1" applyAlignment="1" applyProtection="1">
      <alignment horizontal="left" vertical="top"/>
      <protection locked="0"/>
    </xf>
    <xf numFmtId="0" fontId="17" fillId="0" borderId="1" xfId="2" applyFont="1" applyBorder="1" applyAlignment="1" applyProtection="1">
      <alignment horizontal="left" vertical="top"/>
      <protection locked="0"/>
    </xf>
    <xf numFmtId="0" fontId="17" fillId="0" borderId="12" xfId="2" applyFont="1" applyBorder="1" applyAlignment="1" applyProtection="1">
      <alignment horizontal="left" vertical="top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10" fontId="20" fillId="5" borderId="4" xfId="0" applyNumberFormat="1" applyFont="1" applyFill="1" applyBorder="1" applyAlignment="1" applyProtection="1">
      <alignment horizontal="center"/>
      <protection locked="0"/>
    </xf>
    <xf numFmtId="0" fontId="20" fillId="5" borderId="5" xfId="0" applyFont="1" applyFill="1" applyBorder="1" applyAlignment="1" applyProtection="1">
      <alignment horizontal="center"/>
      <protection locked="0"/>
    </xf>
    <xf numFmtId="0" fontId="9" fillId="0" borderId="4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20" fillId="5" borderId="2" xfId="0" applyFont="1" applyFill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9" fillId="8" borderId="3" xfId="0" applyFont="1" applyFill="1" applyBorder="1" applyAlignment="1" applyProtection="1">
      <alignment horizontal="center" vertical="center"/>
      <protection locked="0"/>
    </xf>
    <xf numFmtId="0" fontId="19" fillId="8" borderId="8" xfId="0" applyFont="1" applyFill="1" applyBorder="1" applyAlignment="1" applyProtection="1">
      <alignment horizontal="center" vertical="center"/>
      <protection locked="0"/>
    </xf>
    <xf numFmtId="0" fontId="19" fillId="8" borderId="1" xfId="0" applyFont="1" applyFill="1" applyBorder="1" applyAlignment="1" applyProtection="1">
      <alignment horizontal="center" vertical="center"/>
      <protection locked="0"/>
    </xf>
    <xf numFmtId="0" fontId="19" fillId="8" borderId="12" xfId="0" applyFont="1" applyFill="1" applyBorder="1" applyAlignment="1" applyProtection="1">
      <alignment horizontal="center" vertical="center"/>
      <protection locked="0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8" fillId="8" borderId="2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/>
    </xf>
    <xf numFmtId="0" fontId="21" fillId="5" borderId="7" xfId="0" applyFont="1" applyFill="1" applyBorder="1" applyAlignment="1" applyProtection="1">
      <alignment horizontal="center" vertical="center" wrapText="1"/>
      <protection locked="0"/>
    </xf>
    <xf numFmtId="0" fontId="21" fillId="5" borderId="3" xfId="0" applyFont="1" applyFill="1" applyBorder="1" applyAlignment="1" applyProtection="1">
      <alignment horizontal="center" vertical="center" wrapText="1"/>
      <protection locked="0"/>
    </xf>
    <xf numFmtId="0" fontId="21" fillId="5" borderId="8" xfId="0" applyFont="1" applyFill="1" applyBorder="1" applyAlignment="1" applyProtection="1">
      <alignment horizontal="center" vertical="center" wrapText="1"/>
      <protection locked="0"/>
    </xf>
    <xf numFmtId="0" fontId="21" fillId="5" borderId="9" xfId="0" applyFont="1" applyFill="1" applyBorder="1" applyAlignment="1" applyProtection="1">
      <alignment horizontal="center" vertical="center" wrapText="1"/>
      <protection locked="0"/>
    </xf>
    <xf numFmtId="0" fontId="21" fillId="5" borderId="0" xfId="0" applyFont="1" applyFill="1" applyAlignment="1" applyProtection="1">
      <alignment horizontal="center" vertical="center" wrapText="1"/>
      <protection locked="0"/>
    </xf>
    <xf numFmtId="0" fontId="21" fillId="5" borderId="10" xfId="0" applyFont="1" applyFill="1" applyBorder="1" applyAlignment="1" applyProtection="1">
      <alignment horizontal="center" vertical="center" wrapText="1"/>
      <protection locked="0"/>
    </xf>
    <xf numFmtId="0" fontId="21" fillId="5" borderId="11" xfId="0" applyFont="1" applyFill="1" applyBorder="1" applyAlignment="1" applyProtection="1">
      <alignment horizontal="center" vertical="center" wrapText="1"/>
      <protection locked="0"/>
    </xf>
    <xf numFmtId="0" fontId="21" fillId="5" borderId="1" xfId="0" applyFont="1" applyFill="1" applyBorder="1" applyAlignment="1" applyProtection="1">
      <alignment horizontal="center" vertical="center" wrapText="1"/>
      <protection locked="0"/>
    </xf>
    <xf numFmtId="0" fontId="21" fillId="5" borderId="12" xfId="0" applyFont="1" applyFill="1" applyBorder="1" applyAlignment="1" applyProtection="1">
      <alignment horizontal="center" vertical="center" wrapText="1"/>
      <protection locked="0"/>
    </xf>
    <xf numFmtId="9" fontId="10" fillId="0" borderId="2" xfId="0" applyNumberFormat="1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0" fillId="5" borderId="6" xfId="0" applyFont="1" applyFill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20" fillId="5" borderId="4" xfId="0" applyFont="1" applyFill="1" applyBorder="1" applyAlignment="1">
      <alignment horizontal="center"/>
    </xf>
    <xf numFmtId="0" fontId="20" fillId="5" borderId="5" xfId="0" applyFont="1" applyFill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U8" sqref="U8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PB7508001000UVP</v>
      </c>
      <c r="C1" s="110"/>
      <c r="D1" s="111"/>
      <c r="E1" s="10" t="s">
        <v>57</v>
      </c>
      <c r="F1" s="123" t="s">
        <v>198</v>
      </c>
      <c r="G1" s="62"/>
      <c r="H1" s="63"/>
      <c r="I1" s="11" t="s">
        <v>181</v>
      </c>
      <c r="J1" s="135">
        <f ca="1">TODAY()</f>
        <v>46132</v>
      </c>
      <c r="K1" s="135"/>
      <c r="L1" s="136"/>
      <c r="M1" s="28"/>
      <c r="N1" s="10" t="s">
        <v>56</v>
      </c>
      <c r="O1" s="110" t="str">
        <f>B1</f>
        <v>PB7508001000UVP</v>
      </c>
      <c r="P1" s="110"/>
      <c r="Q1" s="111"/>
      <c r="R1" s="10" t="s">
        <v>57</v>
      </c>
      <c r="S1" s="110" t="str">
        <f>F1</f>
        <v xml:space="preserve">DAY WALK </v>
      </c>
      <c r="T1" s="110"/>
      <c r="U1" s="111"/>
      <c r="V1" s="10" t="s">
        <v>181</v>
      </c>
      <c r="W1" s="135">
        <f ca="1">J1</f>
        <v>46132</v>
      </c>
      <c r="X1" s="135"/>
      <c r="Y1" s="136"/>
    </row>
    <row r="2" spans="1:25" ht="20.100000000000001" customHeight="1" x14ac:dyDescent="0.35">
      <c r="A2" s="10" t="s">
        <v>100</v>
      </c>
      <c r="B2" s="112" t="str">
        <f>IF(U10="","",U10)</f>
        <v>12-BUV3032</v>
      </c>
      <c r="C2" s="112"/>
      <c r="D2" s="113"/>
      <c r="E2" s="10" t="s">
        <v>58</v>
      </c>
      <c r="F2" s="62">
        <v>951583</v>
      </c>
      <c r="G2" s="62"/>
      <c r="H2" s="63"/>
      <c r="I2" s="10" t="s">
        <v>59</v>
      </c>
      <c r="J2" s="138" t="s">
        <v>192</v>
      </c>
      <c r="K2" s="62"/>
      <c r="L2" s="63"/>
      <c r="M2" s="28"/>
      <c r="N2" s="10" t="s">
        <v>100</v>
      </c>
      <c r="O2" s="110" t="str">
        <f>IF(B2="","",B2)</f>
        <v>12-BUV3032</v>
      </c>
      <c r="P2" s="110"/>
      <c r="Q2" s="111"/>
      <c r="R2" s="10" t="s">
        <v>58</v>
      </c>
      <c r="S2" s="110">
        <f>IF(F2="","",F2)</f>
        <v>951583</v>
      </c>
      <c r="T2" s="110"/>
      <c r="U2" s="111"/>
      <c r="V2" s="10" t="s">
        <v>59</v>
      </c>
      <c r="W2" s="137" t="str">
        <f>J2</f>
        <v>ASAP</v>
      </c>
      <c r="X2" s="110"/>
      <c r="Y2" s="111"/>
    </row>
    <row r="3" spans="1:25" ht="20.100000000000001" customHeight="1" x14ac:dyDescent="0.25">
      <c r="A3" s="114" t="s">
        <v>200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28"/>
      <c r="N3" s="126" t="str">
        <f>A3</f>
        <v>USE DAYWALK PALLET - MUST HAVE UV</v>
      </c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8"/>
    </row>
    <row r="4" spans="1:25" ht="20.100000000000001" customHeight="1" x14ac:dyDescent="0.2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28"/>
      <c r="N4" s="129"/>
      <c r="O4" s="130"/>
      <c r="P4" s="130"/>
      <c r="Q4" s="130"/>
      <c r="R4" s="130"/>
      <c r="S4" s="130"/>
      <c r="T4" s="130"/>
      <c r="U4" s="130"/>
      <c r="V4" s="130"/>
      <c r="W4" s="130"/>
      <c r="X4" s="130"/>
      <c r="Y4" s="131"/>
    </row>
    <row r="5" spans="1:25" ht="20.100000000000001" customHeight="1" x14ac:dyDescent="0.2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28"/>
      <c r="N5" s="132"/>
      <c r="O5" s="133"/>
      <c r="P5" s="133"/>
      <c r="Q5" s="133"/>
      <c r="R5" s="133"/>
      <c r="S5" s="133"/>
      <c r="T5" s="133"/>
      <c r="U5" s="133"/>
      <c r="V5" s="133"/>
      <c r="W5" s="133"/>
      <c r="X5" s="133"/>
      <c r="Y5" s="134"/>
    </row>
    <row r="6" spans="1:25" ht="20.100000000000001" customHeight="1" x14ac:dyDescent="0.25">
      <c r="A6" s="141" t="s">
        <v>2</v>
      </c>
      <c r="B6" s="142"/>
      <c r="C6" s="142"/>
      <c r="D6" s="142"/>
      <c r="E6" s="142"/>
      <c r="F6" s="142"/>
      <c r="G6" s="142"/>
      <c r="H6" s="142"/>
      <c r="I6" s="142"/>
      <c r="J6" s="70"/>
      <c r="K6" s="70"/>
      <c r="L6" s="71"/>
      <c r="M6" s="28"/>
      <c r="N6" s="72" t="s">
        <v>2</v>
      </c>
      <c r="O6" s="73"/>
      <c r="P6" s="73"/>
      <c r="Q6" s="73"/>
      <c r="R6" s="73"/>
      <c r="S6" s="73"/>
      <c r="T6" s="73"/>
      <c r="U6" s="73"/>
      <c r="V6" s="73"/>
      <c r="W6" s="73"/>
      <c r="X6" s="73"/>
      <c r="Y6" s="74"/>
    </row>
    <row r="7" spans="1:25" ht="20.100000000000001" customHeight="1" x14ac:dyDescent="0.3">
      <c r="A7" s="10" t="s">
        <v>49</v>
      </c>
      <c r="B7" s="124" t="s">
        <v>163</v>
      </c>
      <c r="C7" s="124"/>
      <c r="D7" s="124"/>
      <c r="E7" s="124"/>
      <c r="F7" s="124"/>
      <c r="G7" s="124"/>
      <c r="H7" s="124"/>
      <c r="I7" s="125"/>
      <c r="J7" s="67" t="s">
        <v>179</v>
      </c>
      <c r="K7" s="67"/>
      <c r="L7" s="68"/>
      <c r="M7" s="28"/>
      <c r="N7" s="10" t="str">
        <f>IF(ISNUMBER(SEARCH("roll",O8,1)),"No. Rolls","No. Cartons")</f>
        <v>No. Cartons</v>
      </c>
      <c r="O7" s="62">
        <v>60</v>
      </c>
      <c r="P7" s="63"/>
      <c r="Q7" s="10" t="str">
        <f>IF(ISNUMBER(SEARCH("roll",O8,1)),"Per Roll","Per Carton")</f>
        <v>Per Carton</v>
      </c>
      <c r="R7" s="62">
        <v>100</v>
      </c>
      <c r="S7" s="63"/>
      <c r="T7" s="10" t="str">
        <f>IF(ISNUMBER(SEARCH("bag",O8,1)),"Total Bags","Total Sheets")</f>
        <v>Total Bags</v>
      </c>
      <c r="U7" s="110">
        <v>6000</v>
      </c>
      <c r="V7" s="111"/>
      <c r="W7" s="10" t="s">
        <v>102</v>
      </c>
      <c r="X7" s="62" t="s">
        <v>23</v>
      </c>
      <c r="Y7" s="63"/>
    </row>
    <row r="8" spans="1:25" ht="20.100000000000001" customHeight="1" x14ac:dyDescent="0.25">
      <c r="A8" s="12" t="s">
        <v>16</v>
      </c>
      <c r="B8" s="99">
        <f>R9</f>
        <v>750</v>
      </c>
      <c r="C8" s="100"/>
      <c r="D8" s="26" t="str">
        <f>IF(ISNUMBER(SEARCH("bag",O8,1)),"Gusset","Centrefold")</f>
        <v>Gusset</v>
      </c>
      <c r="E8" s="99" t="str">
        <f>IF(O8="Centrefold Roll",B8*2,IF(X9="","None",X9))</f>
        <v>None</v>
      </c>
      <c r="F8" s="100"/>
      <c r="G8" s="12" t="s">
        <v>52</v>
      </c>
      <c r="H8" s="99">
        <f>(IF(V9&lt;30,"30",V9))</f>
        <v>100</v>
      </c>
      <c r="I8" s="100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01" t="s">
        <v>164</v>
      </c>
      <c r="P8" s="102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97" t="str">
        <f>IF(AND(W8="Gusset",X9=""), "None",IF(AND(W8="Centrefold",X9=""),"None",IF(W8="Gusset","G",IF(W8="Centrefold","CF"))))</f>
        <v>None</v>
      </c>
      <c r="Y8" s="98"/>
    </row>
    <row r="9" spans="1:25" ht="20.100000000000001" customHeight="1" x14ac:dyDescent="0.3">
      <c r="A9" s="15" t="s">
        <v>48</v>
      </c>
      <c r="B9" s="139" t="s">
        <v>196</v>
      </c>
      <c r="C9" s="140"/>
      <c r="D9" s="149" t="str">
        <f>IF(K10="Middle","RUN 2 UP",IF(AND(O8="Centrefold Roll",B8=380),"RUN 2 UP",""))</f>
        <v/>
      </c>
      <c r="E9" s="124"/>
      <c r="F9" s="125"/>
      <c r="G9" s="15" t="s">
        <v>48</v>
      </c>
      <c r="H9" s="139" t="s">
        <v>197</v>
      </c>
      <c r="I9" s="140"/>
      <c r="J9" s="10" t="s">
        <v>55</v>
      </c>
      <c r="K9" s="62" t="s">
        <v>30</v>
      </c>
      <c r="L9" s="63"/>
      <c r="M9" s="28"/>
      <c r="N9" s="16"/>
      <c r="O9" s="104" t="str">
        <f>IF(O8="Poly Bag","PB",IF(O8="Poly Bag Roll","PBR",IF(O8="Centrefold Roll","CFR",IF(O8="Sheet","S",IF(O8="Sheet Roll","SR")))))</f>
        <v>PB</v>
      </c>
      <c r="P9" s="105"/>
      <c r="Q9" s="16"/>
      <c r="R9" s="29">
        <v>750</v>
      </c>
      <c r="S9" s="17" t="s">
        <v>78</v>
      </c>
      <c r="T9" s="29">
        <v>800</v>
      </c>
      <c r="U9" s="17" t="s">
        <v>78</v>
      </c>
      <c r="V9" s="29">
        <v>100</v>
      </c>
      <c r="W9" s="16"/>
      <c r="X9" s="88"/>
      <c r="Y9" s="89"/>
    </row>
    <row r="10" spans="1:25" ht="20.100000000000001" customHeight="1" x14ac:dyDescent="0.25">
      <c r="A10" s="10" t="s">
        <v>51</v>
      </c>
      <c r="B10" s="62">
        <v>7</v>
      </c>
      <c r="C10" s="63"/>
      <c r="D10" s="46" t="s">
        <v>134</v>
      </c>
      <c r="E10" s="143">
        <f>IF(ISNUMBER(SEARCH("sheet",O8,1)),((R9*T9*H8/540000)*U7/2000*1.3),((R9*T9*H8/540000)*U7/1000*1.08))</f>
        <v>720</v>
      </c>
      <c r="F10" s="144"/>
      <c r="G10" s="10" t="s">
        <v>53</v>
      </c>
      <c r="H10" s="147">
        <f>IF(ISNUMBER(SEARCH("sheet",O8,1)),(U7*T9/2000*1.08),(U7*T9/1000*1.08))</f>
        <v>5184</v>
      </c>
      <c r="I10" s="148"/>
      <c r="J10" s="10" t="s">
        <v>41</v>
      </c>
      <c r="K10" s="62" t="s">
        <v>44</v>
      </c>
      <c r="L10" s="63"/>
      <c r="M10" s="28"/>
      <c r="N10" s="13" t="s">
        <v>141</v>
      </c>
      <c r="O10" s="101" t="s">
        <v>44</v>
      </c>
      <c r="P10" s="102"/>
      <c r="Q10" s="13" t="s">
        <v>50</v>
      </c>
      <c r="R10" s="97" t="str">
        <f>IF(K11="NONE","None",IF(K11="INLINE","Yes",IF(K11="OUT OF LINE","Yes")))</f>
        <v>Yes</v>
      </c>
      <c r="S10" s="97"/>
      <c r="T10" s="13" t="s">
        <v>100</v>
      </c>
      <c r="U10" s="106" t="s">
        <v>204</v>
      </c>
      <c r="V10" s="106"/>
      <c r="W10" s="106"/>
      <c r="X10" s="106"/>
      <c r="Y10" s="107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45">
        <f>E10/B10</f>
        <v>102.85714285714286</v>
      </c>
      <c r="F11" s="146"/>
      <c r="G11" s="10" t="s">
        <v>15</v>
      </c>
      <c r="H11" s="145">
        <f>H10/B10</f>
        <v>740.57142857142856</v>
      </c>
      <c r="I11" s="146"/>
      <c r="J11" s="10" t="s">
        <v>50</v>
      </c>
      <c r="K11" s="62" t="s">
        <v>65</v>
      </c>
      <c r="L11" s="63"/>
      <c r="M11" s="28"/>
      <c r="N11" s="12"/>
      <c r="O11" s="99" t="str">
        <f>IF(O10="NONE","","V")</f>
        <v/>
      </c>
      <c r="P11" s="100"/>
      <c r="Q11" s="12"/>
      <c r="R11" s="99" t="str">
        <f>IF(R10="None","","P")</f>
        <v>P</v>
      </c>
      <c r="S11" s="100"/>
      <c r="T11" s="12"/>
      <c r="U11" s="108"/>
      <c r="V11" s="108"/>
      <c r="W11" s="108"/>
      <c r="X11" s="108"/>
      <c r="Y11" s="109"/>
    </row>
    <row r="12" spans="1:25" ht="20.100000000000001" customHeight="1" x14ac:dyDescent="0.25">
      <c r="A12" s="84" t="s">
        <v>13</v>
      </c>
      <c r="B12" s="85"/>
      <c r="C12" s="85"/>
      <c r="D12" s="85"/>
      <c r="E12" s="73"/>
      <c r="F12" s="73"/>
      <c r="G12" s="73"/>
      <c r="H12" s="73"/>
      <c r="I12" s="73"/>
      <c r="J12" s="73"/>
      <c r="K12" s="73"/>
      <c r="L12" s="74"/>
      <c r="M12" s="28"/>
      <c r="N12" s="69" t="s">
        <v>71</v>
      </c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1"/>
    </row>
    <row r="13" spans="1:25" ht="20.100000000000001" customHeight="1" x14ac:dyDescent="0.25">
      <c r="A13" s="10" t="s">
        <v>68</v>
      </c>
      <c r="B13" s="139" t="s">
        <v>70</v>
      </c>
      <c r="C13" s="139"/>
      <c r="D13" s="140"/>
      <c r="E13" s="18" t="s">
        <v>61</v>
      </c>
      <c r="F13" s="139" t="s">
        <v>66</v>
      </c>
      <c r="G13" s="139"/>
      <c r="H13" s="140"/>
      <c r="I13" s="10" t="s">
        <v>62</v>
      </c>
      <c r="J13" s="62" t="s">
        <v>177</v>
      </c>
      <c r="K13" s="62"/>
      <c r="L13" s="63"/>
      <c r="M13" s="28"/>
      <c r="N13" s="10" t="s">
        <v>72</v>
      </c>
      <c r="O13" s="30" t="s">
        <v>77</v>
      </c>
      <c r="P13" s="10" t="s">
        <v>73</v>
      </c>
      <c r="Q13" s="19">
        <f>O7</f>
        <v>60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/>
      </c>
      <c r="X13" s="10" t="s">
        <v>76</v>
      </c>
      <c r="Y13" s="31"/>
    </row>
    <row r="14" spans="1:25" ht="20.100000000000001" customHeight="1" x14ac:dyDescent="0.35">
      <c r="A14" s="12" t="s">
        <v>60</v>
      </c>
      <c r="B14" s="103" t="s">
        <v>194</v>
      </c>
      <c r="C14" s="103"/>
      <c r="D14" s="103"/>
      <c r="E14" s="103"/>
      <c r="F14" s="103"/>
      <c r="G14" s="103"/>
      <c r="H14" s="103"/>
      <c r="I14" s="103"/>
      <c r="J14" s="103"/>
      <c r="K14" s="103"/>
      <c r="L14" s="91"/>
      <c r="M14" s="28"/>
      <c r="N14" s="69" t="s">
        <v>110</v>
      </c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1"/>
    </row>
    <row r="15" spans="1:25" ht="20.100000000000001" customHeight="1" x14ac:dyDescent="0.25">
      <c r="A15" s="72" t="s">
        <v>0</v>
      </c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4"/>
      <c r="M15" s="28"/>
      <c r="N15" s="66" t="s">
        <v>108</v>
      </c>
      <c r="O15" s="67"/>
      <c r="P15" s="68"/>
      <c r="Q15" s="66" t="s">
        <v>107</v>
      </c>
      <c r="R15" s="67"/>
      <c r="S15" s="68"/>
      <c r="T15" s="66" t="s">
        <v>118</v>
      </c>
      <c r="U15" s="67"/>
      <c r="V15" s="68"/>
      <c r="W15" s="66" t="s">
        <v>117</v>
      </c>
      <c r="X15" s="67"/>
      <c r="Y15" s="68"/>
    </row>
    <row r="16" spans="1:25" ht="20.100000000000001" customHeight="1" x14ac:dyDescent="0.25">
      <c r="A16" s="66" t="s">
        <v>3</v>
      </c>
      <c r="B16" s="68"/>
      <c r="C16" s="66" t="s">
        <v>142</v>
      </c>
      <c r="D16" s="68"/>
      <c r="E16" s="162" t="s">
        <v>4</v>
      </c>
      <c r="F16" s="162"/>
      <c r="G16" s="162" t="s">
        <v>5</v>
      </c>
      <c r="H16" s="162"/>
      <c r="I16" s="67" t="s">
        <v>11</v>
      </c>
      <c r="J16" s="68"/>
      <c r="K16" s="67" t="s">
        <v>12</v>
      </c>
      <c r="L16" s="68"/>
      <c r="M16" s="28"/>
      <c r="N16" s="10" t="s">
        <v>28</v>
      </c>
      <c r="O16" s="62">
        <v>130</v>
      </c>
      <c r="P16" s="63"/>
      <c r="Q16" s="10" t="s">
        <v>105</v>
      </c>
      <c r="R16" s="62" t="s">
        <v>31</v>
      </c>
      <c r="S16" s="63"/>
      <c r="T16" s="11" t="s">
        <v>103</v>
      </c>
      <c r="U16" s="62" t="s">
        <v>31</v>
      </c>
      <c r="V16" s="63"/>
      <c r="W16" s="10" t="str">
        <f>IF(ISNUMBER(SEARCH("bag",O8,1)),"Total Bags","Total Sheets")</f>
        <v>Total Bags</v>
      </c>
      <c r="X16" s="64"/>
      <c r="Y16" s="65"/>
    </row>
    <row r="17" spans="1:25" ht="20.100000000000001" customHeight="1" x14ac:dyDescent="0.25">
      <c r="A17" s="61" t="s">
        <v>6</v>
      </c>
      <c r="B17" s="61"/>
      <c r="C17" s="95" t="s">
        <v>147</v>
      </c>
      <c r="D17" s="96"/>
      <c r="E17" s="92"/>
      <c r="F17" s="65"/>
      <c r="G17" s="47" t="s">
        <v>81</v>
      </c>
      <c r="H17" s="31"/>
      <c r="I17" s="59"/>
      <c r="J17" s="60"/>
      <c r="K17" s="59"/>
      <c r="L17" s="60"/>
      <c r="M17" s="28"/>
      <c r="N17" s="10" t="s">
        <v>26</v>
      </c>
      <c r="O17" s="62" t="s">
        <v>37</v>
      </c>
      <c r="P17" s="63"/>
      <c r="Q17" s="10" t="s">
        <v>104</v>
      </c>
      <c r="R17" s="62" t="s">
        <v>31</v>
      </c>
      <c r="S17" s="63"/>
      <c r="T17" s="11" t="str">
        <f>IF(ISNUMBER(SEARCH("roll",O8,1)),"Part Rolls","Part Ctns")</f>
        <v>Part Ctns</v>
      </c>
      <c r="U17" s="62" t="s">
        <v>31</v>
      </c>
      <c r="V17" s="63"/>
      <c r="W17" s="10" t="str">
        <f>IF(ISNUMBER(SEARCH("roll",O8,1)),"Total Rolls","Total Ctns")</f>
        <v>Total Ctns</v>
      </c>
      <c r="X17" s="64"/>
      <c r="Y17" s="65"/>
    </row>
    <row r="18" spans="1:25" ht="20.100000000000001" customHeight="1" x14ac:dyDescent="0.25">
      <c r="A18" s="61" t="s">
        <v>7</v>
      </c>
      <c r="B18" s="61"/>
      <c r="C18" s="95" t="s">
        <v>146</v>
      </c>
      <c r="D18" s="96"/>
      <c r="E18" s="92"/>
      <c r="F18" s="65"/>
      <c r="G18" s="47" t="s">
        <v>82</v>
      </c>
      <c r="H18" s="31"/>
      <c r="I18" s="59"/>
      <c r="J18" s="60"/>
      <c r="K18" s="59"/>
      <c r="L18" s="60"/>
      <c r="M18" s="28"/>
      <c r="N18" s="10" t="s">
        <v>101</v>
      </c>
      <c r="O18" s="62" t="s">
        <v>38</v>
      </c>
      <c r="P18" s="63"/>
      <c r="Q18" s="10" t="s">
        <v>106</v>
      </c>
      <c r="R18" s="62" t="s">
        <v>31</v>
      </c>
      <c r="S18" s="63"/>
      <c r="T18" s="20" t="s">
        <v>27</v>
      </c>
      <c r="U18" s="62" t="s">
        <v>36</v>
      </c>
      <c r="V18" s="63"/>
      <c r="W18" s="10" t="s">
        <v>109</v>
      </c>
      <c r="X18" s="64"/>
      <c r="Y18" s="65"/>
    </row>
    <row r="19" spans="1:25" ht="20.100000000000001" customHeight="1" x14ac:dyDescent="0.25">
      <c r="A19" s="61" t="s">
        <v>8</v>
      </c>
      <c r="B19" s="61"/>
      <c r="C19" s="95" t="s">
        <v>145</v>
      </c>
      <c r="D19" s="96"/>
      <c r="E19" s="92"/>
      <c r="F19" s="65"/>
      <c r="G19" s="47" t="s">
        <v>83</v>
      </c>
      <c r="H19" s="31"/>
      <c r="I19" s="59"/>
      <c r="J19" s="60"/>
      <c r="K19" s="59"/>
      <c r="L19" s="60"/>
      <c r="M19" s="28"/>
      <c r="N19" s="75" t="s">
        <v>116</v>
      </c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7"/>
    </row>
    <row r="20" spans="1:25" ht="20.100000000000001" customHeight="1" x14ac:dyDescent="0.25">
      <c r="A20" s="61" t="s">
        <v>9</v>
      </c>
      <c r="B20" s="61"/>
      <c r="C20" s="95" t="s">
        <v>144</v>
      </c>
      <c r="D20" s="96"/>
      <c r="E20" s="92"/>
      <c r="F20" s="65"/>
      <c r="G20" s="47" t="s">
        <v>84</v>
      </c>
      <c r="H20" s="31"/>
      <c r="I20" s="59"/>
      <c r="J20" s="60"/>
      <c r="K20" s="59"/>
      <c r="L20" s="60"/>
      <c r="M20" s="28"/>
      <c r="N20" s="78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80"/>
    </row>
    <row r="21" spans="1:25" ht="20.100000000000001" customHeight="1" x14ac:dyDescent="0.25">
      <c r="A21" s="61" t="s">
        <v>10</v>
      </c>
      <c r="B21" s="61"/>
      <c r="C21" s="95" t="s">
        <v>143</v>
      </c>
      <c r="D21" s="96"/>
      <c r="E21" s="92"/>
      <c r="F21" s="65"/>
      <c r="G21" s="47" t="s">
        <v>85</v>
      </c>
      <c r="H21" s="31"/>
      <c r="I21" s="59"/>
      <c r="J21" s="60"/>
      <c r="K21" s="59"/>
      <c r="L21" s="60"/>
      <c r="M21" s="28"/>
      <c r="N21" s="78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80"/>
    </row>
    <row r="22" spans="1:25" ht="20.100000000000001" customHeight="1" x14ac:dyDescent="0.25">
      <c r="A22" s="61" t="s">
        <v>202</v>
      </c>
      <c r="B22" s="61"/>
      <c r="C22" s="95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0</v>
      </c>
      <c r="D22" s="96"/>
      <c r="E22" s="92" t="s">
        <v>201</v>
      </c>
      <c r="F22" s="65"/>
      <c r="G22" s="47" t="s">
        <v>86</v>
      </c>
      <c r="H22" s="31"/>
      <c r="I22" s="59"/>
      <c r="J22" s="60"/>
      <c r="K22" s="59"/>
      <c r="L22" s="60"/>
      <c r="M22" s="28"/>
      <c r="N22" s="81"/>
      <c r="O22" s="82"/>
      <c r="P22" s="82"/>
      <c r="Q22" s="82"/>
      <c r="R22" s="82"/>
      <c r="S22" s="82"/>
      <c r="T22" s="82"/>
      <c r="U22" s="82"/>
      <c r="V22" s="82"/>
      <c r="W22" s="82"/>
      <c r="X22" s="82"/>
      <c r="Y22" s="83"/>
    </row>
    <row r="23" spans="1:25" ht="20.100000000000001" customHeight="1" x14ac:dyDescent="0.35">
      <c r="A23" s="163" t="s">
        <v>195</v>
      </c>
      <c r="B23" s="163"/>
      <c r="C23" s="16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167"/>
      <c r="E23" s="90" t="s">
        <v>201</v>
      </c>
      <c r="F23" s="91"/>
      <c r="G23" s="47" t="s">
        <v>87</v>
      </c>
      <c r="H23" s="31"/>
      <c r="I23" s="59"/>
      <c r="J23" s="60"/>
      <c r="K23" s="59"/>
      <c r="L23" s="60"/>
      <c r="M23" s="28"/>
      <c r="N23" s="69" t="s">
        <v>133</v>
      </c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1"/>
    </row>
    <row r="24" spans="1:25" ht="20.100000000000001" customHeight="1" x14ac:dyDescent="0.25">
      <c r="A24" s="164"/>
      <c r="B24" s="165"/>
      <c r="C24" s="9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96"/>
      <c r="E24" s="59"/>
      <c r="F24" s="60"/>
      <c r="G24" s="47" t="s">
        <v>88</v>
      </c>
      <c r="H24" s="31"/>
      <c r="I24" s="59"/>
      <c r="J24" s="60"/>
      <c r="K24" s="59"/>
      <c r="L24" s="60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72" t="s">
        <v>1</v>
      </c>
      <c r="B25" s="73"/>
      <c r="C25" s="73"/>
      <c r="D25" s="73"/>
      <c r="E25" s="73"/>
      <c r="F25" s="85"/>
      <c r="G25" s="85"/>
      <c r="H25" s="85"/>
      <c r="I25" s="85"/>
      <c r="J25" s="85"/>
      <c r="K25" s="73"/>
      <c r="L25" s="74"/>
      <c r="M25" s="28"/>
      <c r="N25" s="21" t="s">
        <v>96</v>
      </c>
      <c r="O25" s="9" t="s">
        <v>199</v>
      </c>
      <c r="P25" s="33"/>
      <c r="Q25" s="9">
        <v>24</v>
      </c>
      <c r="R25" s="9"/>
      <c r="S25" s="9"/>
      <c r="T25" s="9"/>
      <c r="U25" s="9"/>
      <c r="V25" s="9"/>
      <c r="W25" s="9">
        <v>18</v>
      </c>
      <c r="X25" s="9">
        <v>14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94" t="s">
        <v>132</v>
      </c>
      <c r="H26" s="94"/>
      <c r="I26" s="94" t="s">
        <v>131</v>
      </c>
      <c r="J26" s="94"/>
      <c r="K26" s="23" t="s">
        <v>94</v>
      </c>
      <c r="L26" s="23" t="s">
        <v>95</v>
      </c>
      <c r="M26" s="28"/>
      <c r="N26" s="72" t="s">
        <v>137</v>
      </c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4"/>
    </row>
    <row r="27" spans="1:25" ht="20.100000000000001" customHeight="1" x14ac:dyDescent="0.25">
      <c r="A27" s="21" t="s">
        <v>96</v>
      </c>
      <c r="B27" s="7" t="s">
        <v>203</v>
      </c>
      <c r="C27" s="7"/>
      <c r="D27" s="9">
        <v>34.799999999999997</v>
      </c>
      <c r="E27" s="58">
        <v>4.4000000000000004</v>
      </c>
      <c r="F27" s="7"/>
      <c r="G27" s="93"/>
      <c r="H27" s="93"/>
      <c r="I27" s="93"/>
      <c r="J27" s="93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93"/>
      <c r="H28" s="93"/>
      <c r="I28" s="93"/>
      <c r="J28" s="93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84" t="s">
        <v>99</v>
      </c>
      <c r="B29" s="85"/>
      <c r="C29" s="85"/>
      <c r="D29" s="85"/>
      <c r="E29" s="85"/>
      <c r="F29" s="86"/>
      <c r="G29" s="86"/>
      <c r="H29" s="86"/>
      <c r="I29" s="86"/>
      <c r="J29" s="86"/>
      <c r="K29" s="85"/>
      <c r="L29" s="87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150" t="s">
        <v>116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2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5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8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159" t="s">
        <v>136</v>
      </c>
      <c r="B36" s="160"/>
      <c r="C36" s="160"/>
      <c r="D36" s="160"/>
      <c r="E36" s="160"/>
      <c r="F36" s="160"/>
      <c r="G36" s="160"/>
      <c r="H36" s="160"/>
      <c r="I36" s="160"/>
      <c r="J36" s="160"/>
      <c r="K36" s="160"/>
      <c r="L36" s="161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formatCells="0" insertHyperlinks="0" selectLockedCells="1" autoFilter="0"/>
  <dataConsolidate/>
  <mergeCells count="130"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A5" sqref="A5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DATE(YEAR(Sheet1!J1),MONTH(Sheet1!J1)+7,DAY(Sheet1!J1))</f>
        <v>46346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46153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7AFC14EB-3DDB-4ABC-887D-BBBC559E7A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774736-9EE3-4890-976D-45E517EAD3B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e44a62-d5f0-4bd1-8b0d-155d675458ee"/>
    <ds:schemaRef ds:uri="756e7449-9e6e-4224-8019-70866475b8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E2BEF59-45DA-4AE7-8A6D-8DAF508D8D10}">
  <ds:schemaRefs>
    <ds:schemaRef ds:uri="http://schemas.microsoft.com/office/2006/metadata/properties"/>
    <ds:schemaRef ds:uri="http://schemas.microsoft.com/office/infopath/2007/PartnerControls"/>
    <ds:schemaRef ds:uri="c3e44a62-d5f0-4bd1-8b0d-155d675458ee"/>
    <ds:schemaRef ds:uri="756e7449-9e6e-4224-8019-70866475b80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Christine Quarrell</cp:lastModifiedBy>
  <cp:lastPrinted>2025-05-27T00:55:59Z</cp:lastPrinted>
  <dcterms:created xsi:type="dcterms:W3CDTF">2019-11-27T23:28:06Z</dcterms:created>
  <dcterms:modified xsi:type="dcterms:W3CDTF">2026-04-20T03:54:46Z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  <property fmtid="{D5CDD505-2E9C-101B-9397-08002B2CF9AE}" pid="3" name="MediaServiceImageTags">
    <vt:lpwstr/>
  </property>
</Properties>
</file>