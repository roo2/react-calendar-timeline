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6E066E90-28B6-43A5-96EC-42195215D195}" xr6:coauthVersionLast="47" xr6:coauthVersionMax="47" xr10:uidLastSave="{1D86CF55-04B3-450D-BCA9-5C95A91712FD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<sst xmlns="http://schemas.openxmlformats.org/spreadsheetml/2006/main" count="307" uniqueCount="203">
  <si>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</si>
  <si>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</si>
  <si>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</si>
  <si>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</si>
  <si>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</si>
  <si>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</si>
  <si>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</si>
  <si>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</si>
  <si>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</si>
  <si>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</si>
  <si>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</si>
  <si>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</si>
  <si>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</si>
  <si>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</si>
  <si>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</si>
  <si>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</si>
  <si>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</si>
  <si>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</si>
  <si>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</si>
  <si>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</si>
  <si>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</si>
  <si>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</si>
  <si>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</si>
  <si>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</si>
  <si>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</si>
  <si>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</si>
  <si>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</si>
  <si>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</si>
  <si>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</si>
  <si>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</si>
  <si>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</si>
  <si>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</si>
  <si>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</si>
  <si>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</si>
  <si>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</si>
  <si>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</si>
  <si>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</si>
  <si>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</si>
  <si>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</si>
  <si>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</si>
  <si>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</si>
  <si>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</si>
  <si>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</si>
  <si>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</si>
  <si>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</si>
  <si>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</si>
  <si>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</si>
  <si>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</si>
  <si>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</si>
  <si>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</si>
  <si>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</si>
  <si>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</si>
  <si>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</si>
  <si>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</si>
  <si>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</si>
  <si>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</si>
  <si>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</si>
  <si>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</si>
  <si>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</si>
  <si>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</si>
  <si>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</si>
  <si>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</si>
  <si>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</si>
  <si>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</si>
  <si>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</si>
  <si>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</si>
  <si>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</si>
  <si>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</si>
  <si>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</si>
  <si>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</si>
  <si>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</si>
  <si>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</si>
  <si>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</si>
  <si>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</si>
  <si>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</si>
  <si>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</si>
  <si>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</si>
  <si>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</si>
  <si>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</si>
  <si>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</si>
  <si>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</si>
  <si>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</si>
  <si>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</si>
  <si>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</si>
  <si>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</si>
  <si>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</si>
  <si>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</si>
  <si>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</si>
  <si>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</si>
  <si>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</si>
  <si>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</si>
  <si>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</si>
  <si>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</si>
  <si>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</si>
  <si>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</si>
  <si>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</si>
  <si>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</si>
  <si>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</si>
  <si>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</si>
  <si>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</si>
  <si>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</si>
  <si>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</si>
  <si>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</si>
  <si>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</si>
  <si>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</si>
  <si>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</si>
  <si>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</si>
  <si>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</si>
  <si>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</si>
  <si>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</si>
  <si>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</si>
  <si>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</si>
  <si>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</si>
  <si>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</si>
  <si>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</si>
  <si>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</si>
  <si>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</si>
  <si>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</si>
  <si>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</si>
  <si>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</si>
  <si>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</si>
  <si>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</si>
  <si>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</si>
  <si>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</si>
  <si>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</si>
  <si>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</si>
  <si>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</si>
  <si>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</si>
  <si>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</si>
  <si>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</si>
  <si>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</si>
  <si>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</si>
  <si>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</si>
  <si>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</si>
  <si>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</si>
  <si>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</si>
  <si>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</si>
  <si>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</si>
  <si>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</si>
  <si>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</si>
  <si>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</si>
  <si>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</si>
  <si>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</si>
  <si>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</si>
  <si>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</si>
  <si>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</si>
  <si>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</si>
  <si>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</si>
  <si>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</si>
  <si>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</si>
  <si>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</si>
  <si>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</si>
  <si>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</si>
  <si>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</si>
  <si>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</si>
  <si>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</si>
  <si>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</si>
  <si>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</si>
  <si>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</si>
  <si>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</si>
  <si>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</si>
  <si>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</si>
  <si>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</si>
  <si>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</si>
  <si>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</si>
  <si>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</si>
  <si>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</si>
  <si>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</si>
  <si>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</si>
  <si>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</si>
  <si>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</si>
  <si>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</si>
  <si>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</si>
  <si>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</si>
  <si>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</si>
  <si>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</si>
  <si>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</si>
  <si>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</si>
  <si>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</si>
  <si>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</si>
  <si>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</si>
  <si>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</si>
  <si>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</si>
  <si>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</si>
  <si>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</si>
  <si>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</si>
  <si>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</si>
  <si>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</si>
  <si>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</si>
  <si>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</si>
  <si>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</si>
  <si>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</si>
  <si>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</si>
  <si>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</si>
  <si>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</si>
  <si>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UV</t>
  </si>
  <si>
    <t>RUN AT 130-140UM</t>
  </si>
  <si>
    <t>(130+120)</t>
  </si>
  <si>
    <t>PERF</t>
  </si>
  <si>
    <t>FORREST NURSERY</t>
  </si>
  <si>
    <t>940832 + 940832</t>
  </si>
  <si>
    <t>KEEP TO TOLERANCE 0MM TO -5MM, MUST BE CORRECT GUSSET SIZE. DO NOT RUN OVER 140UM - 200 CTN ON BACKORDER 14.07.2021</t>
  </si>
  <si>
    <t>160/270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</si>
</sst>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5" borderId="2" xfId="0" applyNumberFormat="1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B12" sqref="AB1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PB250G330150BKUVV</v>
      </c>
      <c r="C1" s="111"/>
      <c r="D1" s="112"/>
      <c r="E1" s="11" t="s">
        <v>57</v>
      </c>
      <c r="F1" s="89" t="s">
        <v>199</v>
      </c>
      <c r="G1" s="89"/>
      <c r="H1" s="90"/>
      <c r="I1" s="12" t="s">
        <v>181</v>
      </c>
      <c r="J1" s="84">
        <f ca="1">TODAY()</f>
        <v>46132</v>
      </c>
      <c r="K1" s="84"/>
      <c r="L1" s="85"/>
      <c r="M1" s="29"/>
      <c r="N1" s="11" t="s">
        <v>56</v>
      </c>
      <c r="O1" s="111" t="str">
        <f>B1</f>
        <v>PB250G330150BKUVV</v>
      </c>
      <c r="P1" s="111"/>
      <c r="Q1" s="112"/>
      <c r="R1" s="11" t="s">
        <v>57</v>
      </c>
      <c r="S1" s="111" t="str">
        <f>F1</f>
        <v>FORREST NURSERY</v>
      </c>
      <c r="T1" s="111"/>
      <c r="U1" s="112"/>
      <c r="V1" s="11" t="s">
        <v>181</v>
      </c>
      <c r="W1" s="84">
        <f ca="1">J1</f>
        <v>46132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160/270 5L</v>
      </c>
      <c r="C2" s="111"/>
      <c r="D2" s="112"/>
      <c r="E2" s="11" t="s">
        <v>58</v>
      </c>
      <c r="F2" s="89" t="s">
        <v>200</v>
      </c>
      <c r="G2" s="89"/>
      <c r="H2" s="90"/>
      <c r="I2" s="11" t="s">
        <v>59</v>
      </c>
      <c r="J2" s="86">
        <v>44422</v>
      </c>
      <c r="K2" s="87"/>
      <c r="L2" s="88"/>
      <c r="M2" s="29"/>
      <c r="N2" s="11" t="s">
        <v>100</v>
      </c>
      <c r="O2" s="111" t="str">
        <f>IF(B2="","",B2)</f>
        <v>160/270 5L</v>
      </c>
      <c r="P2" s="111"/>
      <c r="Q2" s="112"/>
      <c r="R2" s="11" t="s">
        <v>58</v>
      </c>
      <c r="S2" s="111" t="str">
        <f>IF(F2="","",F2)</f>
        <v>940832 + 940832</v>
      </c>
      <c r="T2" s="111"/>
      <c r="U2" s="112"/>
      <c r="V2" s="11" t="s">
        <v>59</v>
      </c>
      <c r="W2" s="122">
        <f>J2</f>
        <v>44422</v>
      </c>
      <c r="X2" s="111"/>
      <c r="Y2" s="112"/>
    </row>
    <row r="3" spans="1:25" ht="20.100000000000001" customHeight="1" x14ac:dyDescent="0.25">
      <c r="A3" s="113" t="s">
        <v>201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KEEP TO TOLERANCE 0MM TO -5MM, MUST BE CORRECT GUSSET SIZE. DO NOT RUN OVER 140UM - 200 CTN ON BACKORDER 14.07.2021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9"/>
      <c r="N6" s="110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00000000000001" customHeight="1" x14ac:dyDescent="0.3">
      <c r="A7" s="11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9">
        <v>200</v>
      </c>
      <c r="P7" s="90"/>
      <c r="Q7" s="11" t="str">
        <f>IF(ISNUMBER(SEARCH("roll",O8,1)),"Per Roll","Per Carton")</f>
        <v>Per Carton</v>
      </c>
      <c r="R7" s="89">
        <v>500</v>
      </c>
      <c r="S7" s="90"/>
      <c r="T7" s="11" t="str">
        <f>IF(ISNUMBER(SEARCH("bag",O8,1)),"Total Bags","Total Sheets")</f>
        <v>Total Bags</v>
      </c>
      <c r="U7" s="111">
        <v>50000</v>
      </c>
      <c r="V7" s="112"/>
      <c r="W7" s="11" t="s">
        <v>102</v>
      </c>
      <c r="X7" s="89" t="s">
        <v>23</v>
      </c>
      <c r="Y7" s="90"/>
    </row>
    <row r="8" spans="1:25" ht="20.100000000000001" customHeight="1" x14ac:dyDescent="0.25">
      <c r="A8" s="13" t="s">
        <v>16</v>
      </c>
      <c r="B8" s="91">
        <f>R9</f>
        <v>250</v>
      </c>
      <c r="C8" s="92"/>
      <c r="D8" s="27" t="str">
        <f>IF(ISNUMBER(SEARCH("bag",O8,1)),"Gusset","Centrefold")</f>
        <v>Gusset</v>
      </c>
      <c r="E8" s="91" t="str">
        <f>IF(O8="Centrefold Roll",B8*2,IF(X9="","None",X9))</f>
        <v>(130+120)</v>
      </c>
      <c r="F8" s="92"/>
      <c r="G8" s="13" t="s">
        <v>52</v>
      </c>
      <c r="H8" s="91">
        <f>(IF(V9&lt;30,"30",V9))</f>
        <v>150</v>
      </c>
      <c r="I8" s="92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6" t="s">
        <v>48</v>
      </c>
      <c r="B9" s="87" t="s">
        <v>193</v>
      </c>
      <c r="C9" s="88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87" t="s">
        <v>196</v>
      </c>
      <c r="I9" s="88"/>
      <c r="J9" s="11" t="s">
        <v>55</v>
      </c>
      <c r="K9" s="89" t="s">
        <v>30</v>
      </c>
      <c r="L9" s="90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250</v>
      </c>
      <c r="S9" s="18" t="s">
        <v>78</v>
      </c>
      <c r="T9" s="30">
        <v>330</v>
      </c>
      <c r="U9" s="18" t="s">
        <v>78</v>
      </c>
      <c r="V9" s="30">
        <v>150</v>
      </c>
      <c r="W9" s="17"/>
      <c r="X9" s="136" t="s">
        <v>197</v>
      </c>
      <c r="Y9" s="137"/>
    </row>
    <row r="10" spans="1:25" ht="20.100000000000001" customHeight="1" x14ac:dyDescent="0.25">
      <c r="A10" s="11" t="s">
        <v>51</v>
      </c>
      <c r="B10" s="89">
        <v>120</v>
      </c>
      <c r="C10" s="90"/>
      <c r="D10" s="47" t="s">
        <v>134</v>
      </c>
      <c r="E10" s="101">
        <f>IF(ISNUMBER(SEARCH("sheet",O8,1)),((R9*T9*H8/540000)*U7/2000*1.3),((R9*T9*H8/540000)*U7/1000*1.08))</f>
        <v>1237.5000000000002</v>
      </c>
      <c r="F10" s="102"/>
      <c r="G10" s="11" t="s">
        <v>53</v>
      </c>
      <c r="H10" s="105">
        <f>IF(ISNUMBER(SEARCH("sheet",O8,1)),(U7*T9/2000*1.08),(U7*T9/1000*1.08))</f>
        <v>17820</v>
      </c>
      <c r="I10" s="106"/>
      <c r="J10" s="11" t="s">
        <v>41</v>
      </c>
      <c r="K10" s="89" t="s">
        <v>44</v>
      </c>
      <c r="L10" s="90"/>
      <c r="M10" s="29"/>
      <c r="N10" s="14" t="s">
        <v>141</v>
      </c>
      <c r="O10" s="125" t="s">
        <v>188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202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10.312500000000002</v>
      </c>
      <c r="F11" s="104"/>
      <c r="G11" s="11" t="s">
        <v>15</v>
      </c>
      <c r="H11" s="103">
        <f>H10/B10</f>
        <v>148.5</v>
      </c>
      <c r="I11" s="104"/>
      <c r="J11" s="11" t="s">
        <v>50</v>
      </c>
      <c r="K11" s="89" t="s">
        <v>44</v>
      </c>
      <c r="L11" s="90"/>
      <c r="M11" s="29"/>
      <c r="N11" s="13"/>
      <c r="O11" s="91" t="str">
        <f>IF(O10="NONE","","V")</f>
        <v>V</v>
      </c>
      <c r="P11" s="92"/>
      <c r="Q11" s="13"/>
      <c r="R11" s="91" t="str">
        <f>IF(R10="None","","P")</f>
        <v/>
      </c>
      <c r="S11" s="92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9"/>
      <c r="N12" s="129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11" t="s">
        <v>68</v>
      </c>
      <c r="B13" s="89" t="s">
        <v>44</v>
      </c>
      <c r="C13" s="89"/>
      <c r="D13" s="90"/>
      <c r="E13" s="19" t="s">
        <v>61</v>
      </c>
      <c r="F13" s="89" t="s">
        <v>44</v>
      </c>
      <c r="G13" s="89"/>
      <c r="H13" s="90"/>
      <c r="I13" s="11" t="s">
        <v>62</v>
      </c>
      <c r="J13" s="89" t="s">
        <v>44</v>
      </c>
      <c r="K13" s="89"/>
      <c r="L13" s="90"/>
      <c r="M13" s="29"/>
      <c r="N13" s="11" t="s">
        <v>72</v>
      </c>
      <c r="O13" s="31" t="s">
        <v>57</v>
      </c>
      <c r="P13" s="11" t="s">
        <v>73</v>
      </c>
      <c r="Q13" s="20">
        <f>O7</f>
        <v>200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110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9">
        <v>150</v>
      </c>
      <c r="P16" s="90"/>
      <c r="Q16" s="11" t="s">
        <v>105</v>
      </c>
      <c r="R16" s="89" t="s">
        <v>23</v>
      </c>
      <c r="S16" s="90"/>
      <c r="T16" s="12" t="s">
        <v>103</v>
      </c>
      <c r="U16" s="89" t="s">
        <v>31</v>
      </c>
      <c r="V16" s="90"/>
      <c r="W16" s="11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0"/>
      <c r="J17" s="141"/>
      <c r="K17" s="140"/>
      <c r="L17" s="141"/>
      <c r="M17" s="29"/>
      <c r="N17" s="11" t="s">
        <v>26</v>
      </c>
      <c r="O17" s="89" t="s">
        <v>37</v>
      </c>
      <c r="P17" s="90"/>
      <c r="Q17" s="11" t="s">
        <v>104</v>
      </c>
      <c r="R17" s="89" t="s">
        <v>31</v>
      </c>
      <c r="S17" s="90"/>
      <c r="T17" s="12" t="str">
        <f>IF(ISNUMBER(SEARCH("roll",O8,1)),"Part Rolls","Part Ctns")</f>
        <v>Part Ctns</v>
      </c>
      <c r="U17" s="89" t="s">
        <v>31</v>
      </c>
      <c r="V17" s="90"/>
      <c r="W17" s="11" t="str">
        <f>IF(ISNUMBER(SEARCH("roll",O8,1)),"Total Rolls","Total Ctns")</f>
        <v>Total Ctns</v>
      </c>
      <c r="X17" s="142"/>
      <c r="Y17" s="143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0"/>
      <c r="J18" s="141"/>
      <c r="K18" s="140"/>
      <c r="L18" s="141"/>
      <c r="M18" s="29"/>
      <c r="N18" s="11" t="s">
        <v>101</v>
      </c>
      <c r="O18" s="89" t="s">
        <v>185</v>
      </c>
      <c r="P18" s="90"/>
      <c r="Q18" s="11" t="s">
        <v>106</v>
      </c>
      <c r="R18" s="89" t="s">
        <v>31</v>
      </c>
      <c r="S18" s="90"/>
      <c r="T18" s="21" t="s">
        <v>27</v>
      </c>
      <c r="U18" s="89" t="s">
        <v>36</v>
      </c>
      <c r="V18" s="90"/>
      <c r="W18" s="11" t="s">
        <v>109</v>
      </c>
      <c r="X18" s="142"/>
      <c r="Y18" s="143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0"/>
      <c r="J19" s="141"/>
      <c r="K19" s="140"/>
      <c r="L19" s="141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0"/>
      <c r="J20" s="141"/>
      <c r="K20" s="140"/>
      <c r="L20" s="141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0"/>
      <c r="J21" s="141"/>
      <c r="K21" s="140"/>
      <c r="L21" s="141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BLACK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8"/>
      <c r="E22" s="82"/>
      <c r="F22" s="83"/>
      <c r="G22" s="48" t="s">
        <v>86</v>
      </c>
      <c r="H22" s="32"/>
      <c r="I22" s="140"/>
      <c r="J22" s="141"/>
      <c r="K22" s="140"/>
      <c r="L22" s="141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8"/>
      <c r="E23" s="138">
        <v>0.02</v>
      </c>
      <c r="F23" s="83"/>
      <c r="G23" s="48" t="s">
        <v>87</v>
      </c>
      <c r="H23" s="32"/>
      <c r="I23" s="140"/>
      <c r="J23" s="141"/>
      <c r="K23" s="140"/>
      <c r="L23" s="141"/>
      <c r="M23" s="29"/>
      <c r="N23" s="129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0"/>
      <c r="J24" s="141"/>
      <c r="K24" s="140"/>
      <c r="L24" s="14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9"/>
      <c r="N25" s="22" t="s">
        <v>96</v>
      </c>
      <c r="O25" s="10" t="s">
        <v>198</v>
      </c>
      <c r="P25" s="34"/>
      <c r="Q25" s="10">
        <v>21</v>
      </c>
      <c r="R25" s="10">
        <v>6</v>
      </c>
      <c r="S25" s="10"/>
      <c r="T25" s="10">
        <v>10</v>
      </c>
      <c r="U25" s="10">
        <v>2</v>
      </c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3" t="s">
        <v>99</v>
      </c>
      <c r="B29" s="94"/>
      <c r="C29" s="94"/>
      <c r="D29" s="94"/>
      <c r="E29" s="94"/>
      <c r="F29" s="134"/>
      <c r="G29" s="134"/>
      <c r="H29" s="134"/>
      <c r="I29" s="134"/>
      <c r="J29" s="134"/>
      <c r="K29" s="94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46162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16542-F982-467F-B18B-667CE6EC63D9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1B0503C8-72C9-468C-8EAD-13758732B5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98478F-0380-4C31-8116-7F156583B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2021-07-14T04:16:40Z</cp:lastPrinted>
  <dcterms:created xsi:type="dcterms:W3CDTF">2019-11-27T23:28:06Z</dcterms:created>
  <dcterms:modified xsi:type="dcterms:W3CDTF">2026-04-20T04:16:47Z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