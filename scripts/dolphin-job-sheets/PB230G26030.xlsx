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11375462-5041-43F5-8BC5-C62A760EA25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<sst xmlns="http://schemas.openxmlformats.org/spreadsheetml/2006/main" count="306" uniqueCount="200">
  <si>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</si>
  <si>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</si>
  <si>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</si>
  <si>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</si>
  <si>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</si>
  <si>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</si>
  <si>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</si>
  <si>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</si>
  <si>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</si>
  <si>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</si>
  <si>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</si>
  <si>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</si>
  <si>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</si>
  <si>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</si>
  <si>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</si>
  <si>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</si>
  <si>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</si>
  <si>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</si>
  <si>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</si>
  <si>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</si>
  <si>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</si>
  <si>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</si>
  <si>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</si>
  <si>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</si>
  <si>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</si>
  <si>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</si>
  <si>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</si>
  <si>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</si>
  <si>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</si>
  <si>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</si>
  <si>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</si>
  <si>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</si>
  <si>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</si>
  <si>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</si>
  <si>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</si>
  <si>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</si>
  <si>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</si>
  <si>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</si>
  <si>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</si>
  <si>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</si>
  <si>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</si>
  <si>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</si>
  <si>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</si>
  <si>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</si>
  <si>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</si>
  <si>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</si>
  <si>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</si>
  <si>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</si>
  <si>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</si>
  <si>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</si>
  <si>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</si>
  <si>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</si>
  <si>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</si>
  <si>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</si>
  <si>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</si>
  <si>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</si>
  <si>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</si>
  <si>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</si>
  <si>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</si>
  <si>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</si>
  <si>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</si>
  <si>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</si>
  <si>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</si>
  <si>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</si>
  <si>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</si>
  <si>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</si>
  <si>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</si>
  <si>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</si>
  <si>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</si>
  <si>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</si>
  <si>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</si>
  <si>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</si>
  <si>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</si>
  <si>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</si>
  <si>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</si>
  <si>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</si>
  <si>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</si>
  <si>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</si>
  <si>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</si>
  <si>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</si>
  <si>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</si>
  <si>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</si>
  <si>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</si>
  <si>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</si>
  <si>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</si>
  <si>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</si>
  <si>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</si>
  <si>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</si>
  <si>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</si>
  <si>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</si>
  <si>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</si>
  <si>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</si>
  <si>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</si>
  <si>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</si>
  <si>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</si>
  <si>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</si>
  <si>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</si>
  <si>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</si>
  <si>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</si>
  <si>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</si>
  <si>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</si>
  <si>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</si>
  <si>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</si>
  <si>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</si>
  <si>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</si>
  <si>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</si>
  <si>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</si>
  <si>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</si>
  <si>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</si>
  <si>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</si>
  <si>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</si>
  <si>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</si>
  <si>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</si>
  <si>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</si>
  <si>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</si>
  <si>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</si>
  <si>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</si>
  <si>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</si>
  <si>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</si>
  <si>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</si>
  <si>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</si>
  <si>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</si>
  <si>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</si>
  <si>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</si>
  <si>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</si>
  <si>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</si>
  <si>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</si>
  <si>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</si>
  <si>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</si>
  <si>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</si>
  <si>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</si>
  <si>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</si>
  <si>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</si>
  <si>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</si>
  <si>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</si>
  <si>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</si>
  <si>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</si>
  <si>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</si>
  <si>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</si>
  <si>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</si>
  <si>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</si>
  <si>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</si>
  <si>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</si>
  <si>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</si>
  <si>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</si>
  <si>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</si>
  <si>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</si>
  <si>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</si>
  <si>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</si>
  <si>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</si>
  <si>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</si>
  <si>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</si>
  <si>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</si>
  <si>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</si>
  <si>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</si>
  <si>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</si>
  <si>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</si>
  <si>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</si>
  <si>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</si>
  <si>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</si>
  <si>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</si>
  <si>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</si>
  <si>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</si>
  <si>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</si>
  <si>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</si>
  <si>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</si>
  <si>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</si>
  <si>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</si>
  <si>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</si>
  <si>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</si>
  <si>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</si>
  <si>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</si>
  <si>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</si>
  <si>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</si>
  <si>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</si>
  <si>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</si>
  <si>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</si>
  <si>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</si>
  <si>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</si>
  <si>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</si>
  <si>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</si>
  <si>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</si>
  <si>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</si>
  <si>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</si>
  <si>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</si>
  <si>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</si>
  <si>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</si>
  <si>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</si>
  <si>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</si>
  <si>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</si>
  <si>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</si>
  <si>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</si>
  <si>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</si>
  <si>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PERF</t>
  </si>
  <si>
    <t>(180+50)</t>
  </si>
  <si>
    <t>ARTISIAN PASTA</t>
  </si>
  <si>
    <t>SAMPLE</t>
  </si>
  <si>
    <t>SEE EMMA FOR MORE CUSTOMER DETAILS</t>
  </si>
  <si>
    <t>NOT OVER 35UM</t>
  </si>
  <si>
    <t>ANITSTATIC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</si>
</sst>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3" fillId="5" borderId="6" xfId="0" applyFont="1" applyFill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9" fontId="13" fillId="5" borderId="4" xfId="0" applyNumberFormat="1" applyFont="1" applyFill="1" applyBorder="1" applyAlignment="1" applyProtection="1">
      <alignment horizontal="center"/>
      <protection locked="0"/>
    </xf>
    <xf numFmtId="0" fontId="13" fillId="5" borderId="5" xfId="0" applyFont="1" applyFill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13" fillId="5" borderId="4" xfId="0" applyFont="1" applyFill="1" applyBorder="1" applyAlignment="1" applyProtection="1">
      <alignment horizontal="center"/>
    </xf>
    <xf numFmtId="0" fontId="13" fillId="5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6" xfId="0" applyFont="1" applyFill="1" applyBorder="1" applyAlignment="1" applyProtection="1">
      <alignment horizontal="center"/>
    </xf>
    <xf numFmtId="0" fontId="13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C10" sqref="AC10"/>
    </sheetView>
  </sheetViews>
  <sheetFormatPr defaultRowHeight="15" x14ac:dyDescent="0.25"/>
  <sheetData>
    <row r="1" spans="1:28" ht="20.100000000000001" customHeight="1" x14ac:dyDescent="0.25">
      <c r="A1" s="12" t="s">
        <v>55</v>
      </c>
      <c r="B1" s="128" t="str">
        <f>O9&amp;R9&amp;IF(X8="G","G","")&amp;IF(O8="Centrefold Roll","("&amp;E8&amp;")","")&amp;T9&amp;V9&amp;C22&amp;C23&amp;C24&amp;O11&amp;R11</f>
        <v>PB230G260300</v>
      </c>
      <c r="C1" s="128"/>
      <c r="D1" s="129"/>
      <c r="E1" s="12" t="s">
        <v>56</v>
      </c>
      <c r="F1" s="139" t="s">
        <v>195</v>
      </c>
      <c r="G1" s="139"/>
      <c r="H1" s="140"/>
      <c r="I1" s="13" t="s">
        <v>179</v>
      </c>
      <c r="J1" s="141">
        <f ca="1">TODAY()</f>
        <v>44601</v>
      </c>
      <c r="K1" s="141"/>
      <c r="L1" s="142"/>
      <c r="M1" s="35"/>
      <c r="N1" s="12" t="s">
        <v>55</v>
      </c>
      <c r="O1" s="128" t="str">
        <f>B1</f>
        <v>PB230G260300</v>
      </c>
      <c r="P1" s="128"/>
      <c r="Q1" s="129"/>
      <c r="R1" s="12" t="s">
        <v>56</v>
      </c>
      <c r="S1" s="128" t="str">
        <f>F1</f>
        <v>ARTISIAN PASTA</v>
      </c>
      <c r="T1" s="128"/>
      <c r="U1" s="129"/>
      <c r="V1" s="12" t="s">
        <v>179</v>
      </c>
      <c r="W1" s="141">
        <f ca="1">J1</f>
        <v>44601</v>
      </c>
      <c r="X1" s="141"/>
      <c r="Y1" s="142"/>
    </row>
    <row r="2" spans="1:28" ht="20.100000000000001" customHeight="1" x14ac:dyDescent="0.25">
      <c r="A2" s="12" t="s">
        <v>99</v>
      </c>
      <c r="B2" s="128" t="str">
        <f>IF(U10="","",U10)</f>
        <v/>
      </c>
      <c r="C2" s="128"/>
      <c r="D2" s="129"/>
      <c r="E2" s="12" t="s">
        <v>57</v>
      </c>
      <c r="F2" s="74" t="s">
        <v>196</v>
      </c>
      <c r="G2" s="74"/>
      <c r="H2" s="75"/>
      <c r="I2" s="12" t="s">
        <v>58</v>
      </c>
      <c r="J2" s="144" t="s">
        <v>191</v>
      </c>
      <c r="K2" s="74"/>
      <c r="L2" s="75"/>
      <c r="M2" s="35"/>
      <c r="N2" s="12" t="s">
        <v>99</v>
      </c>
      <c r="O2" s="128" t="str">
        <f>IF(B2="","",B2)</f>
        <v/>
      </c>
      <c r="P2" s="128"/>
      <c r="Q2" s="129"/>
      <c r="R2" s="12" t="s">
        <v>57</v>
      </c>
      <c r="S2" s="128" t="str">
        <f>IF(F2="","",F2)</f>
        <v>SAMPLE</v>
      </c>
      <c r="T2" s="128"/>
      <c r="U2" s="129"/>
      <c r="V2" s="12" t="s">
        <v>58</v>
      </c>
      <c r="W2" s="143" t="str">
        <f>J2</f>
        <v>ASAP</v>
      </c>
      <c r="X2" s="128"/>
      <c r="Y2" s="129"/>
    </row>
    <row r="3" spans="1:28" ht="20.100000000000001" customHeight="1" x14ac:dyDescent="0.25">
      <c r="A3" s="130" t="s">
        <v>197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2"/>
      <c r="M3" s="35"/>
      <c r="N3" s="130" t="str">
        <f>A3</f>
        <v>SEE EMMA FOR MORE CUSTOMER DETAILS</v>
      </c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2"/>
    </row>
    <row r="4" spans="1:28" ht="20.100000000000001" customHeight="1" x14ac:dyDescent="0.25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5"/>
      <c r="M4" s="35"/>
      <c r="N4" s="133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5"/>
    </row>
    <row r="5" spans="1:28" ht="20.100000000000001" customHeight="1" x14ac:dyDescent="0.25">
      <c r="A5" s="136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8"/>
      <c r="M5" s="35"/>
      <c r="N5" s="136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8"/>
    </row>
    <row r="6" spans="1:28" ht="20.100000000000001" customHeight="1" x14ac:dyDescent="0.25">
      <c r="A6" s="146" t="s">
        <v>2</v>
      </c>
      <c r="B6" s="147"/>
      <c r="C6" s="147"/>
      <c r="D6" s="147"/>
      <c r="E6" s="147"/>
      <c r="F6" s="147"/>
      <c r="G6" s="147"/>
      <c r="H6" s="147"/>
      <c r="I6" s="147"/>
      <c r="J6" s="82"/>
      <c r="K6" s="82"/>
      <c r="L6" s="83"/>
      <c r="M6" s="35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48</v>
      </c>
      <c r="B7" s="120" t="s">
        <v>161</v>
      </c>
      <c r="C7" s="120"/>
      <c r="D7" s="120"/>
      <c r="E7" s="120"/>
      <c r="F7" s="120"/>
      <c r="G7" s="120"/>
      <c r="H7" s="120"/>
      <c r="I7" s="121"/>
      <c r="J7" s="79" t="s">
        <v>177</v>
      </c>
      <c r="K7" s="79"/>
      <c r="L7" s="80"/>
      <c r="M7" s="35"/>
      <c r="N7" s="12" t="str">
        <f>IF(ISNUMBER(SEARCH("roll",O8,1)),"No. Rolls","No. Cartons")</f>
        <v>No. Cartons</v>
      </c>
      <c r="O7" s="74">
        <v>2</v>
      </c>
      <c r="P7" s="75"/>
      <c r="Q7" s="12" t="str">
        <f>IF(ISNUMBER(SEARCH("roll",O8,1)),"Per Roll","Per Carton")</f>
        <v>Per Carton</v>
      </c>
      <c r="R7" s="74">
        <v>1000</v>
      </c>
      <c r="S7" s="75"/>
      <c r="T7" s="12" t="str">
        <f>IF(ISNUMBER(SEARCH("bag",O8,1)),"Total Bags","Total Sheets")</f>
        <v>Total Bags</v>
      </c>
      <c r="U7" s="128">
        <f>R7*O7</f>
        <v>2000</v>
      </c>
      <c r="V7" s="129"/>
      <c r="W7" s="12" t="s">
        <v>101</v>
      </c>
      <c r="X7" s="74" t="s">
        <v>22</v>
      </c>
      <c r="Y7" s="75"/>
      <c r="AB7" s="14"/>
    </row>
    <row r="8" spans="1:28" ht="20.100000000000001" customHeight="1" x14ac:dyDescent="0.25">
      <c r="A8" s="15" t="s">
        <v>15</v>
      </c>
      <c r="B8" s="116">
        <f>R9</f>
        <v>230</v>
      </c>
      <c r="C8" s="117"/>
      <c r="D8" s="15" t="str">
        <f>IF(ISNUMBER(SEARCH("bag",O8,1)),"Gusset","Centrefold")</f>
        <v>Gusset</v>
      </c>
      <c r="E8" s="116" t="str">
        <f>IF(O8="Centrefold Roll",B8*2,IF(X9="","None",X9))</f>
        <v>(180+50)</v>
      </c>
      <c r="F8" s="117"/>
      <c r="G8" s="15" t="s">
        <v>51</v>
      </c>
      <c r="H8" s="116">
        <f>(IF(V9&lt;30,"30",V9))</f>
        <v>30</v>
      </c>
      <c r="I8" s="117"/>
      <c r="J8" s="12" t="s">
        <v>53</v>
      </c>
      <c r="K8" s="128" t="str">
        <f>IF(X8="None","Layflat Tube",IF(X8="","Layflat Tube",IF(X8="CF","Layflat Tube",IF(X8="G","Gusset Tube",IF(X9="","Layflat Tube",)))))</f>
        <v>Gusset Tube</v>
      </c>
      <c r="L8" s="129"/>
      <c r="M8" s="35"/>
      <c r="N8" s="16" t="s">
        <v>53</v>
      </c>
      <c r="O8" s="118" t="s">
        <v>162</v>
      </c>
      <c r="P8" s="119"/>
      <c r="Q8" s="16" t="s">
        <v>188</v>
      </c>
      <c r="R8" s="17" t="s">
        <v>15</v>
      </c>
      <c r="S8" s="17"/>
      <c r="T8" s="17" t="s">
        <v>78</v>
      </c>
      <c r="U8" s="17"/>
      <c r="V8" s="17" t="s">
        <v>79</v>
      </c>
      <c r="W8" s="18" t="str">
        <f>IF(ISNUMBER(SEARCH("bag",O8,1)),"Gusset","Centrefold")</f>
        <v>Gusset</v>
      </c>
      <c r="X8" s="114" t="str">
        <f>IF(AND(W8="Gusset",X9=""), "None",IF(AND(W8="Centrefold",X9=""),"None",IF(W8="Gusset","G",IF(W8="Centrefold","CF"))))</f>
        <v>G</v>
      </c>
      <c r="Y8" s="115"/>
    </row>
    <row r="9" spans="1:28" ht="20.100000000000001" customHeight="1" x14ac:dyDescent="0.3">
      <c r="A9" s="19" t="s">
        <v>47</v>
      </c>
      <c r="B9" s="148" t="s">
        <v>180</v>
      </c>
      <c r="C9" s="149"/>
      <c r="D9" s="156" t="str">
        <f>IF(K10="Middle","RUN 2 UP",IF(AND(O8="Centrefold Roll",B8=380),"RUN 2 UP",""))</f>
        <v/>
      </c>
      <c r="E9" s="120"/>
      <c r="F9" s="121"/>
      <c r="G9" s="19" t="s">
        <v>47</v>
      </c>
      <c r="H9" s="148" t="s">
        <v>198</v>
      </c>
      <c r="I9" s="149"/>
      <c r="J9" s="12" t="s">
        <v>54</v>
      </c>
      <c r="K9" s="74" t="s">
        <v>29</v>
      </c>
      <c r="L9" s="75"/>
      <c r="M9" s="35"/>
      <c r="N9" s="20"/>
      <c r="O9" s="122" t="str">
        <f>IF(O8="Poly Bag","PB",IF(O8="Poly Bag Roll","PBR",IF(O8="Centrefold Roll","CFR",IF(O8="Sheet","S",IF(O8="Sheet Roll","SR")))))</f>
        <v>PB</v>
      </c>
      <c r="P9" s="123"/>
      <c r="Q9" s="20"/>
      <c r="R9" s="36">
        <v>230</v>
      </c>
      <c r="S9" s="21" t="s">
        <v>77</v>
      </c>
      <c r="T9" s="36">
        <v>260</v>
      </c>
      <c r="U9" s="21" t="s">
        <v>77</v>
      </c>
      <c r="V9" s="36">
        <v>30</v>
      </c>
      <c r="W9" s="20"/>
      <c r="X9" s="100" t="s">
        <v>194</v>
      </c>
      <c r="Y9" s="101"/>
    </row>
    <row r="10" spans="1:28" ht="20.100000000000001" customHeight="1" x14ac:dyDescent="0.25">
      <c r="A10" s="12" t="s">
        <v>50</v>
      </c>
      <c r="B10" s="74">
        <v>1</v>
      </c>
      <c r="C10" s="75"/>
      <c r="D10" s="55" t="s">
        <v>133</v>
      </c>
      <c r="E10" s="150">
        <f>IF(ISNUMBER(SEARCH("sheet",O8,1)),((R9*T9*H8/540000)*U7/2000*1.3),((R9*T9*H8/540000)*U7/1000*1.08))</f>
        <v>7.176000000000001</v>
      </c>
      <c r="F10" s="151"/>
      <c r="G10" s="12" t="s">
        <v>52</v>
      </c>
      <c r="H10" s="154">
        <f>IF(ISNUMBER(SEARCH("sheet",O8,1)),(U7*T9/2000*1.08),(U7*T9/1000*1.08))</f>
        <v>561.6</v>
      </c>
      <c r="I10" s="155"/>
      <c r="J10" s="12" t="s">
        <v>40</v>
      </c>
      <c r="K10" s="74" t="s">
        <v>43</v>
      </c>
      <c r="L10" s="75"/>
      <c r="M10" s="35"/>
      <c r="N10" s="22" t="s">
        <v>140</v>
      </c>
      <c r="O10" s="118" t="s">
        <v>43</v>
      </c>
      <c r="P10" s="119"/>
      <c r="Q10" s="16" t="s">
        <v>49</v>
      </c>
      <c r="R10" s="114" t="str">
        <f>IF(K11="NONE","None",IF(K11="INLINE","Yes",IF(K11="OUT OF LINE","Yes")))</f>
        <v>None</v>
      </c>
      <c r="S10" s="114"/>
      <c r="T10" s="16" t="s">
        <v>99</v>
      </c>
      <c r="U10" s="124"/>
      <c r="V10" s="124"/>
      <c r="W10" s="124"/>
      <c r="X10" s="124"/>
      <c r="Y10" s="12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8" t="str">
        <f>IF(AND(O8="Centrefold Roll",D9="RUN 2 UP"),B10*2,IF(ISNUMBER(SEARCH("sheet",O8,1)),B10*2,""))</f>
        <v/>
      </c>
      <c r="C11" s="129"/>
      <c r="D11" s="12" t="s">
        <v>134</v>
      </c>
      <c r="E11" s="152">
        <f>E10/B10</f>
        <v>7.176000000000001</v>
      </c>
      <c r="F11" s="153"/>
      <c r="G11" s="12" t="s">
        <v>14</v>
      </c>
      <c r="H11" s="152">
        <f>H10/B10</f>
        <v>561.6</v>
      </c>
      <c r="I11" s="153"/>
      <c r="J11" s="12" t="s">
        <v>49</v>
      </c>
      <c r="K11" s="74" t="s">
        <v>43</v>
      </c>
      <c r="L11" s="75"/>
      <c r="M11" s="35"/>
      <c r="N11" s="15"/>
      <c r="O11" s="116" t="str">
        <f>IF(O10="NONE","","V")</f>
        <v/>
      </c>
      <c r="P11" s="117"/>
      <c r="Q11" s="15"/>
      <c r="R11" s="116" t="str">
        <f>IF(R10="None","","P")</f>
        <v/>
      </c>
      <c r="S11" s="117"/>
      <c r="T11" s="15"/>
      <c r="U11" s="126"/>
      <c r="V11" s="126"/>
      <c r="W11" s="126"/>
      <c r="X11" s="126"/>
      <c r="Y11" s="127"/>
    </row>
    <row r="12" spans="1:28" ht="20.100000000000001" customHeight="1" x14ac:dyDescent="0.25">
      <c r="A12" s="145" t="s">
        <v>12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5"/>
      <c r="N12" s="81" t="s">
        <v>70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67</v>
      </c>
      <c r="B13" s="74" t="s">
        <v>43</v>
      </c>
      <c r="C13" s="74"/>
      <c r="D13" s="75"/>
      <c r="E13" s="23" t="s">
        <v>60</v>
      </c>
      <c r="F13" s="74" t="s">
        <v>43</v>
      </c>
      <c r="G13" s="74"/>
      <c r="H13" s="75"/>
      <c r="I13" s="24" t="s">
        <v>61</v>
      </c>
      <c r="J13" s="74" t="s">
        <v>43</v>
      </c>
      <c r="K13" s="74"/>
      <c r="L13" s="75"/>
      <c r="M13" s="35"/>
      <c r="N13" s="12" t="s">
        <v>71</v>
      </c>
      <c r="O13" s="37" t="s">
        <v>76</v>
      </c>
      <c r="P13" s="12" t="s">
        <v>72</v>
      </c>
      <c r="Q13" s="25">
        <f>O7</f>
        <v>2</v>
      </c>
      <c r="R13" s="12" t="s">
        <v>73</v>
      </c>
      <c r="S13" s="37" t="s">
        <v>22</v>
      </c>
      <c r="T13" s="12" t="s">
        <v>176</v>
      </c>
      <c r="U13" s="25" t="str">
        <f>IF(S13="No","",(ROUNDUP(U7/W13/24,0)))</f>
        <v/>
      </c>
      <c r="V13" s="12" t="s">
        <v>74</v>
      </c>
      <c r="W13" s="70" t="str">
        <f>IF(AND((O17="LOOSE"),(NOT(O18="BUNDLE"))),"",IF(AND((O17="LINED"),(NOT(O18="BUNDLE"))),"",(IF(R7&lt;=500,"50",IF(R7&gt;500,"100")))))</f>
        <v>100</v>
      </c>
      <c r="X13" s="12" t="s">
        <v>75</v>
      </c>
      <c r="Y13" s="38"/>
    </row>
    <row r="14" spans="1:28" ht="20.100000000000001" customHeight="1" x14ac:dyDescent="0.3">
      <c r="A14" s="15" t="s">
        <v>59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1"/>
      <c r="M14" s="35"/>
      <c r="N14" s="81" t="s">
        <v>109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5"/>
      <c r="N15" s="78" t="s">
        <v>107</v>
      </c>
      <c r="O15" s="79"/>
      <c r="P15" s="80"/>
      <c r="Q15" s="78" t="s">
        <v>106</v>
      </c>
      <c r="R15" s="79"/>
      <c r="S15" s="80"/>
      <c r="T15" s="78" t="s">
        <v>117</v>
      </c>
      <c r="U15" s="79"/>
      <c r="V15" s="80"/>
      <c r="W15" s="78" t="s">
        <v>116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141</v>
      </c>
      <c r="D16" s="80"/>
      <c r="E16" s="161" t="s">
        <v>4</v>
      </c>
      <c r="F16" s="161"/>
      <c r="G16" s="161" t="s">
        <v>5</v>
      </c>
      <c r="H16" s="161"/>
      <c r="I16" s="79" t="s">
        <v>10</v>
      </c>
      <c r="J16" s="80"/>
      <c r="K16" s="79" t="s">
        <v>11</v>
      </c>
      <c r="L16" s="80"/>
      <c r="M16" s="35"/>
      <c r="N16" s="12" t="s">
        <v>27</v>
      </c>
      <c r="O16" s="74" t="s">
        <v>37</v>
      </c>
      <c r="P16" s="75"/>
      <c r="Q16" s="12" t="s">
        <v>104</v>
      </c>
      <c r="R16" s="74" t="s">
        <v>22</v>
      </c>
      <c r="S16" s="75"/>
      <c r="T16" s="13" t="s">
        <v>102</v>
      </c>
      <c r="U16" s="74" t="s">
        <v>30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160" t="s">
        <v>6</v>
      </c>
      <c r="B17" s="160"/>
      <c r="C17" s="112" t="s">
        <v>145</v>
      </c>
      <c r="D17" s="113"/>
      <c r="E17" s="71"/>
      <c r="F17" s="72"/>
      <c r="G17" s="57" t="s">
        <v>80</v>
      </c>
      <c r="H17" s="38"/>
      <c r="I17" s="71"/>
      <c r="J17" s="72"/>
      <c r="K17" s="71"/>
      <c r="L17" s="72"/>
      <c r="M17" s="35"/>
      <c r="N17" s="12" t="s">
        <v>25</v>
      </c>
      <c r="O17" s="74" t="s">
        <v>34</v>
      </c>
      <c r="P17" s="75"/>
      <c r="Q17" s="12" t="s">
        <v>103</v>
      </c>
      <c r="R17" s="74" t="s">
        <v>30</v>
      </c>
      <c r="S17" s="75"/>
      <c r="T17" s="13" t="str">
        <f>IF(ISNUMBER(SEARCH("roll",O8,1)),"Part Rolls","Part Ctns")</f>
        <v>Part Ctns</v>
      </c>
      <c r="U17" s="74" t="s">
        <v>30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160" t="s">
        <v>7</v>
      </c>
      <c r="B18" s="160"/>
      <c r="C18" s="112" t="s">
        <v>144</v>
      </c>
      <c r="D18" s="113"/>
      <c r="E18" s="71"/>
      <c r="F18" s="72"/>
      <c r="G18" s="57" t="s">
        <v>81</v>
      </c>
      <c r="H18" s="38"/>
      <c r="I18" s="71"/>
      <c r="J18" s="72"/>
      <c r="K18" s="71"/>
      <c r="L18" s="72"/>
      <c r="M18" s="35"/>
      <c r="N18" s="12" t="s">
        <v>100</v>
      </c>
      <c r="O18" s="74" t="s">
        <v>37</v>
      </c>
      <c r="P18" s="75"/>
      <c r="Q18" s="12" t="s">
        <v>105</v>
      </c>
      <c r="R18" s="74" t="s">
        <v>30</v>
      </c>
      <c r="S18" s="75"/>
      <c r="T18" s="26" t="s">
        <v>26</v>
      </c>
      <c r="U18" s="74" t="s">
        <v>35</v>
      </c>
      <c r="V18" s="75"/>
      <c r="W18" s="12" t="s">
        <v>108</v>
      </c>
      <c r="X18" s="76"/>
      <c r="Y18" s="77"/>
    </row>
    <row r="19" spans="1:25" ht="20.100000000000001" customHeight="1" x14ac:dyDescent="0.25">
      <c r="A19" s="160" t="s">
        <v>8</v>
      </c>
      <c r="B19" s="160"/>
      <c r="C19" s="112" t="s">
        <v>143</v>
      </c>
      <c r="D19" s="113"/>
      <c r="E19" s="71"/>
      <c r="F19" s="72"/>
      <c r="G19" s="57" t="s">
        <v>82</v>
      </c>
      <c r="H19" s="38"/>
      <c r="I19" s="71"/>
      <c r="J19" s="72"/>
      <c r="K19" s="71"/>
      <c r="L19" s="72"/>
      <c r="M19" s="35"/>
      <c r="N19" s="87" t="s">
        <v>115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160" t="s">
        <v>9</v>
      </c>
      <c r="B20" s="160"/>
      <c r="C20" s="112" t="s">
        <v>142</v>
      </c>
      <c r="D20" s="113"/>
      <c r="E20" s="71"/>
      <c r="F20" s="72"/>
      <c r="G20" s="57" t="s">
        <v>83</v>
      </c>
      <c r="H20" s="38"/>
      <c r="I20" s="71"/>
      <c r="J20" s="72"/>
      <c r="K20" s="71"/>
      <c r="L20" s="72"/>
      <c r="M20" s="35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3">
      <c r="A21" s="73"/>
      <c r="B21" s="73"/>
      <c r="C21" s="110"/>
      <c r="D21" s="111"/>
      <c r="E21" s="103"/>
      <c r="F21" s="104"/>
      <c r="G21" s="57" t="s">
        <v>84</v>
      </c>
      <c r="H21" s="38"/>
      <c r="I21" s="71"/>
      <c r="J21" s="72"/>
      <c r="K21" s="71"/>
      <c r="L21" s="72"/>
      <c r="M21" s="35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3">
      <c r="A22" s="73" t="str">
        <f>(IF(B7="NATURAL","",B7))</f>
        <v/>
      </c>
      <c r="B22" s="73"/>
      <c r="C22" s="11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11"/>
      <c r="E22" s="103"/>
      <c r="F22" s="104"/>
      <c r="G22" s="57" t="s">
        <v>85</v>
      </c>
      <c r="H22" s="38"/>
      <c r="I22" s="71"/>
      <c r="J22" s="72"/>
      <c r="K22" s="71"/>
      <c r="L22" s="72"/>
      <c r="M22" s="35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3">
      <c r="A23" s="162" t="s">
        <v>199</v>
      </c>
      <c r="B23" s="162"/>
      <c r="C23" s="11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111"/>
      <c r="E23" s="103">
        <v>0.02</v>
      </c>
      <c r="F23" s="104"/>
      <c r="G23" s="57" t="s">
        <v>86</v>
      </c>
      <c r="H23" s="38"/>
      <c r="I23" s="71"/>
      <c r="J23" s="72"/>
      <c r="K23" s="71"/>
      <c r="L23" s="72"/>
      <c r="M23" s="35"/>
      <c r="N23" s="81" t="s">
        <v>132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63"/>
      <c r="B24" s="164"/>
      <c r="C24" s="11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3"/>
      <c r="E24" s="71"/>
      <c r="F24" s="72"/>
      <c r="G24" s="57" t="s">
        <v>87</v>
      </c>
      <c r="H24" s="38"/>
      <c r="I24" s="71"/>
      <c r="J24" s="72"/>
      <c r="K24" s="71"/>
      <c r="L24" s="72"/>
      <c r="M24" s="35"/>
      <c r="N24" s="39"/>
      <c r="O24" s="27" t="s">
        <v>118</v>
      </c>
      <c r="P24" s="27" t="s">
        <v>128</v>
      </c>
      <c r="Q24" s="27" t="s">
        <v>119</v>
      </c>
      <c r="R24" s="27" t="s">
        <v>120</v>
      </c>
      <c r="S24" s="27" t="s">
        <v>121</v>
      </c>
      <c r="T24" s="27" t="s">
        <v>122</v>
      </c>
      <c r="U24" s="27" t="s">
        <v>123</v>
      </c>
      <c r="V24" s="27" t="s">
        <v>124</v>
      </c>
      <c r="W24" s="27" t="s">
        <v>125</v>
      </c>
      <c r="X24" s="27" t="s">
        <v>126</v>
      </c>
      <c r="Y24" s="27" t="s">
        <v>174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5"/>
      <c r="N25" s="27" t="s">
        <v>95</v>
      </c>
      <c r="O25" s="10" t="s">
        <v>193</v>
      </c>
      <c r="P25" s="40"/>
      <c r="Q25" s="10">
        <v>21</v>
      </c>
      <c r="R25" s="10">
        <v>6</v>
      </c>
      <c r="S25" s="10"/>
      <c r="T25" s="10">
        <v>11</v>
      </c>
      <c r="U25" s="10">
        <v>2</v>
      </c>
      <c r="V25" s="10">
        <v>3</v>
      </c>
      <c r="W25" s="10">
        <v>240</v>
      </c>
      <c r="X25" s="10">
        <v>240</v>
      </c>
      <c r="Y25" s="10"/>
    </row>
    <row r="26" spans="1:25" ht="20.100000000000001" customHeight="1" x14ac:dyDescent="0.25">
      <c r="A26" s="28"/>
      <c r="B26" s="27" t="s">
        <v>178</v>
      </c>
      <c r="C26" s="27" t="s">
        <v>91</v>
      </c>
      <c r="D26" s="29" t="s">
        <v>89</v>
      </c>
      <c r="E26" s="29" t="s">
        <v>90</v>
      </c>
      <c r="F26" s="29" t="s">
        <v>92</v>
      </c>
      <c r="G26" s="109" t="s">
        <v>131</v>
      </c>
      <c r="H26" s="109"/>
      <c r="I26" s="109" t="s">
        <v>130</v>
      </c>
      <c r="J26" s="109"/>
      <c r="K26" s="29" t="s">
        <v>93</v>
      </c>
      <c r="L26" s="29" t="s">
        <v>94</v>
      </c>
      <c r="M26" s="35"/>
      <c r="N26" s="105" t="s">
        <v>136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7"/>
    </row>
    <row r="27" spans="1:25" ht="20.100000000000001" customHeight="1" x14ac:dyDescent="0.25">
      <c r="A27" s="27" t="s">
        <v>95</v>
      </c>
      <c r="B27" s="7"/>
      <c r="C27" s="7"/>
      <c r="D27" s="7"/>
      <c r="E27" s="8"/>
      <c r="F27" s="11"/>
      <c r="G27" s="108"/>
      <c r="H27" s="108"/>
      <c r="I27" s="108"/>
      <c r="J27" s="108"/>
      <c r="K27" s="7"/>
      <c r="L27" s="10"/>
      <c r="M27" s="35"/>
      <c r="N27" s="56" t="s">
        <v>181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0" t="s">
        <v>129</v>
      </c>
      <c r="V27" s="30" t="s">
        <v>115</v>
      </c>
      <c r="W27" s="56" t="s">
        <v>189</v>
      </c>
      <c r="X27" s="56" t="s">
        <v>190</v>
      </c>
      <c r="Y27" s="56" t="s">
        <v>21</v>
      </c>
    </row>
    <row r="28" spans="1:25" ht="20.100000000000001" customHeight="1" x14ac:dyDescent="0.25">
      <c r="A28" s="27" t="s">
        <v>96</v>
      </c>
      <c r="B28" s="7"/>
      <c r="C28" s="7"/>
      <c r="D28" s="7"/>
      <c r="E28" s="9"/>
      <c r="F28" s="11"/>
      <c r="G28" s="108"/>
      <c r="H28" s="108"/>
      <c r="I28" s="108"/>
      <c r="J28" s="108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96" t="s">
        <v>98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114</v>
      </c>
      <c r="B30" s="41"/>
      <c r="C30" s="38"/>
      <c r="D30" s="13" t="s">
        <v>91</v>
      </c>
      <c r="E30" s="42"/>
      <c r="F30" s="38"/>
      <c r="G30" s="32" t="s">
        <v>97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113</v>
      </c>
      <c r="B31" s="41"/>
      <c r="C31" s="38"/>
      <c r="D31" s="13" t="s">
        <v>111</v>
      </c>
      <c r="E31" s="42"/>
      <c r="F31" s="46"/>
      <c r="G31" s="13" t="s">
        <v>97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7"/>
      <c r="C32" s="45"/>
      <c r="D32" s="33" t="s">
        <v>88</v>
      </c>
      <c r="E32" s="43"/>
      <c r="F32" s="45"/>
      <c r="G32" s="33" t="s">
        <v>110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87" t="s">
        <v>115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5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157" t="s">
        <v>135</v>
      </c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9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13</v>
      </c>
      <c r="B37" s="1" t="s">
        <v>20</v>
      </c>
      <c r="C37" s="30" t="s">
        <v>134</v>
      </c>
      <c r="D37" s="30" t="s">
        <v>14</v>
      </c>
      <c r="E37" s="30" t="s">
        <v>15</v>
      </c>
      <c r="F37" s="30" t="s">
        <v>51</v>
      </c>
      <c r="G37" s="34" t="s">
        <v>16</v>
      </c>
      <c r="H37" s="34" t="s">
        <v>17</v>
      </c>
      <c r="I37" s="31" t="s">
        <v>28</v>
      </c>
      <c r="J37" s="30" t="s">
        <v>18</v>
      </c>
      <c r="K37" s="30" t="s">
        <v>19</v>
      </c>
      <c r="L37" s="30" t="s">
        <v>21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13</v>
      </c>
      <c r="B44" s="48" t="s">
        <v>20</v>
      </c>
      <c r="C44" s="30" t="s">
        <v>134</v>
      </c>
      <c r="D44" s="30" t="s">
        <v>14</v>
      </c>
      <c r="E44" s="30" t="s">
        <v>15</v>
      </c>
      <c r="F44" s="30" t="s">
        <v>51</v>
      </c>
      <c r="G44" s="34" t="s">
        <v>16</v>
      </c>
      <c r="H44" s="34" t="s">
        <v>17</v>
      </c>
      <c r="I44" s="30" t="s">
        <v>28</v>
      </c>
      <c r="J44" s="30" t="s">
        <v>18</v>
      </c>
      <c r="K44" s="30" t="s">
        <v>19</v>
      </c>
      <c r="L44" s="30" t="s">
        <v>21</v>
      </c>
      <c r="N44" s="56" t="s">
        <v>181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0" t="s">
        <v>129</v>
      </c>
      <c r="V44" s="30" t="s">
        <v>115</v>
      </c>
      <c r="W44" s="56" t="s">
        <v>189</v>
      </c>
      <c r="X44" s="56" t="s">
        <v>190</v>
      </c>
      <c r="Y44" s="56" t="s">
        <v>21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44629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44622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191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161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148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152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192</v>
      </c>
      <c r="T19" s="1"/>
      <c r="V19" s="1"/>
    </row>
    <row r="20" spans="1:23" x14ac:dyDescent="0.25">
      <c r="A20" s="65" t="s">
        <v>154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164</v>
      </c>
      <c r="T20" s="1"/>
      <c r="V20" s="1"/>
    </row>
    <row r="21" spans="1:23" x14ac:dyDescent="0.25">
      <c r="A21" s="65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165</v>
      </c>
      <c r="T21" s="1"/>
      <c r="V21" s="1"/>
      <c r="W21" s="2"/>
    </row>
    <row r="22" spans="1:23" x14ac:dyDescent="0.25">
      <c r="A22" s="65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140</v>
      </c>
      <c r="T23" s="1"/>
      <c r="V23" s="1"/>
      <c r="W23" s="2"/>
    </row>
    <row r="24" spans="1:23" x14ac:dyDescent="0.25">
      <c r="A24" s="65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166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167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169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170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182</v>
      </c>
    </row>
    <row r="50" spans="1:20" x14ac:dyDescent="0.25">
      <c r="A50" s="67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171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6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26</v>
      </c>
    </row>
    <row r="57" spans="1:20" x14ac:dyDescent="0.25">
      <c r="A57" s="64" t="s">
        <v>175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5" t="s">
        <v>153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5" t="s">
        <v>146</v>
      </c>
    </row>
    <row r="60" spans="1:20" x14ac:dyDescent="0.25">
      <c r="A60" s="65" t="s">
        <v>147</v>
      </c>
      <c r="O60" s="1"/>
      <c r="Q60" s="1"/>
      <c r="R60" s="3"/>
      <c r="S60" s="1"/>
    </row>
    <row r="61" spans="1:20" x14ac:dyDescent="0.25">
      <c r="A61" s="65" t="s">
        <v>148</v>
      </c>
      <c r="O61" s="1"/>
      <c r="Q61" s="1"/>
      <c r="R61" s="1"/>
      <c r="S61" s="1"/>
    </row>
    <row r="62" spans="1:20" x14ac:dyDescent="0.25">
      <c r="A62" s="65" t="s">
        <v>149</v>
      </c>
      <c r="O62" s="1"/>
      <c r="Q62" s="1"/>
      <c r="R62" s="1"/>
      <c r="S62" s="1"/>
    </row>
    <row r="63" spans="1:20" x14ac:dyDescent="0.25">
      <c r="A63" s="65" t="s">
        <v>150</v>
      </c>
      <c r="O63" s="1"/>
      <c r="Q63" s="1"/>
      <c r="R63" s="1"/>
      <c r="S63" s="1"/>
      <c r="T63" s="1"/>
    </row>
    <row r="64" spans="1:20" x14ac:dyDescent="0.25">
      <c r="A64" s="65" t="s">
        <v>151</v>
      </c>
      <c r="O64" s="1"/>
      <c r="Q64" s="1"/>
      <c r="R64" s="1"/>
      <c r="S64" s="1"/>
      <c r="T64" s="1"/>
    </row>
    <row r="65" spans="1:20" x14ac:dyDescent="0.25">
      <c r="A65" s="65" t="s">
        <v>172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152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0A308B6-DCD1-4E3B-9568-99C4D144F5EA}"/>
</file>

<file path=customXml/itemProps2.xml><?xml version="1.0" encoding="utf-8"?>
<ds:datastoreItem xmlns:ds="http://schemas.openxmlformats.org/officeDocument/2006/customXml" ds:itemID="{6F06F888-249D-41DC-AD7C-86681959C19D}"/>
</file>

<file path=customXml/itemProps3.xml><?xml version="1.0" encoding="utf-8"?>
<ds:datastoreItem xmlns:ds="http://schemas.openxmlformats.org/officeDocument/2006/customXml" ds:itemID="{FA9FCCBF-16BC-4BB5-9B44-19A65E0522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2022-02-09T00:46:27Z</cp:lastPrinted>
  <dcterms:created xsi:type="dcterms:W3CDTF">2019-11-27T23:28:06Z</dcterms:created>
  <dcterms:modified xsi:type="dcterms:W3CDTF">2022-02-09T04:35:11Z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