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29EBB66-3391-432F-9599-CE93A74860F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<sst xmlns="http://schemas.openxmlformats.org/spreadsheetml/2006/main" count="304" uniqueCount="199">
  <si>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</si>
  <si>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</si>
  <si>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</si>
  <si>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</si>
  <si>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</si>
  <si>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</si>
  <si>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</si>
  <si>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</si>
  <si>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</si>
  <si>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</si>
  <si>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</si>
  <si>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</si>
  <si>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</si>
  <si>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</si>
  <si>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</si>
  <si>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</si>
  <si>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</si>
  <si>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</si>
  <si>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</si>
  <si>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</si>
  <si>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</si>
  <si>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</si>
  <si>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</si>
  <si>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</si>
  <si>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</si>
  <si>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</si>
  <si>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</si>
  <si>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</si>
  <si>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</si>
  <si>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</si>
  <si>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</si>
  <si>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</si>
  <si>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</si>
  <si>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</si>
  <si>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</si>
  <si>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</si>
  <si>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</si>
  <si>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</si>
  <si>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</si>
  <si>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</si>
  <si>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</si>
  <si>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</si>
  <si>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</si>
  <si>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</si>
  <si>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</si>
  <si>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</si>
  <si>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</si>
  <si>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</si>
  <si>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</si>
  <si>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</si>
  <si>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</si>
  <si>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</si>
  <si>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</si>
  <si>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</si>
  <si>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</si>
  <si>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</si>
  <si>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</si>
  <si>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</si>
  <si>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</si>
  <si>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</si>
  <si>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</si>
  <si>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</si>
  <si>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</si>
  <si>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</si>
  <si>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</si>
  <si>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</si>
  <si>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</si>
  <si>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</si>
  <si>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</si>
  <si>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</si>
  <si>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</si>
  <si>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</si>
  <si>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</si>
  <si>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</si>
  <si>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</si>
  <si>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</si>
  <si>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</si>
  <si>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</si>
  <si>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</si>
  <si>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</si>
  <si>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</si>
  <si>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</si>
  <si>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</si>
  <si>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</si>
  <si>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</si>
  <si>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</si>
  <si>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</si>
  <si>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</si>
  <si>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</si>
  <si>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</si>
  <si>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</si>
  <si>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</si>
  <si>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</si>
  <si>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</si>
  <si>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</si>
  <si>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</si>
  <si>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</si>
  <si>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</si>
  <si>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</si>
  <si>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</si>
  <si>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</si>
  <si>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</si>
  <si>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</si>
  <si>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</si>
  <si>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</si>
  <si>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</si>
  <si>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</si>
  <si>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</si>
  <si>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</si>
  <si>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</si>
  <si>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</si>
  <si>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</si>
  <si>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</si>
  <si>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</si>
  <si>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</si>
  <si>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</si>
  <si>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</si>
  <si>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</si>
  <si>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</si>
  <si>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</si>
  <si>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</si>
  <si>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</si>
  <si>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</si>
  <si>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</si>
  <si>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</si>
  <si>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</si>
  <si>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</si>
  <si>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</si>
  <si>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</si>
  <si>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</si>
  <si>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</si>
  <si>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</si>
  <si>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</si>
  <si>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</si>
  <si>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</si>
  <si>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</si>
  <si>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</si>
  <si>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</si>
  <si>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</si>
  <si>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</si>
  <si>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</si>
  <si>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</si>
  <si>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</si>
  <si>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</si>
  <si>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</si>
  <si>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</si>
  <si>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</si>
  <si>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</si>
  <si>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</si>
  <si>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</si>
  <si>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</si>
  <si>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</si>
  <si>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</si>
  <si>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</si>
  <si>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</si>
  <si>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</si>
  <si>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</si>
  <si>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</si>
  <si>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</si>
  <si>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</si>
  <si>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</si>
  <si>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</si>
  <si>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</si>
  <si>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</si>
  <si>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</si>
  <si>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</si>
  <si>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</si>
  <si>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</si>
  <si>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</si>
  <si>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</si>
  <si>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</si>
  <si>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</si>
  <si>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</si>
  <si>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</si>
  <si>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</si>
  <si>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</si>
  <si>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</si>
  <si>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</si>
  <si>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</si>
  <si>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</si>
  <si>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</si>
  <si>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</si>
  <si>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</si>
  <si>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</si>
  <si>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</si>
  <si>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</si>
  <si>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</si>
  <si>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</si>
  <si>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</si>
  <si>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</si>
  <si>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</si>
  <si>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</si>
  <si>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</si>
  <si>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</si>
  <si>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</si>
  <si>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 xml:space="preserve">LIMAX </t>
  </si>
  <si>
    <t>ABL DISTRIBUTION</t>
  </si>
  <si>
    <t xml:space="preserve">******NEW ITEM ****** MUST NOT HAVE BURN UP -  MATERIAL MUST NOT BE SPLITTY - </t>
  </si>
  <si>
    <t>RUN AT 140um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</si>
</sst>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3" sqref="B13:D13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PB600500150</v>
      </c>
      <c r="C1" s="123"/>
      <c r="D1" s="124"/>
      <c r="E1" s="12" t="s">
        <v>57</v>
      </c>
      <c r="F1" s="134" t="s">
        <v>196</v>
      </c>
      <c r="G1" s="134"/>
      <c r="H1" s="135"/>
      <c r="I1" s="13" t="s">
        <v>181</v>
      </c>
      <c r="J1" s="136">
        <f ca="1">TODAY()</f>
        <v>44354</v>
      </c>
      <c r="K1" s="136"/>
      <c r="L1" s="137"/>
      <c r="M1" s="34"/>
      <c r="N1" s="12" t="s">
        <v>56</v>
      </c>
      <c r="O1" s="123" t="str">
        <f>B1</f>
        <v>PB600500150</v>
      </c>
      <c r="P1" s="123"/>
      <c r="Q1" s="124"/>
      <c r="R1" s="12" t="s">
        <v>57</v>
      </c>
      <c r="S1" s="123" t="str">
        <f>F1</f>
        <v>ABL DISTRIBUTION</v>
      </c>
      <c r="T1" s="123"/>
      <c r="U1" s="124"/>
      <c r="V1" s="12" t="s">
        <v>181</v>
      </c>
      <c r="W1" s="136">
        <f ca="1">J1</f>
        <v>44354</v>
      </c>
      <c r="X1" s="136"/>
      <c r="Y1" s="137"/>
    </row>
    <row r="2" spans="1:28" ht="20.100000000000001" customHeight="1" x14ac:dyDescent="0.25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940472</v>
      </c>
      <c r="G2" s="73"/>
      <c r="H2" s="74"/>
      <c r="I2" s="12" t="s">
        <v>59</v>
      </c>
      <c r="J2" s="139">
        <v>44375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940472</v>
      </c>
      <c r="T2" s="123"/>
      <c r="U2" s="124"/>
      <c r="V2" s="12" t="s">
        <v>59</v>
      </c>
      <c r="W2" s="138">
        <f>J2</f>
        <v>44375</v>
      </c>
      <c r="X2" s="123"/>
      <c r="Y2" s="124"/>
    </row>
    <row r="3" spans="1:28" ht="20.100000000000001" customHeight="1" x14ac:dyDescent="0.25">
      <c r="A3" s="125" t="s">
        <v>197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 xml:space="preserve">******NEW ITEM ****** MUST NOT HAVE BURN UP -  MATERIAL MUST NOT BE SPLITTY - 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50</v>
      </c>
      <c r="P7" s="74"/>
      <c r="Q7" s="12" t="str">
        <f>IF(ISNUMBER(SEARCH("roll",O8,1)),"Per Roll","Per Carton")</f>
        <v>Per Carton</v>
      </c>
      <c r="R7" s="73">
        <v>100</v>
      </c>
      <c r="S7" s="74"/>
      <c r="T7" s="12" t="str">
        <f>IF(ISNUMBER(SEARCH("bag",O8,1)),"Total Bags","Total Sheets")</f>
        <v>Total Bags</v>
      </c>
      <c r="U7" s="123">
        <f>R7*O7</f>
        <v>5000</v>
      </c>
      <c r="V7" s="124"/>
      <c r="W7" s="12" t="s">
        <v>102</v>
      </c>
      <c r="X7" s="73" t="s">
        <v>31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600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150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3" t="s">
        <v>194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198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600</v>
      </c>
      <c r="S9" s="20" t="s">
        <v>78</v>
      </c>
      <c r="T9" s="35">
        <v>500</v>
      </c>
      <c r="U9" s="20" t="s">
        <v>78</v>
      </c>
      <c r="V9" s="35">
        <v>150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12</v>
      </c>
      <c r="C10" s="74"/>
      <c r="D10" s="54" t="s">
        <v>134</v>
      </c>
      <c r="E10" s="145">
        <f>IF(ISNUMBER(SEARCH("sheet",O8,1)),((R9*T9*H8/540000)*U7/2000*1.3),((R9*T9*H8/540000)*U7/1000*1.08))</f>
        <v>450</v>
      </c>
      <c r="F10" s="146"/>
      <c r="G10" s="12" t="s">
        <v>53</v>
      </c>
      <c r="H10" s="149">
        <f>IF(ISNUMBER(SEARCH("sheet",O8,1)),(U7*T9/2000*1.08),(U7*T9/1000*1.08))</f>
        <v>2700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37.5</v>
      </c>
      <c r="F11" s="148"/>
      <c r="G11" s="12" t="s">
        <v>15</v>
      </c>
      <c r="H11" s="147">
        <f>H10/B10</f>
        <v>225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50</v>
      </c>
      <c r="R13" s="12" t="s">
        <v>74</v>
      </c>
      <c r="S13" s="36" t="s">
        <v>138</v>
      </c>
      <c r="T13" s="12" t="s">
        <v>178</v>
      </c>
      <c r="U13" s="24">
        <f>IF(S13="No","",(ROUNDUP(U7/W13/24,0)))</f>
        <v>5</v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 t="s">
        <v>169</v>
      </c>
      <c r="P16" s="74"/>
      <c r="Q16" s="12" t="s">
        <v>105</v>
      </c>
      <c r="R16" s="73" t="s">
        <v>23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23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195</v>
      </c>
      <c r="P25" s="39"/>
      <c r="Q25" s="10">
        <v>26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44384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44375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180BA6A-EE71-42EF-B5C2-4DD9E0B2DF7A}"/>
</file>

<file path=customXml/itemProps2.xml><?xml version="1.0" encoding="utf-8"?>
<ds:datastoreItem xmlns:ds="http://schemas.openxmlformats.org/officeDocument/2006/customXml" ds:itemID="{81434100-24BE-4E7D-9C8D-2507B5F28A23}"/>
</file>

<file path=customXml/itemProps3.xml><?xml version="1.0" encoding="utf-8"?>
<ds:datastoreItem xmlns:ds="http://schemas.openxmlformats.org/officeDocument/2006/customXml" ds:itemID="{04CC9BC7-C580-4579-8169-B1F73FB833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2021-06-07T04:10:26Z</cp:lastPrinted>
  <dcterms:created xsi:type="dcterms:W3CDTF">2019-11-27T23:28:06Z</dcterms:created>
  <dcterms:modified xsi:type="dcterms:W3CDTF">2021-06-07T04:51:48Z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