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A55368C-1410-451F-AC23-EC70666DAB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<sst xmlns="http://schemas.openxmlformats.org/spreadsheetml/2006/main" count="308" uniqueCount="203">
  <si>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</si>
  <si>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</si>
  <si>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</si>
  <si>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</si>
  <si>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</si>
  <si>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</si>
  <si>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</si>
  <si>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</si>
  <si>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</si>
  <si>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</si>
  <si>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</si>
  <si>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</si>
  <si>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</si>
  <si>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</si>
  <si>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</si>
  <si>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</si>
  <si>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</si>
  <si>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</si>
  <si>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</si>
  <si>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</si>
  <si>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</si>
  <si>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</si>
  <si>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</si>
  <si>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</si>
  <si>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</si>
  <si>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</si>
  <si>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</si>
  <si>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</si>
  <si>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</si>
  <si>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</si>
  <si>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</si>
  <si>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</si>
  <si>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</si>
  <si>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</si>
  <si>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</si>
  <si>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</si>
  <si>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</si>
  <si>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</si>
  <si>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</si>
  <si>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</si>
  <si>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</si>
  <si>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</si>
  <si>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</si>
  <si>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</si>
  <si>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</si>
  <si>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</si>
  <si>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</si>
  <si>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</si>
  <si>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</si>
  <si>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</si>
  <si>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</si>
  <si>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</si>
  <si>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</si>
  <si>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</si>
  <si>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</si>
  <si>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</si>
  <si>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</si>
  <si>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</si>
  <si>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</si>
  <si>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</si>
  <si>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</si>
  <si>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</si>
  <si>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</si>
  <si>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</si>
  <si>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</si>
  <si>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</si>
  <si>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</si>
  <si>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</si>
  <si>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</si>
  <si>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</si>
  <si>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</si>
  <si>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</si>
  <si>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</si>
  <si>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</si>
  <si>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</si>
  <si>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</si>
  <si>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</si>
  <si>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</si>
  <si>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</si>
  <si>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</si>
  <si>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</si>
  <si>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</si>
  <si>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</si>
  <si>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</si>
  <si>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</si>
  <si>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</si>
  <si>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</si>
  <si>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</si>
  <si>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</si>
  <si>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</si>
  <si>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</si>
  <si>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</si>
  <si>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</si>
  <si>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</si>
  <si>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</si>
  <si>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</si>
  <si>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</si>
  <si>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</si>
  <si>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</si>
  <si>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</si>
  <si>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</si>
  <si>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</si>
  <si>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</si>
  <si>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</si>
  <si>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</si>
  <si>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</si>
  <si>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</si>
  <si>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</si>
  <si>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</si>
  <si>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</si>
  <si>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</si>
  <si>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</si>
  <si>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</si>
  <si>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</si>
  <si>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</si>
  <si>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</si>
  <si>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</si>
  <si>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</si>
  <si>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</si>
  <si>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</si>
  <si>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</si>
  <si>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</si>
  <si>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</si>
  <si>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</si>
  <si>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</si>
  <si>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</si>
  <si>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</si>
  <si>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</si>
  <si>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</si>
  <si>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</si>
  <si>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</si>
  <si>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</si>
  <si>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</si>
  <si>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</si>
  <si>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</si>
  <si>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</si>
  <si>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</si>
  <si>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</si>
  <si>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</si>
  <si>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</si>
  <si>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</si>
  <si>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</si>
  <si>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</si>
  <si>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</si>
  <si>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</si>
  <si>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</si>
  <si>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</si>
  <si>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</si>
  <si>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</si>
  <si>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</si>
  <si>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</si>
  <si>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</si>
  <si>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</si>
  <si>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</si>
  <si>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</si>
  <si>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</si>
  <si>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</si>
  <si>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</si>
  <si>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</si>
  <si>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</si>
  <si>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</si>
  <si>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</si>
  <si>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</si>
  <si>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</si>
  <si>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</si>
  <si>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</si>
  <si>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</si>
  <si>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</si>
  <si>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</si>
  <si>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</si>
  <si>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</si>
  <si>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</si>
  <si>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</si>
  <si>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</si>
  <si>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</si>
  <si>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</si>
  <si>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</si>
  <si>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</si>
  <si>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</si>
  <si>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</si>
  <si>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</si>
  <si>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</si>
  <si>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</si>
  <si>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</si>
  <si>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</si>
  <si>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</si>
  <si>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</si>
  <si>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</si>
  <si>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</si>
  <si>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</si>
  <si>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</si>
  <si>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</si>
  <si>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</si>
  <si>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</si>
  <si>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BUSHIES SEAFOOD</t>
  </si>
  <si>
    <t>NOT OVER</t>
  </si>
  <si>
    <t xml:space="preserve"> +5mm/- 0mm</t>
  </si>
  <si>
    <t>LINE CARTON WITH BLUE LINER - MUST HAVE WATER TIGHT SEALS.</t>
  </si>
  <si>
    <t>LIMAX</t>
  </si>
  <si>
    <t>02.12.2022</t>
  </si>
  <si>
    <t>#2</t>
  </si>
  <si>
    <t>ANTIBLOCK</t>
  </si>
  <si>
    <t>ABTISTATICS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</si>
</sst>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" sqref="B1:D1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PB2503054000</v>
      </c>
      <c r="C1" s="110"/>
      <c r="D1" s="111"/>
      <c r="E1" s="10" t="s">
        <v>57</v>
      </c>
      <c r="F1" s="121" t="s">
        <v>194</v>
      </c>
      <c r="G1" s="86"/>
      <c r="H1" s="87"/>
      <c r="I1" s="11" t="s">
        <v>181</v>
      </c>
      <c r="J1" s="83">
        <f ca="1">TODAY()</f>
        <v>45824</v>
      </c>
      <c r="K1" s="83"/>
      <c r="L1" s="84"/>
      <c r="M1" s="28"/>
      <c r="N1" s="10" t="s">
        <v>56</v>
      </c>
      <c r="O1" s="110" t="str">
        <f>B1</f>
        <v>PB2503054000</v>
      </c>
      <c r="P1" s="110"/>
      <c r="Q1" s="111"/>
      <c r="R1" s="10" t="s">
        <v>57</v>
      </c>
      <c r="S1" s="110" t="str">
        <f>F1</f>
        <v>BUSHIES SEAFOOD</v>
      </c>
      <c r="T1" s="110"/>
      <c r="U1" s="111"/>
      <c r="V1" s="10" t="s">
        <v>181</v>
      </c>
      <c r="W1" s="83">
        <f ca="1">J1</f>
        <v>45824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86">
        <v>950001</v>
      </c>
      <c r="G2" s="86"/>
      <c r="H2" s="87"/>
      <c r="I2" s="10" t="s">
        <v>59</v>
      </c>
      <c r="J2" s="85" t="s">
        <v>199</v>
      </c>
      <c r="K2" s="86"/>
      <c r="L2" s="87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v>950001</v>
      </c>
      <c r="T2" s="110"/>
      <c r="U2" s="111"/>
      <c r="V2" s="10" t="s">
        <v>59</v>
      </c>
      <c r="W2" s="122" t="str">
        <f>J2</f>
        <v>02.12.2022</v>
      </c>
      <c r="X2" s="110"/>
      <c r="Y2" s="111"/>
    </row>
    <row r="3" spans="1:25" ht="20.100000000000001" customHeight="1" x14ac:dyDescent="0.25">
      <c r="A3" s="112" t="s">
        <v>197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LINE CARTON WITH BLUE LINER - MUST HAVE WATER TIGHT SEALS.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20</v>
      </c>
      <c r="P7" s="87"/>
      <c r="Q7" s="10" t="str">
        <f>IF(ISNUMBER(SEARCH("roll",O8,1)),"Per Roll","Per Carton")</f>
        <v>Per Carton</v>
      </c>
      <c r="R7" s="86">
        <v>1000</v>
      </c>
      <c r="S7" s="87"/>
      <c r="T7" s="10" t="str">
        <f>IF(ISNUMBER(SEARCH("bag",O8,1)),"Total Bags","Total Sheets")</f>
        <v>Total Bags</v>
      </c>
      <c r="U7" s="110">
        <f>R7*O7</f>
        <v>20000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250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40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98" t="s">
        <v>196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195</v>
      </c>
      <c r="I9" s="99"/>
      <c r="J9" s="10" t="s">
        <v>55</v>
      </c>
      <c r="K9" s="86" t="s">
        <v>30</v>
      </c>
      <c r="L9" s="87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250</v>
      </c>
      <c r="S9" s="17" t="s">
        <v>78</v>
      </c>
      <c r="T9" s="29">
        <v>305</v>
      </c>
      <c r="U9" s="17" t="s">
        <v>78</v>
      </c>
      <c r="V9" s="29">
        <v>40</v>
      </c>
      <c r="W9" s="16"/>
      <c r="X9" s="136"/>
      <c r="Y9" s="137"/>
    </row>
    <row r="10" spans="1:25" ht="20.100000000000001" customHeight="1" x14ac:dyDescent="0.25">
      <c r="A10" s="10" t="s">
        <v>51</v>
      </c>
      <c r="B10" s="86">
        <v>6</v>
      </c>
      <c r="C10" s="87"/>
      <c r="D10" s="46" t="s">
        <v>134</v>
      </c>
      <c r="E10" s="100">
        <f>IF(ISNUMBER(SEARCH("sheet",O8,1)),((R9*T9*H8/540000)*U7/2000*1.3),((R9*T9*H8/540000)*U7/1000*1.08))</f>
        <v>122</v>
      </c>
      <c r="F10" s="101"/>
      <c r="G10" s="10" t="s">
        <v>53</v>
      </c>
      <c r="H10" s="104">
        <f>IF(ISNUMBER(SEARCH("sheet",O8,1)),(U7*T9/2000*1.08),(U7*T9/1000*1.08))</f>
        <v>6588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None</v>
      </c>
      <c r="S10" s="123"/>
      <c r="T10" s="13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20.333333333333332</v>
      </c>
      <c r="F11" s="103"/>
      <c r="G11" s="10" t="s">
        <v>15</v>
      </c>
      <c r="H11" s="102">
        <f>H10/B10</f>
        <v>1098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2"/>
      <c r="V11" s="132"/>
      <c r="W11" s="132"/>
      <c r="X11" s="132"/>
      <c r="Y11" s="133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9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9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 t="s">
        <v>168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37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9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141" t="s">
        <v>116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00000000000001" customHeight="1" x14ac:dyDescent="0.25">
      <c r="A23" s="78" t="s">
        <v>201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9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 t="s">
        <v>202</v>
      </c>
      <c r="B24" s="80"/>
      <c r="C24" s="7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198</v>
      </c>
      <c r="P25" s="33"/>
      <c r="Q25" s="9">
        <v>26</v>
      </c>
      <c r="R25" s="9"/>
      <c r="S25" s="9"/>
      <c r="T25" s="9"/>
      <c r="U25" s="9"/>
      <c r="V25" s="9"/>
      <c r="W25" s="9">
        <v>16</v>
      </c>
      <c r="X25" s="9">
        <v>12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8" t="s">
        <v>132</v>
      </c>
      <c r="H26" s="138"/>
      <c r="I26" s="138" t="s">
        <v>131</v>
      </c>
      <c r="J26" s="138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200</v>
      </c>
      <c r="C27" s="7"/>
      <c r="D27" s="150">
        <v>51</v>
      </c>
      <c r="E27" s="151">
        <v>5.7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4"/>
      <c r="G29" s="134"/>
      <c r="H29" s="134"/>
      <c r="I29" s="134"/>
      <c r="J29" s="134"/>
      <c r="K29" s="91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45854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45845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4AEDDC1-133D-4906-9B67-B3D3DE52DD9B}"/>
</file>

<file path=customXml/itemProps2.xml><?xml version="1.0" encoding="utf-8"?>
<ds:datastoreItem xmlns:ds="http://schemas.openxmlformats.org/officeDocument/2006/customXml" ds:itemID="{8399A398-805B-4E12-AC33-C1011717AB97}"/>
</file>

<file path=customXml/itemProps3.xml><?xml version="1.0" encoding="utf-8"?>
<ds:datastoreItem xmlns:ds="http://schemas.openxmlformats.org/officeDocument/2006/customXml" ds:itemID="{01100446-543A-4FBA-BD20-A9A907428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2022-10-14T00:48:16Z</cp:lastPrinted>
  <dcterms:created xsi:type="dcterms:W3CDTF">2019-11-27T23:28:06Z</dcterms:created>
  <dcterms:modified xsi:type="dcterms:W3CDTF">2025-06-16T05:39:40Z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