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14AF644-2E92-4AA3-BCC4-DBB63E6772F4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<sst xmlns="http://schemas.openxmlformats.org/spreadsheetml/2006/main" count="307" uniqueCount="201">
  <si>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</si>
  <si>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</si>
  <si>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</si>
  <si>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</si>
  <si>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</si>
  <si>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</si>
  <si>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</si>
  <si>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</si>
  <si>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</si>
  <si>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</si>
  <si>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</si>
  <si>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</si>
  <si>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</si>
  <si>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</si>
  <si>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</si>
  <si>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</si>
  <si>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</si>
  <si>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</si>
  <si>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</si>
  <si>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</si>
  <si>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</si>
  <si>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</si>
  <si>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</si>
  <si>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</si>
  <si>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</si>
  <si>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</si>
  <si>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</si>
  <si>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</si>
  <si>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</si>
  <si>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</si>
  <si>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</si>
  <si>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</si>
  <si>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</si>
  <si>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</si>
  <si>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</si>
  <si>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</si>
  <si>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</si>
  <si>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</si>
  <si>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</si>
  <si>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</si>
  <si>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</si>
  <si>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</si>
  <si>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</si>
  <si>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</si>
  <si>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</si>
  <si>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</si>
  <si>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</si>
  <si>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</si>
  <si>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</si>
  <si>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</si>
  <si>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</si>
  <si>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</si>
  <si>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</si>
  <si>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</si>
  <si>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</si>
  <si>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</si>
  <si>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</si>
  <si>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</si>
  <si>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</si>
  <si>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</si>
  <si>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</si>
  <si>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</si>
  <si>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</si>
  <si>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</si>
  <si>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</si>
  <si>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</si>
  <si>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</si>
  <si>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</si>
  <si>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</si>
  <si>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</si>
  <si>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</si>
  <si>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</si>
  <si>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</si>
  <si>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</si>
  <si>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</si>
  <si>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</si>
  <si>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</si>
  <si>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</si>
  <si>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</si>
  <si>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</si>
  <si>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</si>
  <si>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</si>
  <si>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</si>
  <si>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</si>
  <si>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</si>
  <si>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</si>
  <si>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</si>
  <si>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</si>
  <si>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</si>
  <si>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</si>
  <si>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</si>
  <si>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</si>
  <si>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</si>
  <si>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</si>
  <si>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</si>
  <si>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</si>
  <si>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</si>
  <si>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</si>
  <si>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</si>
  <si>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</si>
  <si>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</si>
  <si>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</si>
  <si>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</si>
  <si>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</si>
  <si>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</si>
  <si>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</si>
  <si>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</si>
  <si>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</si>
  <si>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</si>
  <si>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</si>
  <si>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</si>
  <si>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</si>
  <si>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</si>
  <si>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</si>
  <si>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</si>
  <si>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</si>
  <si>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</si>
  <si>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</si>
  <si>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</si>
  <si>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</si>
  <si>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</si>
  <si>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</si>
  <si>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</si>
  <si>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</si>
  <si>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</si>
  <si>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</si>
  <si>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</si>
  <si>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</si>
  <si>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</si>
  <si>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</si>
  <si>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</si>
  <si>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</si>
  <si>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</si>
  <si>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</si>
  <si>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</si>
  <si>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</si>
  <si>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</si>
  <si>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</si>
  <si>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</si>
  <si>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</si>
  <si>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</si>
  <si>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</si>
  <si>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</si>
  <si>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</si>
  <si>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</si>
  <si>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</si>
  <si>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</si>
  <si>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</si>
  <si>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</si>
  <si>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</si>
  <si>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</si>
  <si>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</si>
  <si>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</si>
  <si>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</si>
  <si>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</si>
  <si>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</si>
  <si>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</si>
  <si>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</si>
  <si>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</si>
  <si>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</si>
  <si>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</si>
  <si>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</si>
  <si>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</si>
  <si>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</si>
  <si>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</si>
  <si>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</si>
  <si>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</si>
  <si>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</si>
  <si>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</si>
  <si>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</si>
  <si>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</si>
  <si>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</si>
  <si>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</si>
  <si>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</si>
  <si>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</si>
  <si>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</si>
  <si>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</si>
  <si>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</si>
  <si>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</si>
  <si>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</si>
  <si>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</si>
  <si>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</si>
  <si>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</si>
  <si>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</si>
  <si>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</si>
  <si>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</si>
  <si>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</si>
  <si>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</si>
  <si>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</si>
  <si>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</si>
  <si>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</si>
  <si>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</si>
  <si>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</si>
  <si>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</si>
  <si>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</si>
  <si>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UV</t>
  </si>
  <si>
    <t>RUN AT 130-140UM</t>
  </si>
  <si>
    <t>NEW ITEM - DO NOT RUN OVER 140UM</t>
  </si>
  <si>
    <t>(130+120)</t>
  </si>
  <si>
    <t>EAST COAST CITRUS</t>
  </si>
  <si>
    <t>20.03.2023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</si>
</sst>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PB250G370140WHUVV</v>
      </c>
      <c r="C1" s="111"/>
      <c r="D1" s="112"/>
      <c r="E1" s="11" t="s">
        <v>57</v>
      </c>
      <c r="F1" s="62" t="s">
        <v>199</v>
      </c>
      <c r="G1" s="62"/>
      <c r="H1" s="63"/>
      <c r="I1" s="12" t="s">
        <v>181</v>
      </c>
      <c r="J1" s="122">
        <f ca="1">TODAY()</f>
        <v>44957</v>
      </c>
      <c r="K1" s="122"/>
      <c r="L1" s="123"/>
      <c r="M1" s="29"/>
      <c r="N1" s="11" t="s">
        <v>56</v>
      </c>
      <c r="O1" s="111" t="str">
        <f>B1</f>
        <v>PB250G370140WHUVV</v>
      </c>
      <c r="P1" s="111"/>
      <c r="Q1" s="112"/>
      <c r="R1" s="11" t="s">
        <v>57</v>
      </c>
      <c r="S1" s="111" t="str">
        <f>F1</f>
        <v>EAST COAST CITRUS</v>
      </c>
      <c r="T1" s="111"/>
      <c r="U1" s="112"/>
      <c r="V1" s="11" t="s">
        <v>181</v>
      </c>
      <c r="W1" s="122">
        <f ca="1">J1</f>
        <v>44957</v>
      </c>
      <c r="X1" s="122"/>
      <c r="Y1" s="123"/>
    </row>
    <row r="2" spans="1:25" ht="20.149999999999999" customHeight="1" x14ac:dyDescent="0.8">
      <c r="A2" s="11" t="s">
        <v>100</v>
      </c>
      <c r="B2" s="111" t="str">
        <f>IF(U10="","",U10)</f>
        <v>WHITE</v>
      </c>
      <c r="C2" s="111"/>
      <c r="D2" s="112"/>
      <c r="E2" s="11" t="s">
        <v>58</v>
      </c>
      <c r="F2" s="62">
        <v>945068</v>
      </c>
      <c r="G2" s="62"/>
      <c r="H2" s="63"/>
      <c r="I2" s="11" t="s">
        <v>59</v>
      </c>
      <c r="J2" s="125" t="s">
        <v>200</v>
      </c>
      <c r="K2" s="62"/>
      <c r="L2" s="63"/>
      <c r="M2" s="29"/>
      <c r="N2" s="11" t="s">
        <v>100</v>
      </c>
      <c r="O2" s="111" t="str">
        <f>IF(B2="","",B2)</f>
        <v>WHITE</v>
      </c>
      <c r="P2" s="111"/>
      <c r="Q2" s="112"/>
      <c r="R2" s="11" t="s">
        <v>58</v>
      </c>
      <c r="S2" s="111">
        <f>IF(F2="","",F2)</f>
        <v>945068</v>
      </c>
      <c r="T2" s="111"/>
      <c r="U2" s="112"/>
      <c r="V2" s="11" t="s">
        <v>59</v>
      </c>
      <c r="W2" s="124" t="str">
        <f>J2</f>
        <v>20.03.2023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ITEM - DO NOT RUN OVER 140UM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3" t="s">
        <v>155</v>
      </c>
      <c r="C7" s="103"/>
      <c r="D7" s="103"/>
      <c r="E7" s="103"/>
      <c r="F7" s="103"/>
      <c r="G7" s="103"/>
      <c r="H7" s="103"/>
      <c r="I7" s="104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11">
        <f>R7*O7</f>
        <v>5000</v>
      </c>
      <c r="V7" s="112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9">
        <f>R9</f>
        <v>250</v>
      </c>
      <c r="C8" s="100"/>
      <c r="D8" s="27" t="str">
        <f>IF(ISNUMBER(SEARCH("bag",O8,1)),"Gusset","Centrefold")</f>
        <v>Gusset</v>
      </c>
      <c r="E8" s="99" t="str">
        <f>IF(O8="Centrefold Roll",B8*2,IF(X9="","None",X9))</f>
        <v>(130+120)</v>
      </c>
      <c r="F8" s="100"/>
      <c r="G8" s="13" t="s">
        <v>52</v>
      </c>
      <c r="H8" s="99">
        <f>(IF(V9&lt;30,"30",V9))</f>
        <v>140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49999999999999" customHeight="1" x14ac:dyDescent="0.9">
      <c r="A9" s="16" t="s">
        <v>48</v>
      </c>
      <c r="B9" s="128" t="s">
        <v>193</v>
      </c>
      <c r="C9" s="129"/>
      <c r="D9" s="136" t="str">
        <f>IF(K10="Middle","RUN 2 UP",IF(AND(O8="Centrefold Roll",B8=380),"RUN 2 UP",""))</f>
        <v/>
      </c>
      <c r="E9" s="103"/>
      <c r="F9" s="104"/>
      <c r="G9" s="16" t="s">
        <v>48</v>
      </c>
      <c r="H9" s="128" t="s">
        <v>196</v>
      </c>
      <c r="I9" s="129"/>
      <c r="J9" s="11" t="s">
        <v>55</v>
      </c>
      <c r="K9" s="62" t="s">
        <v>30</v>
      </c>
      <c r="L9" s="63"/>
      <c r="M9" s="29"/>
      <c r="N9" s="17"/>
      <c r="O9" s="105" t="str">
        <f>IF(O8="Poly Bag","PB",IF(O8="Poly Bag Roll","PBR",IF(O8="Centrefold Roll","CFR",IF(O8="Sheet","S",IF(O8="Sheet Roll","SR")))))</f>
        <v>PB</v>
      </c>
      <c r="P9" s="106"/>
      <c r="Q9" s="17"/>
      <c r="R9" s="30">
        <v>250</v>
      </c>
      <c r="S9" s="18" t="s">
        <v>78</v>
      </c>
      <c r="T9" s="30">
        <v>370</v>
      </c>
      <c r="U9" s="18" t="s">
        <v>78</v>
      </c>
      <c r="V9" s="30">
        <v>140</v>
      </c>
      <c r="W9" s="17"/>
      <c r="X9" s="88" t="s">
        <v>198</v>
      </c>
      <c r="Y9" s="89"/>
    </row>
    <row r="10" spans="1:25" ht="20.149999999999999" customHeight="1" x14ac:dyDescent="0.8">
      <c r="A10" s="11" t="s">
        <v>51</v>
      </c>
      <c r="B10" s="62">
        <v>8</v>
      </c>
      <c r="C10" s="63"/>
      <c r="D10" s="47" t="s">
        <v>134</v>
      </c>
      <c r="E10" s="130">
        <f>IF(ISNUMBER(SEARCH("sheet",O8,1)),((R9*T9*H8/540000)*U7/2000*1.3),((R9*T9*H8/540000)*U7/1000*1.08))</f>
        <v>129.5</v>
      </c>
      <c r="F10" s="131"/>
      <c r="G10" s="11" t="s">
        <v>53</v>
      </c>
      <c r="H10" s="134">
        <f>IF(ISNUMBER(SEARCH("sheet",O8,1)),(U7*T9/2000*1.08),(U7*T9/1000*1.08))</f>
        <v>1998.0000000000002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1" t="s">
        <v>188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155</v>
      </c>
      <c r="V10" s="107"/>
      <c r="W10" s="107"/>
      <c r="X10" s="107"/>
      <c r="Y10" s="108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16.1875</v>
      </c>
      <c r="F11" s="133"/>
      <c r="G11" s="11" t="s">
        <v>15</v>
      </c>
      <c r="H11" s="132">
        <f>H10/B10</f>
        <v>249.75000000000003</v>
      </c>
      <c r="I11" s="133"/>
      <c r="J11" s="11" t="s">
        <v>50</v>
      </c>
      <c r="K11" s="62" t="s">
        <v>44</v>
      </c>
      <c r="L11" s="63"/>
      <c r="M11" s="29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0" t="s">
        <v>4</v>
      </c>
      <c r="F16" s="140"/>
      <c r="G16" s="140" t="s">
        <v>5</v>
      </c>
      <c r="H16" s="140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5" t="s">
        <v>147</v>
      </c>
      <c r="D17" s="96"/>
      <c r="E17" s="92"/>
      <c r="F17" s="91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5" t="s">
        <v>146</v>
      </c>
      <c r="D18" s="96"/>
      <c r="E18" s="92"/>
      <c r="F18" s="91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185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5" t="s">
        <v>145</v>
      </c>
      <c r="D19" s="96"/>
      <c r="E19" s="92"/>
      <c r="F19" s="91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5" t="s">
        <v>144</v>
      </c>
      <c r="D20" s="96"/>
      <c r="E20" s="92"/>
      <c r="F20" s="91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5" t="s">
        <v>143</v>
      </c>
      <c r="D21" s="96"/>
      <c r="E21" s="92"/>
      <c r="F21" s="91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WHITE</v>
      </c>
      <c r="B22" s="61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6"/>
      <c r="E22" s="92"/>
      <c r="F22" s="91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1" t="s">
        <v>195</v>
      </c>
      <c r="B23" s="141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90">
        <v>0.02</v>
      </c>
      <c r="F23" s="91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2"/>
      <c r="B24" s="143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92"/>
      <c r="F24" s="91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4" t="s">
        <v>132</v>
      </c>
      <c r="H26" s="94"/>
      <c r="I26" s="94" t="s">
        <v>131</v>
      </c>
      <c r="J26" s="94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7" t="s">
        <v>136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9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B9ACC6B-D569-46A5-BA38-240353042824}"/>
</file>

<file path=customXml/itemProps2.xml><?xml version="1.0" encoding="utf-8"?>
<ds:datastoreItem xmlns:ds="http://schemas.openxmlformats.org/officeDocument/2006/customXml" ds:itemID="{08D2D37E-2E88-44F2-BD9A-238F23E859F3}"/>
</file>

<file path=customXml/itemProps3.xml><?xml version="1.0" encoding="utf-8"?>
<ds:datastoreItem xmlns:ds="http://schemas.openxmlformats.org/officeDocument/2006/customXml" ds:itemID="{6C667FBA-7B14-46FB-AF4C-B76A7A50E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2023-01-31T01:00:20Z</cp:lastPrinted>
  <dcterms:created xsi:type="dcterms:W3CDTF">2019-11-27T23:28:06Z</dcterms:created>
  <dcterms:modified xsi:type="dcterms:W3CDTF">2023-01-31T01:00:30Z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