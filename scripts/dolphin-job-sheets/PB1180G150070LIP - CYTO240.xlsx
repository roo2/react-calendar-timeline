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E7EE300-9774-4B3E-B186-FD0CEEA73587}" xr6:coauthVersionLast="47" xr6:coauthVersionMax="47" xr10:uidLastSave="{00000000-0000-0000-0000-000000000000}"/>
  <bookViews>
    <workbookView xWindow="33855" yWindow="1425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<sst xmlns="http://schemas.openxmlformats.org/spreadsheetml/2006/main" count="313" uniqueCount="205">
  <si>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</si>
  <si>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</si>
  <si>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</si>
  <si>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</si>
  <si>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</si>
  <si>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</si>
  <si>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</si>
  <si>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</si>
  <si>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</si>
  <si>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</si>
  <si>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</si>
  <si>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</si>
  <si>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</si>
  <si>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</si>
  <si>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</si>
  <si>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</si>
  <si>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</si>
  <si>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</si>
  <si>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</si>
  <si>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</si>
  <si>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</si>
  <si>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</si>
  <si>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</si>
  <si>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</si>
  <si>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</si>
  <si>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</si>
  <si>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</si>
  <si>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</si>
  <si>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</si>
  <si>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</si>
  <si>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</si>
  <si>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</si>
  <si>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</si>
  <si>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</si>
  <si>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</si>
  <si>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</si>
  <si>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</si>
  <si>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</si>
  <si>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</si>
  <si>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</si>
  <si>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</si>
  <si>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</si>
  <si>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</si>
  <si>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</si>
  <si>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</si>
  <si>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</si>
  <si>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</si>
  <si>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</si>
  <si>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</si>
  <si>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</si>
  <si>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</si>
  <si>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</si>
  <si>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</si>
  <si>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</si>
  <si>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</si>
  <si>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</si>
  <si>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</si>
  <si>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</si>
  <si>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</si>
  <si>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</si>
  <si>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</si>
  <si>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</si>
  <si>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</si>
  <si>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</si>
  <si>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</si>
  <si>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</si>
  <si>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</si>
  <si>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</si>
  <si>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</si>
  <si>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</si>
  <si>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</si>
  <si>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</si>
  <si>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</si>
  <si>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</si>
  <si>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</si>
  <si>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</si>
  <si>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</si>
  <si>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</si>
  <si>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</si>
  <si>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</si>
  <si>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</si>
  <si>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</si>
  <si>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</si>
  <si>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</si>
  <si>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</si>
  <si>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</si>
  <si>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</si>
  <si>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</si>
  <si>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</si>
  <si>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</si>
  <si>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</si>
  <si>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</si>
  <si>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</si>
  <si>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</si>
  <si>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</si>
  <si>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</si>
  <si>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</si>
  <si>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</si>
  <si>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</si>
  <si>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</si>
  <si>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</si>
  <si>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</si>
  <si>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</si>
  <si>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</si>
  <si>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</si>
  <si>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</si>
  <si>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</si>
  <si>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</si>
  <si>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</si>
  <si>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</si>
  <si>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</si>
  <si>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</si>
  <si>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</si>
  <si>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</si>
  <si>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</si>
  <si>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</si>
  <si>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</si>
  <si>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</si>
  <si>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</si>
  <si>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</si>
  <si>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</si>
  <si>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</si>
  <si>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</si>
  <si>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</si>
  <si>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</si>
  <si>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</si>
  <si>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</si>
  <si>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</si>
  <si>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</si>
  <si>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</si>
  <si>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</si>
  <si>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</si>
  <si>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</si>
  <si>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</si>
  <si>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</si>
  <si>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</si>
  <si>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</si>
  <si>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</si>
  <si>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</si>
  <si>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</si>
  <si>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</si>
  <si>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</si>
  <si>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</si>
  <si>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</si>
  <si>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</si>
  <si>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</si>
  <si>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</si>
  <si>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</si>
  <si>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</si>
  <si>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</si>
  <si>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</si>
  <si>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</si>
  <si>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</si>
  <si>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</si>
  <si>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</si>
  <si>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</si>
  <si>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</si>
  <si>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</si>
  <si>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</si>
  <si>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</si>
  <si>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</si>
  <si>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</si>
  <si>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</si>
  <si>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</si>
  <si>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</si>
  <si>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</si>
  <si>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</si>
  <si>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</si>
  <si>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</si>
  <si>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</si>
  <si>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</si>
  <si>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</si>
  <si>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</si>
  <si>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</si>
  <si>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</si>
  <si>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</si>
  <si>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</si>
  <si>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</si>
  <si>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</si>
  <si>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</si>
  <si>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</si>
  <si>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</si>
  <si>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</si>
  <si>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</si>
  <si>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</si>
  <si>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</si>
  <si>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</si>
  <si>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</si>
  <si>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</si>
  <si>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</si>
  <si>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</si>
  <si>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</si>
  <si>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</si>
  <si>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</si>
  <si>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(750+430)</t>
  </si>
  <si>
    <t>"CYTOTOXIC WASTE"</t>
  </si>
  <si>
    <t>CYTO240</t>
  </si>
  <si>
    <t xml:space="preserve"> +/- 10mm</t>
  </si>
  <si>
    <t xml:space="preserve">LIMAX </t>
  </si>
  <si>
    <t>NOT OVER 60UM</t>
  </si>
  <si>
    <t>ANTIBLOCK</t>
  </si>
  <si>
    <t>#65</t>
  </si>
  <si>
    <t>GREENSLOPES</t>
  </si>
  <si>
    <t>%</t>
  </si>
  <si>
    <t>MAKE 20 CARTONS AND 20 ROLLS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</si>
</sst>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6" fillId="0" borderId="2" xfId="0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PB1180G150060LIWH0P</v>
      </c>
      <c r="C1" s="110"/>
      <c r="D1" s="111"/>
      <c r="E1" s="10" t="s">
        <v>57</v>
      </c>
      <c r="F1" s="121" t="s">
        <v>202</v>
      </c>
      <c r="G1" s="121"/>
      <c r="H1" s="122"/>
      <c r="I1" s="11" t="s">
        <v>181</v>
      </c>
      <c r="J1" s="123">
        <f ca="1">TODAY()</f>
        <v>46083</v>
      </c>
      <c r="K1" s="123"/>
      <c r="L1" s="124"/>
      <c r="M1" s="28"/>
      <c r="N1" s="10" t="s">
        <v>56</v>
      </c>
      <c r="O1" s="110" t="str">
        <f>B1</f>
        <v>PB1180G150060LIWH0P</v>
      </c>
      <c r="P1" s="110"/>
      <c r="Q1" s="111"/>
      <c r="R1" s="10" t="s">
        <v>57</v>
      </c>
      <c r="S1" s="110" t="str">
        <f>F1</f>
        <v>GREENSLOPES</v>
      </c>
      <c r="T1" s="110"/>
      <c r="U1" s="111"/>
      <c r="V1" s="10" t="s">
        <v>181</v>
      </c>
      <c r="W1" s="123">
        <f ca="1">J1</f>
        <v>46083</v>
      </c>
      <c r="X1" s="123"/>
      <c r="Y1" s="124"/>
    </row>
    <row r="2" spans="1:25" ht="20.100000000000001" customHeight="1" x14ac:dyDescent="0.25">
      <c r="A2" s="10" t="s">
        <v>100</v>
      </c>
      <c r="B2" s="110" t="str">
        <f>IF(U10="","",U10)</f>
        <v>CYTO240</v>
      </c>
      <c r="C2" s="110"/>
      <c r="D2" s="111"/>
      <c r="E2" s="10" t="s">
        <v>58</v>
      </c>
      <c r="F2" s="62">
        <v>951624</v>
      </c>
      <c r="G2" s="62"/>
      <c r="H2" s="63"/>
      <c r="I2" s="10" t="s">
        <v>59</v>
      </c>
      <c r="J2" s="126" t="s">
        <v>192</v>
      </c>
      <c r="K2" s="62"/>
      <c r="L2" s="63"/>
      <c r="M2" s="28"/>
      <c r="N2" s="10" t="s">
        <v>100</v>
      </c>
      <c r="O2" s="110" t="str">
        <f>IF(B2="","",B2)</f>
        <v>CYTO240</v>
      </c>
      <c r="P2" s="110"/>
      <c r="Q2" s="111"/>
      <c r="R2" s="10" t="s">
        <v>58</v>
      </c>
      <c r="S2" s="110">
        <f>IF(F2="","",F2)</f>
        <v>951624</v>
      </c>
      <c r="T2" s="110"/>
      <c r="U2" s="111"/>
      <c r="V2" s="10" t="s">
        <v>59</v>
      </c>
      <c r="W2" s="125" t="str">
        <f>J2</f>
        <v>ASAP</v>
      </c>
      <c r="X2" s="110"/>
      <c r="Y2" s="111"/>
    </row>
    <row r="3" spans="1:25" ht="20.100000000000001" customHeight="1" x14ac:dyDescent="0.25">
      <c r="A3" s="112" t="s">
        <v>204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 t="str">
        <f>A3</f>
        <v>MAKE 20 CARTONS AND 20 ROLLS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127" t="s">
        <v>2</v>
      </c>
      <c r="B6" s="128"/>
      <c r="C6" s="128"/>
      <c r="D6" s="128"/>
      <c r="E6" s="128"/>
      <c r="F6" s="128"/>
      <c r="G6" s="128"/>
      <c r="H6" s="128"/>
      <c r="I6" s="128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02" t="s">
        <v>174</v>
      </c>
      <c r="C7" s="102"/>
      <c r="D7" s="102"/>
      <c r="E7" s="102"/>
      <c r="F7" s="102"/>
      <c r="G7" s="102"/>
      <c r="H7" s="102"/>
      <c r="I7" s="103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20</v>
      </c>
      <c r="P7" s="63"/>
      <c r="Q7" s="10" t="str">
        <f>IF(ISNUMBER(SEARCH("roll",O8,1)),"Per Roll","Per Carton")</f>
        <v>Per Carton</v>
      </c>
      <c r="R7" s="62">
        <v>100</v>
      </c>
      <c r="S7" s="63"/>
      <c r="T7" s="10" t="str">
        <f>IF(ISNUMBER(SEARCH("bag",O8,1)),"Total Bags","Total Sheets")</f>
        <v>Total Bags</v>
      </c>
      <c r="U7" s="110">
        <f>R7*O7</f>
        <v>2000</v>
      </c>
      <c r="V7" s="111"/>
      <c r="W7" s="10" t="s">
        <v>102</v>
      </c>
      <c r="X7" s="62" t="s">
        <v>31</v>
      </c>
      <c r="Y7" s="63"/>
    </row>
    <row r="8" spans="1:25" ht="20.100000000000001" customHeight="1" x14ac:dyDescent="0.25">
      <c r="A8" s="12" t="s">
        <v>16</v>
      </c>
      <c r="B8" s="98">
        <f>R9</f>
        <v>1180</v>
      </c>
      <c r="C8" s="99"/>
      <c r="D8" s="26" t="str">
        <f>IF(ISNUMBER(SEARCH("bag",O8,1)),"Gusset","Centrefold")</f>
        <v>Gusset</v>
      </c>
      <c r="E8" s="98" t="str">
        <f>IF(O8="Centrefold Roll",B8*2,IF(X9="","None",X9))</f>
        <v>(750+430)</v>
      </c>
      <c r="F8" s="99"/>
      <c r="G8" s="12" t="s">
        <v>52</v>
      </c>
      <c r="H8" s="98">
        <f>(IF(V9&lt;30,"30",V9))</f>
        <v>60</v>
      </c>
      <c r="I8" s="99"/>
      <c r="J8" s="10" t="s">
        <v>54</v>
      </c>
      <c r="K8" s="110" t="str">
        <f>IF(X8="None","Layflat Tube",IF(X8="","Layflat Tube",IF(X8="CF","Layflat Tube",IF(X8="G","Gusset Tube",IF(X9="","Layflat Tube",)))))</f>
        <v>Gusset Tube</v>
      </c>
      <c r="L8" s="111"/>
      <c r="M8" s="28"/>
      <c r="N8" s="13" t="s">
        <v>54</v>
      </c>
      <c r="O8" s="100" t="s">
        <v>164</v>
      </c>
      <c r="P8" s="101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G</v>
      </c>
      <c r="Y8" s="97"/>
    </row>
    <row r="9" spans="1:25" ht="20.100000000000001" customHeight="1" x14ac:dyDescent="0.3">
      <c r="A9" s="15" t="s">
        <v>48</v>
      </c>
      <c r="B9" s="129" t="s">
        <v>197</v>
      </c>
      <c r="C9" s="130"/>
      <c r="D9" s="137" t="str">
        <f>IF(K10="Middle","RUN 2 UP",IF(AND(O8="Centrefold Roll",B8=380),"RUN 2 UP",""))</f>
        <v/>
      </c>
      <c r="E9" s="102"/>
      <c r="F9" s="103"/>
      <c r="G9" s="15" t="s">
        <v>48</v>
      </c>
      <c r="H9" s="129" t="s">
        <v>199</v>
      </c>
      <c r="I9" s="130"/>
      <c r="J9" s="10" t="s">
        <v>55</v>
      </c>
      <c r="K9" s="62" t="s">
        <v>30</v>
      </c>
      <c r="L9" s="63"/>
      <c r="M9" s="28"/>
      <c r="N9" s="16"/>
      <c r="O9" s="104" t="str">
        <f>IF(O8="Poly Bag","PB",IF(O8="Poly Bag Roll","PBR",IF(O8="Centrefold Roll","CFR",IF(O8="Sheet","S",IF(O8="Sheet Roll","SR")))))</f>
        <v>PB</v>
      </c>
      <c r="P9" s="105"/>
      <c r="Q9" s="16"/>
      <c r="R9" s="29">
        <v>1180</v>
      </c>
      <c r="S9" s="17" t="s">
        <v>78</v>
      </c>
      <c r="T9" s="29">
        <v>1500</v>
      </c>
      <c r="U9" s="17" t="s">
        <v>78</v>
      </c>
      <c r="V9" s="29">
        <v>60</v>
      </c>
      <c r="W9" s="16"/>
      <c r="X9" s="88" t="s">
        <v>194</v>
      </c>
      <c r="Y9" s="89"/>
    </row>
    <row r="10" spans="1:25" ht="20.100000000000001" customHeight="1" x14ac:dyDescent="0.25">
      <c r="A10" s="10" t="s">
        <v>51</v>
      </c>
      <c r="B10" s="62">
        <v>16</v>
      </c>
      <c r="C10" s="63"/>
      <c r="D10" s="46" t="s">
        <v>134</v>
      </c>
      <c r="E10" s="131">
        <f>IF(ISNUMBER(SEARCH("sheet",O8,1)),((R9*T9*H8/540000)*U7/2000*1.3),((R9*T9*H8/540000)*U7/1000*1.08))</f>
        <v>424.8</v>
      </c>
      <c r="F10" s="132"/>
      <c r="G10" s="10" t="s">
        <v>53</v>
      </c>
      <c r="H10" s="135">
        <f>IF(ISNUMBER(SEARCH("sheet",O8,1)),(U7*T9/2000*1.08),(U7*T9/1000*1.08))</f>
        <v>3240</v>
      </c>
      <c r="I10" s="136"/>
      <c r="J10" s="10" t="s">
        <v>41</v>
      </c>
      <c r="K10" s="62" t="s">
        <v>44</v>
      </c>
      <c r="L10" s="63"/>
      <c r="M10" s="28"/>
      <c r="N10" s="13" t="s">
        <v>141</v>
      </c>
      <c r="O10" s="100" t="s">
        <v>44</v>
      </c>
      <c r="P10" s="101"/>
      <c r="Q10" s="13" t="s">
        <v>50</v>
      </c>
      <c r="R10" s="96" t="str">
        <f>IF(K11="NONE","None",IF(K11="INLINE","Yes",IF(K11="OUT OF LINE","Yes")))</f>
        <v>Yes</v>
      </c>
      <c r="S10" s="96"/>
      <c r="T10" s="13" t="s">
        <v>100</v>
      </c>
      <c r="U10" s="106" t="s">
        <v>196</v>
      </c>
      <c r="V10" s="106"/>
      <c r="W10" s="106"/>
      <c r="X10" s="106"/>
      <c r="Y10" s="107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33">
        <f>E10/B10</f>
        <v>26.55</v>
      </c>
      <c r="F11" s="134"/>
      <c r="G11" s="10" t="s">
        <v>15</v>
      </c>
      <c r="H11" s="133">
        <f>H10/B10</f>
        <v>202.5</v>
      </c>
      <c r="I11" s="134"/>
      <c r="J11" s="10" t="s">
        <v>50</v>
      </c>
      <c r="K11" s="62" t="s">
        <v>64</v>
      </c>
      <c r="L11" s="63"/>
      <c r="M11" s="28"/>
      <c r="N11" s="12"/>
      <c r="O11" s="98" t="str">
        <f>IF(O10="NONE","","V")</f>
        <v/>
      </c>
      <c r="P11" s="99"/>
      <c r="Q11" s="12"/>
      <c r="R11" s="98" t="str">
        <f>IF(R10="None","","P")</f>
        <v>P</v>
      </c>
      <c r="S11" s="99"/>
      <c r="T11" s="12"/>
      <c r="U11" s="108"/>
      <c r="V11" s="108"/>
      <c r="W11" s="108"/>
      <c r="X11" s="108"/>
      <c r="Y11" s="109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62" t="s">
        <v>70</v>
      </c>
      <c r="C13" s="62"/>
      <c r="D13" s="63"/>
      <c r="E13" s="18" t="s">
        <v>61</v>
      </c>
      <c r="F13" s="62" t="s">
        <v>66</v>
      </c>
      <c r="G13" s="62"/>
      <c r="H13" s="63"/>
      <c r="I13" s="10" t="s">
        <v>62</v>
      </c>
      <c r="J13" s="62" t="s">
        <v>155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20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>
        <v>10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2" t="s">
        <v>195</v>
      </c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41" t="s">
        <v>4</v>
      </c>
      <c r="F16" s="141"/>
      <c r="G16" s="141" t="s">
        <v>5</v>
      </c>
      <c r="H16" s="141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 t="s">
        <v>169</v>
      </c>
      <c r="P16" s="63"/>
      <c r="Q16" s="10" t="s">
        <v>105</v>
      </c>
      <c r="R16" s="62" t="s">
        <v>23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4" t="s">
        <v>147</v>
      </c>
      <c r="D17" s="95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37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23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4" t="s">
        <v>146</v>
      </c>
      <c r="D18" s="95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23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4" t="s">
        <v>145</v>
      </c>
      <c r="D19" s="95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4" t="s">
        <v>144</v>
      </c>
      <c r="D20" s="95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4" t="s">
        <v>143</v>
      </c>
      <c r="D21" s="95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>LILAC</v>
      </c>
      <c r="B22" s="61"/>
      <c r="C22" s="94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LI</v>
      </c>
      <c r="D22" s="95"/>
      <c r="E22" s="90" t="s">
        <v>203</v>
      </c>
      <c r="F22" s="91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2" t="s">
        <v>155</v>
      </c>
      <c r="B23" s="142"/>
      <c r="C23" s="94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WH</v>
      </c>
      <c r="D23" s="95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3" t="s">
        <v>200</v>
      </c>
      <c r="B24" s="144"/>
      <c r="C24" s="94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95"/>
      <c r="E24" s="90" t="s">
        <v>203</v>
      </c>
      <c r="F24" s="91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198</v>
      </c>
      <c r="P25" s="33"/>
      <c r="Q25" s="9">
        <v>24</v>
      </c>
      <c r="R25" s="9"/>
      <c r="S25" s="9"/>
      <c r="T25" s="9"/>
      <c r="U25" s="9"/>
      <c r="V25" s="9"/>
      <c r="W25" s="9">
        <v>17</v>
      </c>
      <c r="X25" s="9">
        <v>13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3" t="s">
        <v>132</v>
      </c>
      <c r="H26" s="93"/>
      <c r="I26" s="93" t="s">
        <v>131</v>
      </c>
      <c r="J26" s="93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1" t="s">
        <v>96</v>
      </c>
      <c r="B27" s="7" t="s">
        <v>201</v>
      </c>
      <c r="C27" s="7"/>
      <c r="D27" s="9">
        <v>90</v>
      </c>
      <c r="E27" s="58">
        <v>5</v>
      </c>
      <c r="F27" s="9">
        <v>5.6</v>
      </c>
      <c r="G27" s="92"/>
      <c r="H27" s="92"/>
      <c r="I27" s="92"/>
      <c r="J27" s="92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2"/>
      <c r="H28" s="92"/>
      <c r="I28" s="92"/>
      <c r="J28" s="92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38" t="s">
        <v>136</v>
      </c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40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46114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46104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CC6DACD-A0C1-4557-8FFE-985D45DE1366}"/>
</file>

<file path=customXml/itemProps2.xml><?xml version="1.0" encoding="utf-8"?>
<ds:datastoreItem xmlns:ds="http://schemas.openxmlformats.org/officeDocument/2006/customXml" ds:itemID="{DE32CD7B-540D-4DDF-82B4-C70D7666D084}"/>
</file>

<file path=customXml/itemProps3.xml><?xml version="1.0" encoding="utf-8"?>
<ds:datastoreItem xmlns:ds="http://schemas.openxmlformats.org/officeDocument/2006/customXml" ds:itemID="{E7CC1F87-CB38-41BD-AF9F-E7E828CE4E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2026-03-02T03:56:46Z</cp:lastPrinted>
  <dcterms:created xsi:type="dcterms:W3CDTF">2019-11-27T23:28:06Z</dcterms:created>
  <dcterms:modified xsi:type="dcterms:W3CDTF">2026-03-02T03:56:57Z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