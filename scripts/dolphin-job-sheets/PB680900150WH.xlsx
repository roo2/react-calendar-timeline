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DCAE510-933D-4012-AFE6-13034F6322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<sst xmlns="http://schemas.openxmlformats.org/spreadsheetml/2006/main" count="305" uniqueCount="199">
  <si>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</si>
  <si>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</si>
  <si>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</si>
  <si>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</si>
  <si>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</si>
  <si>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</si>
  <si>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</si>
  <si>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</si>
  <si>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</si>
  <si>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</si>
  <si>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</si>
  <si>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</si>
  <si>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</si>
  <si>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</si>
  <si>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</si>
  <si>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</si>
  <si>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</si>
  <si>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</si>
  <si>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</si>
  <si>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</si>
  <si>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</si>
  <si>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</si>
  <si>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</si>
  <si>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</si>
  <si>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</si>
  <si>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</si>
  <si>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</si>
  <si>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</si>
  <si>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</si>
  <si>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</si>
  <si>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</si>
  <si>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</si>
  <si>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</si>
  <si>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</si>
  <si>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</si>
  <si>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</si>
  <si>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</si>
  <si>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</si>
  <si>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</si>
  <si>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</si>
  <si>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</si>
  <si>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</si>
  <si>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</si>
  <si>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</si>
  <si>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</si>
  <si>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</si>
  <si>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</si>
  <si>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</si>
  <si>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</si>
  <si>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</si>
  <si>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</si>
  <si>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</si>
  <si>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</si>
  <si>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</si>
  <si>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</si>
  <si>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</si>
  <si>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</si>
  <si>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</si>
  <si>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</si>
  <si>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</si>
  <si>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</si>
  <si>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</si>
  <si>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</si>
  <si>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</si>
  <si>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</si>
  <si>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</si>
  <si>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</si>
  <si>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</si>
  <si>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</si>
  <si>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</si>
  <si>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</si>
  <si>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</si>
  <si>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</si>
  <si>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</si>
  <si>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</si>
  <si>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</si>
  <si>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</si>
  <si>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</si>
  <si>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</si>
  <si>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</si>
  <si>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</si>
  <si>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</si>
  <si>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</si>
  <si>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</si>
  <si>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</si>
  <si>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</si>
  <si>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</si>
  <si>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</si>
  <si>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</si>
  <si>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</si>
  <si>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</si>
  <si>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</si>
  <si>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</si>
  <si>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</si>
  <si>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</si>
  <si>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</si>
  <si>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</si>
  <si>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</si>
  <si>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</si>
  <si>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</si>
  <si>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</si>
  <si>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</si>
  <si>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</si>
  <si>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</si>
  <si>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</si>
  <si>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</si>
  <si>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</si>
  <si>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</si>
  <si>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</si>
  <si>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</si>
  <si>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</si>
  <si>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</si>
  <si>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</si>
  <si>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</si>
  <si>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</si>
  <si>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</si>
  <si>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</si>
  <si>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</si>
  <si>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</si>
  <si>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</si>
  <si>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</si>
  <si>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</si>
  <si>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</si>
  <si>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</si>
  <si>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</si>
  <si>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</si>
  <si>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</si>
  <si>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</si>
  <si>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</si>
  <si>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</si>
  <si>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</si>
  <si>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</si>
  <si>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</si>
  <si>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</si>
  <si>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</si>
  <si>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</si>
  <si>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</si>
  <si>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</si>
  <si>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</si>
  <si>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</si>
  <si>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</si>
  <si>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</si>
  <si>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</si>
  <si>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</si>
  <si>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</si>
  <si>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</si>
  <si>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</si>
  <si>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</si>
  <si>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</si>
  <si>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</si>
  <si>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</si>
  <si>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</si>
  <si>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</si>
  <si>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</si>
  <si>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</si>
  <si>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</si>
  <si>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</si>
  <si>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</si>
  <si>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</si>
  <si>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</si>
  <si>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</si>
  <si>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</si>
  <si>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</si>
  <si>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</si>
  <si>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</si>
  <si>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</si>
  <si>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</si>
  <si>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</si>
  <si>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</si>
  <si>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</si>
  <si>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</si>
  <si>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</si>
  <si>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</si>
  <si>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</si>
  <si>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</si>
  <si>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</si>
  <si>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</si>
  <si>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</si>
  <si>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</si>
  <si>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</si>
  <si>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</si>
  <si>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</si>
  <si>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</si>
  <si>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</si>
  <si>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</si>
  <si>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</si>
  <si>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</si>
  <si>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</si>
  <si>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</si>
  <si>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</si>
  <si>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</si>
  <si>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</si>
  <si>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</si>
  <si>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</si>
  <si>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LIMAX</t>
  </si>
  <si>
    <t>RUN AT 140um</t>
  </si>
  <si>
    <t xml:space="preserve"> +/- 10mm</t>
  </si>
  <si>
    <t>MATER TOWNSVILLE</t>
  </si>
  <si>
    <t>ORDER OVERDUE - PLEASE RUN ASAP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</si>
</sst>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18"/>
  <sheetViews>
    <sheetView tabSelected="1" zoomScale="80" zoomScaleNormal="80" workbookViewId="0">
      <selection activeCell="AF20" sqref="AF20"/>
    </sheetView>
  </sheetViews>
  <sheetFormatPr defaultRowHeight="15" x14ac:dyDescent="0.25"/>
  <sheetData>
    <row r="1" spans="1:30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PB680900150WH</v>
      </c>
      <c r="C1" s="122"/>
      <c r="D1" s="123"/>
      <c r="E1" s="12" t="s">
        <v>57</v>
      </c>
      <c r="F1" s="133" t="s">
        <v>197</v>
      </c>
      <c r="G1" s="134"/>
      <c r="H1" s="135"/>
      <c r="I1" s="13" t="s">
        <v>181</v>
      </c>
      <c r="J1" s="95">
        <f ca="1">TODAY()</f>
        <v>44620</v>
      </c>
      <c r="K1" s="95"/>
      <c r="L1" s="96"/>
      <c r="M1" s="34"/>
      <c r="N1" s="12" t="s">
        <v>56</v>
      </c>
      <c r="O1" s="122" t="str">
        <f>B1</f>
        <v>PB680900150WH</v>
      </c>
      <c r="P1" s="122"/>
      <c r="Q1" s="123"/>
      <c r="R1" s="12" t="s">
        <v>57</v>
      </c>
      <c r="S1" s="122" t="str">
        <f>F1</f>
        <v>MATER TOWNSVILLE</v>
      </c>
      <c r="T1" s="122"/>
      <c r="U1" s="123"/>
      <c r="V1" s="12" t="s">
        <v>181</v>
      </c>
      <c r="W1" s="95">
        <f ca="1">J1</f>
        <v>44620</v>
      </c>
      <c r="X1" s="95"/>
      <c r="Y1" s="96"/>
    </row>
    <row r="2" spans="1:30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942267</v>
      </c>
      <c r="G2" s="98"/>
      <c r="H2" s="99"/>
      <c r="I2" s="12" t="s">
        <v>59</v>
      </c>
      <c r="J2" s="97" t="s">
        <v>192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942267</v>
      </c>
      <c r="T2" s="122"/>
      <c r="U2" s="123"/>
      <c r="V2" s="12" t="s">
        <v>59</v>
      </c>
      <c r="W2" s="136" t="str">
        <f>J2</f>
        <v>ASAP</v>
      </c>
      <c r="X2" s="122"/>
      <c r="Y2" s="123"/>
    </row>
    <row r="3" spans="1:30" ht="20.100000000000001" customHeight="1" x14ac:dyDescent="0.25">
      <c r="A3" s="124" t="s">
        <v>198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ORDER OVERDUE - PLEASE RUN ASAP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30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30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30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  <c r="AD6">
        <v>16</v>
      </c>
    </row>
    <row r="7" spans="1:30" ht="20.100000000000001" customHeight="1" x14ac:dyDescent="0.3">
      <c r="A7" s="12" t="s">
        <v>49</v>
      </c>
      <c r="B7" s="119" t="s">
        <v>155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10</v>
      </c>
      <c r="P7" s="99"/>
      <c r="Q7" s="12" t="str">
        <f>IF(ISNUMBER(SEARCH("roll",O8,1)),"Per Roll","Per Carton")</f>
        <v>Per Carton</v>
      </c>
      <c r="R7" s="98">
        <v>100</v>
      </c>
      <c r="S7" s="99"/>
      <c r="T7" s="12" t="str">
        <f>IF(ISNUMBER(SEARCH("bag",O8,1)),"Total Bags","Total Sheets")</f>
        <v>Total Bags</v>
      </c>
      <c r="U7" s="122">
        <f>R7*O7</f>
        <v>1000</v>
      </c>
      <c r="V7" s="123"/>
      <c r="W7" s="12" t="s">
        <v>102</v>
      </c>
      <c r="X7" s="98" t="s">
        <v>23</v>
      </c>
      <c r="Y7" s="99"/>
      <c r="AB7" s="14"/>
    </row>
    <row r="8" spans="1:30" ht="20.100000000000001" customHeight="1" x14ac:dyDescent="0.25">
      <c r="A8" s="15" t="s">
        <v>16</v>
      </c>
      <c r="B8" s="100">
        <f>R9</f>
        <v>680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150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30" ht="20.100000000000001" customHeight="1" x14ac:dyDescent="0.3">
      <c r="A9" s="18" t="s">
        <v>48</v>
      </c>
      <c r="B9" s="110" t="s">
        <v>196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195</v>
      </c>
      <c r="I9" s="111"/>
      <c r="J9" s="12" t="s">
        <v>55</v>
      </c>
      <c r="K9" s="98" t="s">
        <v>30</v>
      </c>
      <c r="L9" s="99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680</v>
      </c>
      <c r="S9" s="20" t="s">
        <v>78</v>
      </c>
      <c r="T9" s="35">
        <v>900</v>
      </c>
      <c r="U9" s="20" t="s">
        <v>78</v>
      </c>
      <c r="V9" s="35">
        <v>150</v>
      </c>
      <c r="W9" s="19"/>
      <c r="X9" s="152"/>
      <c r="Y9" s="153"/>
    </row>
    <row r="10" spans="1:30" ht="20.100000000000001" customHeight="1" x14ac:dyDescent="0.25">
      <c r="A10" s="12" t="s">
        <v>51</v>
      </c>
      <c r="B10" s="98">
        <v>5</v>
      </c>
      <c r="C10" s="99"/>
      <c r="D10" s="54" t="s">
        <v>134</v>
      </c>
      <c r="E10" s="112">
        <f>IF(ISNUMBER(SEARCH("sheet",O8,1)),((R9*T9*H8/540000)*U7/2000*1.3),((R9*T9*H8/540000)*U7/1000*1.08))</f>
        <v>183.60000000000002</v>
      </c>
      <c r="F10" s="113"/>
      <c r="G10" s="12" t="s">
        <v>53</v>
      </c>
      <c r="H10" s="116">
        <f>IF(ISNUMBER(SEARCH("sheet",O8,1)),(U7*T9/2000*1.08),(U7*T9/1000*1.08))</f>
        <v>972.00000000000011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9" t="s">
        <v>44</v>
      </c>
      <c r="P10" s="140"/>
      <c r="Q10" s="16" t="s">
        <v>50</v>
      </c>
      <c r="R10" s="137" t="str">
        <f>IF(K11="NONE","None",IF(K11="INLINE","Yes",IF(K11="OUT OF LINE","Yes")))</f>
        <v>None</v>
      </c>
      <c r="S10" s="137"/>
      <c r="T10" s="16" t="s">
        <v>100</v>
      </c>
      <c r="U10" s="144"/>
      <c r="V10" s="144"/>
      <c r="W10" s="144"/>
      <c r="X10" s="144"/>
      <c r="Y10" s="145"/>
    </row>
    <row r="11" spans="1:30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36.720000000000006</v>
      </c>
      <c r="F11" s="115"/>
      <c r="G11" s="12" t="s">
        <v>15</v>
      </c>
      <c r="H11" s="114">
        <f>H10/B10</f>
        <v>194.40000000000003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6"/>
      <c r="V11" s="146"/>
      <c r="W11" s="146"/>
      <c r="X11" s="146"/>
      <c r="Y11" s="147"/>
    </row>
    <row r="12" spans="1:30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30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25</v>
      </c>
      <c r="X13" s="12" t="s">
        <v>76</v>
      </c>
      <c r="Y13" s="37"/>
    </row>
    <row r="14" spans="1:30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30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30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169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8"/>
      <c r="Y16" s="159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171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23</v>
      </c>
      <c r="V17" s="99"/>
      <c r="W17" s="12" t="str">
        <f>IF(ISNUMBER(SEARCH("roll",O8,1)),"Total Rolls","Total Ctns")</f>
        <v>Total Ctns</v>
      </c>
      <c r="X17" s="158"/>
      <c r="Y17" s="159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23</v>
      </c>
      <c r="S18" s="99"/>
      <c r="T18" s="25" t="s">
        <v>27</v>
      </c>
      <c r="U18" s="98" t="s">
        <v>36</v>
      </c>
      <c r="V18" s="99"/>
      <c r="W18" s="12" t="s">
        <v>109</v>
      </c>
      <c r="X18" s="158"/>
      <c r="Y18" s="159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60" t="s">
        <v>116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100000000000001" customHeight="1" x14ac:dyDescent="0.25">
      <c r="A22" s="85" t="str">
        <f>(IF(B7="NATURAL","",B7))</f>
        <v>WHITE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194</v>
      </c>
      <c r="P25" s="39"/>
      <c r="Q25" s="10">
        <v>22</v>
      </c>
      <c r="R25" s="10"/>
      <c r="S25" s="10"/>
      <c r="T25" s="10"/>
      <c r="U25" s="10"/>
      <c r="V25" s="10"/>
      <c r="W25" s="10">
        <v>18</v>
      </c>
      <c r="X25" s="10">
        <v>14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44648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44641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F03E2AA-9863-4C0A-A7E8-34BB388E4A21}"/>
</file>

<file path=customXml/itemProps2.xml><?xml version="1.0" encoding="utf-8"?>
<ds:datastoreItem xmlns:ds="http://schemas.openxmlformats.org/officeDocument/2006/customXml" ds:itemID="{3639996D-DD06-4164-B5DA-26F005F9F52B}"/>
</file>

<file path=customXml/itemProps3.xml><?xml version="1.0" encoding="utf-8"?>
<ds:datastoreItem xmlns:ds="http://schemas.openxmlformats.org/officeDocument/2006/customXml" ds:itemID="{049649A7-B439-4431-958D-D0BB244981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2022-02-23T00:52:33Z</cp:lastPrinted>
  <dcterms:created xsi:type="dcterms:W3CDTF">2019-11-27T23:28:06Z</dcterms:created>
  <dcterms:modified xsi:type="dcterms:W3CDTF">2022-02-28T01:39:51Z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