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6B66176-0854-4B20-89F0-556C78DE0DA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<sst xmlns="http://schemas.openxmlformats.org/spreadsheetml/2006/main" count="306" uniqueCount="201">
  <si>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</si>
  <si>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</si>
  <si>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</si>
  <si>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</si>
  <si>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</si>
  <si>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</si>
  <si>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</si>
  <si>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</si>
  <si>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</si>
  <si>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</si>
  <si>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</si>
  <si>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</si>
  <si>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</si>
  <si>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</si>
  <si>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</si>
  <si>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</si>
  <si>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</si>
  <si>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</si>
  <si>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</si>
  <si>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</si>
  <si>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</si>
  <si>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</si>
  <si>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</si>
  <si>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</si>
  <si>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</si>
  <si>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</si>
  <si>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</si>
  <si>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</si>
  <si>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</si>
  <si>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</si>
  <si>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</si>
  <si>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</si>
  <si>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</si>
  <si>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</si>
  <si>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</si>
  <si>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</si>
  <si>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</si>
  <si>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</si>
  <si>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</si>
  <si>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</si>
  <si>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</si>
  <si>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</si>
  <si>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</si>
  <si>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</si>
  <si>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</si>
  <si>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</si>
  <si>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</si>
  <si>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</si>
  <si>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</si>
  <si>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</si>
  <si>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</si>
  <si>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</si>
  <si>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</si>
  <si>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</si>
  <si>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</si>
  <si>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</si>
  <si>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</si>
  <si>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</si>
  <si>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</si>
  <si>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</si>
  <si>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</si>
  <si>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</si>
  <si>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</si>
  <si>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</si>
  <si>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</si>
  <si>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</si>
  <si>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</si>
  <si>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</si>
  <si>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</si>
  <si>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</si>
  <si>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</si>
  <si>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</si>
  <si>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</si>
  <si>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</si>
  <si>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</si>
  <si>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</si>
  <si>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</si>
  <si>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</si>
  <si>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</si>
  <si>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</si>
  <si>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</si>
  <si>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</si>
  <si>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</si>
  <si>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</si>
  <si>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</si>
  <si>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</si>
  <si>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</si>
  <si>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</si>
  <si>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</si>
  <si>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</si>
  <si>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</si>
  <si>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</si>
  <si>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</si>
  <si>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</si>
  <si>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</si>
  <si>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</si>
  <si>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</si>
  <si>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</si>
  <si>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</si>
  <si>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</si>
  <si>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</si>
  <si>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</si>
  <si>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</si>
  <si>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</si>
  <si>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</si>
  <si>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</si>
  <si>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</si>
  <si>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</si>
  <si>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</si>
  <si>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</si>
  <si>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</si>
  <si>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</si>
  <si>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</si>
  <si>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</si>
  <si>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</si>
  <si>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</si>
  <si>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</si>
  <si>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</si>
  <si>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</si>
  <si>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</si>
  <si>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</si>
  <si>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</si>
  <si>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</si>
  <si>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</si>
  <si>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</si>
  <si>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</si>
  <si>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</si>
  <si>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</si>
  <si>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</si>
  <si>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</si>
  <si>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</si>
  <si>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</si>
  <si>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</si>
  <si>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</si>
  <si>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</si>
  <si>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</si>
  <si>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</si>
  <si>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</si>
  <si>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</si>
  <si>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</si>
  <si>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</si>
  <si>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</si>
  <si>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</si>
  <si>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</si>
  <si>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</si>
  <si>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</si>
  <si>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</si>
  <si>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</si>
  <si>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</si>
  <si>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</si>
  <si>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</si>
  <si>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</si>
  <si>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</si>
  <si>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</si>
  <si>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</si>
  <si>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</si>
  <si>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</si>
  <si>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</si>
  <si>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</si>
  <si>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</si>
  <si>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</si>
  <si>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</si>
  <si>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</si>
  <si>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</si>
  <si>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</si>
  <si>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</si>
  <si>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</si>
  <si>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</si>
  <si>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</si>
  <si>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</si>
  <si>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</si>
  <si>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</si>
  <si>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</si>
  <si>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</si>
  <si>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</si>
  <si>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</si>
  <si>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</si>
  <si>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</si>
  <si>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</si>
  <si>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</si>
  <si>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</si>
  <si>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</si>
  <si>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</si>
  <si>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</si>
  <si>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</si>
  <si>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</si>
  <si>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</si>
  <si>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</si>
  <si>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</si>
  <si>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</si>
  <si>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</si>
  <si>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</si>
  <si>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</si>
  <si>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</si>
  <si>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</si>
  <si>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UV</t>
  </si>
  <si>
    <t>RUN AT 130-140UM</t>
  </si>
  <si>
    <t>NEW ITEM - DO NOT RUN OVER 140UM</t>
  </si>
  <si>
    <t>(130+120)</t>
  </si>
  <si>
    <t>JOHN ENGELHARDT</t>
  </si>
  <si>
    <t>945150/2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</si>
</sst>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16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PB250G360130BKUVV</v>
      </c>
      <c r="C1" s="111"/>
      <c r="D1" s="112"/>
      <c r="E1" s="11" t="s">
        <v>57</v>
      </c>
      <c r="F1" s="87" t="s">
        <v>199</v>
      </c>
      <c r="G1" s="87"/>
      <c r="H1" s="88"/>
      <c r="I1" s="12" t="s">
        <v>181</v>
      </c>
      <c r="J1" s="84">
        <f ca="1">TODAY()</f>
        <v>45104</v>
      </c>
      <c r="K1" s="84"/>
      <c r="L1" s="85"/>
      <c r="M1" s="29"/>
      <c r="N1" s="11" t="s">
        <v>56</v>
      </c>
      <c r="O1" s="111" t="str">
        <f>B1</f>
        <v>PB250G360130BKUVV</v>
      </c>
      <c r="P1" s="111"/>
      <c r="Q1" s="112"/>
      <c r="R1" s="11" t="s">
        <v>57</v>
      </c>
      <c r="S1" s="111" t="str">
        <f>F1</f>
        <v>JOHN ENGELHARDT</v>
      </c>
      <c r="T1" s="111"/>
      <c r="U1" s="112"/>
      <c r="V1" s="11" t="s">
        <v>181</v>
      </c>
      <c r="W1" s="84">
        <f ca="1">J1</f>
        <v>45104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 t="s">
        <v>200</v>
      </c>
      <c r="G2" s="87"/>
      <c r="H2" s="88"/>
      <c r="I2" s="11" t="s">
        <v>59</v>
      </c>
      <c r="J2" s="86">
        <v>43908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 t="str">
        <f>IF(F2="","",F2)</f>
        <v>945150/2</v>
      </c>
      <c r="T2" s="111"/>
      <c r="U2" s="112"/>
      <c r="V2" s="11" t="s">
        <v>59</v>
      </c>
      <c r="W2" s="122">
        <f>J2</f>
        <v>43908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NEW ITEM - DO NOT RUN OVER 140UM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177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60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30000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(130+120)</v>
      </c>
      <c r="F8" s="90"/>
      <c r="G8" s="13" t="s">
        <v>52</v>
      </c>
      <c r="H8" s="89">
        <f>(IF(V9&lt;30,"30",V9))</f>
        <v>130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6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250</v>
      </c>
      <c r="S9" s="18" t="s">
        <v>78</v>
      </c>
      <c r="T9" s="30">
        <v>360</v>
      </c>
      <c r="U9" s="18" t="s">
        <v>78</v>
      </c>
      <c r="V9" s="30">
        <v>130</v>
      </c>
      <c r="W9" s="17"/>
      <c r="X9" s="136" t="s">
        <v>198</v>
      </c>
      <c r="Y9" s="137"/>
    </row>
    <row r="10" spans="1:25" ht="20.149999999999999" customHeight="1" x14ac:dyDescent="0.8">
      <c r="A10" s="11" t="s">
        <v>51</v>
      </c>
      <c r="B10" s="87">
        <v>34</v>
      </c>
      <c r="C10" s="88"/>
      <c r="D10" s="47" t="s">
        <v>134</v>
      </c>
      <c r="E10" s="101">
        <f>IF(ISNUMBER(SEARCH("sheet",O8,1)),((R9*T9*H8/540000)*U7/2000*1.3),((R9*T9*H8/540000)*U7/1000*1.08))</f>
        <v>702</v>
      </c>
      <c r="F10" s="102"/>
      <c r="G10" s="11" t="s">
        <v>53</v>
      </c>
      <c r="H10" s="105">
        <f>IF(ISNUMBER(SEARCH("sheet",O8,1)),(U7*T9/2000*1.08),(U7*T9/1000*1.08))</f>
        <v>11664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188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20.647058823529413</v>
      </c>
      <c r="F11" s="104"/>
      <c r="G11" s="11" t="s">
        <v>15</v>
      </c>
      <c r="H11" s="103">
        <f>H10/B10</f>
        <v>343.05882352941177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>V</v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0"/>
      <c r="J17" s="141"/>
      <c r="K17" s="140"/>
      <c r="L17" s="141"/>
      <c r="M17" s="29"/>
      <c r="N17" s="11" t="s">
        <v>26</v>
      </c>
      <c r="O17" s="87" t="s">
        <v>37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2"/>
      <c r="Y17" s="14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0"/>
      <c r="J18" s="141"/>
      <c r="K18" s="140"/>
      <c r="L18" s="141"/>
      <c r="M18" s="29"/>
      <c r="N18" s="11" t="s">
        <v>101</v>
      </c>
      <c r="O18" s="87" t="s">
        <v>185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2"/>
      <c r="Y18" s="14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0"/>
      <c r="J19" s="141"/>
      <c r="K19" s="140"/>
      <c r="L19" s="141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0"/>
      <c r="J20" s="141"/>
      <c r="K20" s="140"/>
      <c r="L20" s="141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0"/>
      <c r="J21" s="141"/>
      <c r="K21" s="140"/>
      <c r="L21" s="141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>BLACK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8"/>
      <c r="E22" s="82"/>
      <c r="F22" s="83"/>
      <c r="G22" s="48" t="s">
        <v>86</v>
      </c>
      <c r="H22" s="32"/>
      <c r="I22" s="140"/>
      <c r="J22" s="141"/>
      <c r="K22" s="140"/>
      <c r="L22" s="141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195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8"/>
      <c r="E23" s="138">
        <v>0.02</v>
      </c>
      <c r="F23" s="83"/>
      <c r="G23" s="48" t="s">
        <v>87</v>
      </c>
      <c r="H23" s="32"/>
      <c r="I23" s="140"/>
      <c r="J23" s="141"/>
      <c r="K23" s="140"/>
      <c r="L23" s="141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140"/>
      <c r="J24" s="141"/>
      <c r="K24" s="140"/>
      <c r="L24" s="14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45134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45125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3C6927C-F369-4AE5-918B-858315183520}"/>
</file>

<file path=customXml/itemProps2.xml><?xml version="1.0" encoding="utf-8"?>
<ds:datastoreItem xmlns:ds="http://schemas.openxmlformats.org/officeDocument/2006/customXml" ds:itemID="{2E3863A2-71F9-4A81-ADF0-CA08D97161B0}"/>
</file>

<file path=customXml/itemProps3.xml><?xml version="1.0" encoding="utf-8"?>
<ds:datastoreItem xmlns:ds="http://schemas.openxmlformats.org/officeDocument/2006/customXml" ds:itemID="{653112DF-54E0-48FB-993E-447BF4F45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2023-06-26T03:25:45Z</cp:lastPrinted>
  <dcterms:created xsi:type="dcterms:W3CDTF">2019-11-27T23:28:06Z</dcterms:created>
  <dcterms:modified xsi:type="dcterms:W3CDTF">2023-06-27T02:49:24Z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