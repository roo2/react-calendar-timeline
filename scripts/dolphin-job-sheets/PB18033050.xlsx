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D9FCA47E-871C-43A1-AF5A-E2035B6B02EF}" xr6:coauthVersionLast="45" xr6:coauthVersionMax="45" xr10:uidLastSave="{00000000-0000-0000-0000-000000000000}"/>
  <bookViews>
    <workbookView xWindow="1089" yWindow="1089" windowWidth="18032" windowHeight="9392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<sst xmlns="http://schemas.openxmlformats.org/spreadsheetml/2006/main" count="302" uniqueCount="198">
  <si>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</si>
  <si>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</si>
  <si>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</si>
  <si>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</si>
  <si>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</si>
  <si>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</si>
  <si>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</si>
  <si>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</si>
  <si>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</si>
  <si>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</si>
  <si>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</si>
  <si>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</si>
  <si>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</si>
  <si>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</si>
  <si>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</si>
  <si>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</si>
  <si>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</si>
  <si>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</si>
  <si>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</si>
  <si>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</si>
  <si>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</si>
  <si>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</si>
  <si>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</si>
  <si>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</si>
  <si>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</si>
  <si>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</si>
  <si>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</si>
  <si>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</si>
  <si>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</si>
  <si>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</si>
  <si>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</si>
  <si>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</si>
  <si>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</si>
  <si>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</si>
  <si>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</si>
  <si>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</si>
  <si>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</si>
  <si>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</si>
  <si>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</si>
  <si>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</si>
  <si>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</si>
  <si>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</si>
  <si>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</si>
  <si>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</si>
  <si>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</si>
  <si>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</si>
  <si>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</si>
  <si>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</si>
  <si>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</si>
  <si>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</si>
  <si>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</si>
  <si>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</si>
  <si>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</si>
  <si>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</si>
  <si>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</si>
  <si>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</si>
  <si>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</si>
  <si>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</si>
  <si>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</si>
  <si>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</si>
  <si>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</si>
  <si>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</si>
  <si>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</si>
  <si>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</si>
  <si>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</si>
  <si>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</si>
  <si>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</si>
  <si>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</si>
  <si>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</si>
  <si>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</si>
  <si>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</si>
  <si>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</si>
  <si>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</si>
  <si>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</si>
  <si>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</si>
  <si>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</si>
  <si>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</si>
  <si>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</si>
  <si>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</si>
  <si>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</si>
  <si>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</si>
  <si>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</si>
  <si>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</si>
  <si>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</si>
  <si>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</si>
  <si>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</si>
  <si>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</si>
  <si>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</si>
  <si>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</si>
  <si>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</si>
  <si>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</si>
  <si>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</si>
  <si>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</si>
  <si>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</si>
  <si>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</si>
  <si>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</si>
  <si>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</si>
  <si>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</si>
  <si>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</si>
  <si>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</si>
  <si>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</si>
  <si>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</si>
  <si>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</si>
  <si>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</si>
  <si>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</si>
  <si>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</si>
  <si>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</si>
  <si>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</si>
  <si>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</si>
  <si>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</si>
  <si>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</si>
  <si>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</si>
  <si>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</si>
  <si>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</si>
  <si>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</si>
  <si>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</si>
  <si>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</si>
  <si>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</si>
  <si>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</si>
  <si>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</si>
  <si>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</si>
  <si>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</si>
  <si>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</si>
  <si>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</si>
  <si>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</si>
  <si>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</si>
  <si>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</si>
  <si>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</si>
  <si>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</si>
  <si>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</si>
  <si>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</si>
  <si>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</si>
  <si>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</si>
  <si>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</si>
  <si>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</si>
  <si>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</si>
  <si>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</si>
  <si>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</si>
  <si>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</si>
  <si>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</si>
  <si>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</si>
  <si>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</si>
  <si>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</si>
  <si>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</si>
  <si>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</si>
  <si>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</si>
  <si>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</si>
  <si>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</si>
  <si>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</si>
  <si>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</si>
  <si>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</si>
  <si>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</si>
  <si>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</si>
  <si>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</si>
  <si>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</si>
  <si>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</si>
  <si>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</si>
  <si>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</si>
  <si>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</si>
  <si>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</si>
  <si>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</si>
  <si>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</si>
  <si>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</si>
  <si>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</si>
  <si>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</si>
  <si>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</si>
  <si>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</si>
  <si>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</si>
  <si>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</si>
  <si>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</si>
  <si>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</si>
  <si>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</si>
  <si>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</si>
  <si>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</si>
  <si>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</si>
  <si>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</si>
  <si>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</si>
  <si>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</si>
  <si>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</si>
  <si>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</si>
  <si>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</si>
  <si>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</si>
  <si>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</si>
  <si>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</si>
  <si>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</si>
  <si>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</si>
  <si>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</si>
  <si>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</si>
  <si>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</si>
  <si>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</si>
  <si>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</si>
  <si>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</si>
  <si>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</si>
  <si>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</si>
  <si>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TINDALL DIVING</t>
  </si>
  <si>
    <t>MUST HAVE SOFT FILM - MUST HAVE WATER TIGHT SEALS, PLEASE CHECK FREQUENTLY.</t>
  </si>
  <si>
    <t>RUN AT 140-150um</t>
  </si>
  <si>
    <t xml:space="preserve"> +5mm/-0mm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</si>
</sst>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9" sqref="B9:C9"/>
    </sheetView>
  </sheetViews>
  <sheetFormatPr defaultRowHeight="15.05" x14ac:dyDescent="0.3"/>
  <sheetData>
    <row r="1" spans="1:28" ht="20.05" customHeight="1" x14ac:dyDescent="0.3">
      <c r="A1" s="12" t="s">
        <v>56</v>
      </c>
      <c r="B1" s="123" t="str">
        <f>O9&amp;R9&amp;IF(X8="G","G","")&amp;IF(O8="Centrefold Roll","("&amp;E8&amp;")","")&amp;T9&amp;V9&amp;C22&amp;C23&amp;C24&amp;O11&amp;R11</f>
        <v>PB180350150</v>
      </c>
      <c r="C1" s="123"/>
      <c r="D1" s="124"/>
      <c r="E1" s="12" t="s">
        <v>57</v>
      </c>
      <c r="F1" s="134" t="s">
        <v>194</v>
      </c>
      <c r="G1" s="134"/>
      <c r="H1" s="135"/>
      <c r="I1" s="13" t="s">
        <v>181</v>
      </c>
      <c r="J1" s="136">
        <f ca="1">TODAY()</f>
        <v>44067</v>
      </c>
      <c r="K1" s="136"/>
      <c r="L1" s="137"/>
      <c r="M1" s="34"/>
      <c r="N1" s="12" t="s">
        <v>56</v>
      </c>
      <c r="O1" s="123" t="str">
        <f>B1</f>
        <v>PB180350150</v>
      </c>
      <c r="P1" s="123"/>
      <c r="Q1" s="124"/>
      <c r="R1" s="12" t="s">
        <v>57</v>
      </c>
      <c r="S1" s="123" t="str">
        <f>F1</f>
        <v>TINDALL DIVING</v>
      </c>
      <c r="T1" s="123"/>
      <c r="U1" s="124"/>
      <c r="V1" s="12" t="s">
        <v>181</v>
      </c>
      <c r="W1" s="136">
        <f ca="1">J1</f>
        <v>44067</v>
      </c>
      <c r="X1" s="136"/>
      <c r="Y1" s="137"/>
    </row>
    <row r="2" spans="1:28" ht="20.05" customHeight="1" x14ac:dyDescent="0.3">
      <c r="A2" s="12" t="s">
        <v>100</v>
      </c>
      <c r="B2" s="123" t="str">
        <f>IF(U10="","",U10)</f>
        <v/>
      </c>
      <c r="C2" s="123"/>
      <c r="D2" s="124"/>
      <c r="E2" s="12" t="s">
        <v>58</v>
      </c>
      <c r="F2" s="73">
        <v>938195</v>
      </c>
      <c r="G2" s="73"/>
      <c r="H2" s="74"/>
      <c r="I2" s="12" t="s">
        <v>59</v>
      </c>
      <c r="J2" s="139">
        <v>44098</v>
      </c>
      <c r="K2" s="73"/>
      <c r="L2" s="74"/>
      <c r="M2" s="34"/>
      <c r="N2" s="12" t="s">
        <v>100</v>
      </c>
      <c r="O2" s="123" t="str">
        <f>IF(B2="","",B2)</f>
        <v/>
      </c>
      <c r="P2" s="123"/>
      <c r="Q2" s="124"/>
      <c r="R2" s="12" t="s">
        <v>58</v>
      </c>
      <c r="S2" s="123">
        <f>IF(F2="","",F2)</f>
        <v>938195</v>
      </c>
      <c r="T2" s="123"/>
      <c r="U2" s="124"/>
      <c r="V2" s="12" t="s">
        <v>59</v>
      </c>
      <c r="W2" s="138">
        <f>J2</f>
        <v>44098</v>
      </c>
      <c r="X2" s="123"/>
      <c r="Y2" s="124"/>
    </row>
    <row r="3" spans="1:28" ht="20.05" customHeight="1" x14ac:dyDescent="0.3">
      <c r="A3" s="125" t="s">
        <v>195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>MUST HAVE SOFT FILM - MUST HAVE WATER TIGHT SEALS, PLEASE CHECK FREQUENTLY.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05" customHeight="1" x14ac:dyDescent="0.3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05" customHeight="1" x14ac:dyDescent="0.3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05" customHeight="1" x14ac:dyDescent="0.3">
      <c r="A6" s="141" t="s">
        <v>2</v>
      </c>
      <c r="B6" s="142"/>
      <c r="C6" s="142"/>
      <c r="D6" s="142"/>
      <c r="E6" s="142"/>
      <c r="F6" s="142"/>
      <c r="G6" s="142"/>
      <c r="H6" s="142"/>
      <c r="I6" s="142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05" customHeight="1" x14ac:dyDescent="0.35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5</v>
      </c>
      <c r="P7" s="74"/>
      <c r="Q7" s="12" t="str">
        <f>IF(ISNUMBER(SEARCH("roll",O8,1)),"Per Roll","Per Carton")</f>
        <v>Per Carton</v>
      </c>
      <c r="R7" s="73">
        <v>1000</v>
      </c>
      <c r="S7" s="74"/>
      <c r="T7" s="12" t="str">
        <f>IF(ISNUMBER(SEARCH("bag",O8,1)),"Total Bags","Total Sheets")</f>
        <v>Total Bags</v>
      </c>
      <c r="U7" s="123">
        <f>R7*O7</f>
        <v>5000</v>
      </c>
      <c r="V7" s="124"/>
      <c r="W7" s="12" t="s">
        <v>102</v>
      </c>
      <c r="X7" s="73" t="s">
        <v>31</v>
      </c>
      <c r="Y7" s="74"/>
      <c r="AB7" s="14"/>
    </row>
    <row r="8" spans="1:28" ht="20.05" customHeight="1" x14ac:dyDescent="0.3">
      <c r="A8" s="15" t="s">
        <v>16</v>
      </c>
      <c r="B8" s="111">
        <f>R9</f>
        <v>180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150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05" customHeight="1" x14ac:dyDescent="0.35">
      <c r="A9" s="18" t="s">
        <v>48</v>
      </c>
      <c r="B9" s="143" t="s">
        <v>197</v>
      </c>
      <c r="C9" s="144"/>
      <c r="D9" s="151" t="str">
        <f>IF(K10="Middle","RUN 2 UP",IF(AND(O8="Centrefold Roll",B8=380),"RUN 2 UP",""))</f>
        <v/>
      </c>
      <c r="E9" s="115"/>
      <c r="F9" s="116"/>
      <c r="G9" s="18" t="s">
        <v>48</v>
      </c>
      <c r="H9" s="143" t="s">
        <v>196</v>
      </c>
      <c r="I9" s="144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180</v>
      </c>
      <c r="S9" s="20" t="s">
        <v>78</v>
      </c>
      <c r="T9" s="35">
        <v>350</v>
      </c>
      <c r="U9" s="20" t="s">
        <v>78</v>
      </c>
      <c r="V9" s="35">
        <v>150</v>
      </c>
      <c r="W9" s="19"/>
      <c r="X9" s="99"/>
      <c r="Y9" s="100"/>
    </row>
    <row r="10" spans="1:28" ht="20.05" customHeight="1" x14ac:dyDescent="0.3">
      <c r="A10" s="12" t="s">
        <v>51</v>
      </c>
      <c r="B10" s="73">
        <v>5</v>
      </c>
      <c r="C10" s="74"/>
      <c r="D10" s="54" t="s">
        <v>134</v>
      </c>
      <c r="E10" s="145">
        <f>IF(ISNUMBER(SEARCH("sheet",O8,1)),((R9*T9*H8/540000)*U7/2000*1.3),((R9*T9*H8/540000)*U7/1000*1.08))</f>
        <v>94.5</v>
      </c>
      <c r="F10" s="146"/>
      <c r="G10" s="12" t="s">
        <v>53</v>
      </c>
      <c r="H10" s="149">
        <f>IF(ISNUMBER(SEARCH("sheet",O8,1)),(U7*T9/2000*1.08),(U7*T9/1000*1.08))</f>
        <v>1890.0000000000002</v>
      </c>
      <c r="I10" s="150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/>
      <c r="V10" s="119"/>
      <c r="W10" s="119"/>
      <c r="X10" s="119"/>
      <c r="Y10" s="120"/>
    </row>
    <row r="11" spans="1:28" ht="20.05" customHeight="1" x14ac:dyDescent="0.3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7">
        <f>E10/B10</f>
        <v>18.899999999999999</v>
      </c>
      <c r="F11" s="148"/>
      <c r="G11" s="12" t="s">
        <v>15</v>
      </c>
      <c r="H11" s="147">
        <f>H10/B10</f>
        <v>378.00000000000006</v>
      </c>
      <c r="I11" s="148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05" customHeight="1" x14ac:dyDescent="0.3">
      <c r="A12" s="140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05" customHeight="1" x14ac:dyDescent="0.3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5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05" customHeight="1" x14ac:dyDescent="0.35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05" customHeight="1" x14ac:dyDescent="0.3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05" customHeight="1" x14ac:dyDescent="0.3">
      <c r="A16" s="77" t="s">
        <v>3</v>
      </c>
      <c r="B16" s="79"/>
      <c r="C16" s="77" t="s">
        <v>142</v>
      </c>
      <c r="D16" s="79"/>
      <c r="E16" s="155" t="s">
        <v>4</v>
      </c>
      <c r="F16" s="155"/>
      <c r="G16" s="155" t="s">
        <v>5</v>
      </c>
      <c r="H16" s="15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>
        <v>180</v>
      </c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05" customHeight="1" x14ac:dyDescent="0.3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05" customHeight="1" x14ac:dyDescent="0.3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05" customHeight="1" x14ac:dyDescent="0.3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05" customHeight="1" x14ac:dyDescent="0.3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05" customHeight="1" x14ac:dyDescent="0.3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05" customHeight="1" x14ac:dyDescent="0.3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05" customHeight="1" x14ac:dyDescent="0.3">
      <c r="A23" s="156"/>
      <c r="B23" s="156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05" customHeight="1" x14ac:dyDescent="0.3">
      <c r="A24" s="157"/>
      <c r="B24" s="158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05" customHeight="1" x14ac:dyDescent="0.3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05" customHeight="1" x14ac:dyDescent="0.3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05" customHeight="1" x14ac:dyDescent="0.3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05" customHeight="1" x14ac:dyDescent="0.3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05" customHeight="1" x14ac:dyDescent="0.3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05" customHeight="1" x14ac:dyDescent="0.3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05" customHeight="1" x14ac:dyDescent="0.3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05" customHeight="1" x14ac:dyDescent="0.3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05" customHeight="1" x14ac:dyDescent="0.3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05" customHeight="1" x14ac:dyDescent="0.3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05" customHeight="1" x14ac:dyDescent="0.3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05" customHeight="1" x14ac:dyDescent="0.3">
      <c r="A36" s="152" t="s">
        <v>136</v>
      </c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05" customHeight="1" x14ac:dyDescent="0.3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05" customHeight="1" x14ac:dyDescent="0.3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05" customHeight="1" x14ac:dyDescent="0.3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05" customHeight="1" x14ac:dyDescent="0.3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05" customHeight="1" x14ac:dyDescent="0.3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05" customHeight="1" x14ac:dyDescent="0.3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05" customHeight="1" x14ac:dyDescent="0.3">
      <c r="N43" s="59"/>
    </row>
    <row r="44" spans="1:25" ht="20.05" customHeight="1" x14ac:dyDescent="0.3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05" customHeight="1" x14ac:dyDescent="0.3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05" customHeight="1" x14ac:dyDescent="0.3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05" customHeight="1" x14ac:dyDescent="0.3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05" customHeight="1" x14ac:dyDescent="0.3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05" customHeight="1" x14ac:dyDescent="0.3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05" customHeight="1" x14ac:dyDescent="0.3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05" customHeight="1" x14ac:dyDescent="0.3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05" customHeight="1" x14ac:dyDescent="0.3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05" customHeight="1" x14ac:dyDescent="0.3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05" customHeight="1" x14ac:dyDescent="0.3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05" customHeight="1" x14ac:dyDescent="0.3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05" customHeight="1" x14ac:dyDescent="0.3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05" customHeight="1" x14ac:dyDescent="0.3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05" customHeight="1" x14ac:dyDescent="0.3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05" customHeight="1" x14ac:dyDescent="0.3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05" customHeight="1" x14ac:dyDescent="0.3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05" customHeight="1" x14ac:dyDescent="0.3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05" customHeight="1" x14ac:dyDescent="0.3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05" customHeight="1" x14ac:dyDescent="0.3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05" customHeight="1" x14ac:dyDescent="0.3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05" customHeight="1" x14ac:dyDescent="0.3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05" customHeight="1" x14ac:dyDescent="0.3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05" customHeight="1" x14ac:dyDescent="0.3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05" customHeight="1" x14ac:dyDescent="0.3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05" customHeight="1" x14ac:dyDescent="0.3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05" customHeight="1" x14ac:dyDescent="0.3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05" customHeight="1" x14ac:dyDescent="0.3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05" customHeight="1" x14ac:dyDescent="0.3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05" customHeight="1" x14ac:dyDescent="0.3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05" customHeight="1" x14ac:dyDescent="0.3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05" customHeight="1" x14ac:dyDescent="0.3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05" customHeight="1" x14ac:dyDescent="0.3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05" customHeight="1" x14ac:dyDescent="0.3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05" customHeight="1" x14ac:dyDescent="0.3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05" customHeight="1" x14ac:dyDescent="0.3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05" customHeight="1" x14ac:dyDescent="0.3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05" customHeight="1" x14ac:dyDescent="0.3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05" customHeight="1" x14ac:dyDescent="0.3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05" customHeight="1" x14ac:dyDescent="0.3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05" customHeight="1" x14ac:dyDescent="0.3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05" customHeight="1" x14ac:dyDescent="0.3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05" customHeight="1" x14ac:dyDescent="0.3"/>
    <row r="87" spans="1:25" ht="20.05" customHeight="1" x14ac:dyDescent="0.3"/>
    <row r="88" spans="1:25" ht="20.05" customHeight="1" x14ac:dyDescent="0.3"/>
    <row r="89" spans="1:25" ht="20.05" customHeight="1" x14ac:dyDescent="0.3"/>
    <row r="90" spans="1:25" ht="20.05" customHeight="1" x14ac:dyDescent="0.3"/>
    <row r="91" spans="1:25" ht="20.05" customHeight="1" x14ac:dyDescent="0.3"/>
    <row r="92" spans="1:25" ht="20.05" customHeight="1" x14ac:dyDescent="0.3"/>
    <row r="93" spans="1:25" ht="20.05" customHeight="1" x14ac:dyDescent="0.3"/>
    <row r="94" spans="1:25" ht="20.05" customHeight="1" x14ac:dyDescent="0.3"/>
    <row r="95" spans="1:25" ht="20.05" customHeight="1" x14ac:dyDescent="0.3"/>
    <row r="96" spans="1:25" ht="20.05" customHeight="1" x14ac:dyDescent="0.3"/>
    <row r="97" ht="20.05" customHeight="1" x14ac:dyDescent="0.3"/>
    <row r="98" ht="20.05" customHeight="1" x14ac:dyDescent="0.3"/>
    <row r="99" ht="20.05" customHeight="1" x14ac:dyDescent="0.3"/>
    <row r="100" ht="20.05" customHeight="1" x14ac:dyDescent="0.3"/>
    <row r="101" ht="20.05" customHeight="1" x14ac:dyDescent="0.3"/>
    <row r="102" ht="20.05" customHeight="1" x14ac:dyDescent="0.3"/>
    <row r="103" ht="20.05" customHeight="1" x14ac:dyDescent="0.3"/>
    <row r="104" ht="20.05" customHeight="1" x14ac:dyDescent="0.3"/>
    <row r="105" ht="20.05" customHeight="1" x14ac:dyDescent="0.3"/>
    <row r="106" ht="20.05" customHeight="1" x14ac:dyDescent="0.3"/>
    <row r="107" ht="20.05" customHeight="1" x14ac:dyDescent="0.3"/>
    <row r="108" ht="20.05" customHeight="1" x14ac:dyDescent="0.3"/>
    <row r="109" ht="20.05" customHeight="1" x14ac:dyDescent="0.3"/>
    <row r="110" ht="20.05" customHeight="1" x14ac:dyDescent="0.3"/>
    <row r="111" ht="20.05" customHeight="1" x14ac:dyDescent="0.3"/>
    <row r="112" ht="20.05" customHeight="1" x14ac:dyDescent="0.3"/>
    <row r="113" ht="20.05" customHeight="1" x14ac:dyDescent="0.3"/>
    <row r="114" ht="20.05" customHeight="1" x14ac:dyDescent="0.3"/>
    <row r="115" ht="20.05" customHeight="1" x14ac:dyDescent="0.3"/>
    <row r="116" ht="20.05" customHeight="1" x14ac:dyDescent="0.3"/>
    <row r="117" ht="20.05" customHeight="1" x14ac:dyDescent="0.3"/>
    <row r="118" ht="20.05" customHeight="1" x14ac:dyDescent="0.3"/>
    <row r="119" ht="20.05" customHeight="1" x14ac:dyDescent="0.3"/>
    <row r="120" ht="20.05" customHeight="1" x14ac:dyDescent="0.3"/>
    <row r="121" ht="20.05" customHeight="1" x14ac:dyDescent="0.3"/>
    <row r="122" ht="20.05" customHeight="1" x14ac:dyDescent="0.3"/>
    <row r="123" ht="20.05" customHeight="1" x14ac:dyDescent="0.3"/>
    <row r="124" ht="20.05" customHeight="1" x14ac:dyDescent="0.3"/>
    <row r="125" ht="20.05" customHeight="1" x14ac:dyDescent="0.3"/>
    <row r="126" ht="20.05" customHeight="1" x14ac:dyDescent="0.3"/>
    <row r="127" ht="20.05" customHeight="1" x14ac:dyDescent="0.3"/>
    <row r="128" ht="20.05" customHeight="1" x14ac:dyDescent="0.3"/>
    <row r="129" ht="20.05" customHeight="1" x14ac:dyDescent="0.3"/>
    <row r="130" ht="20.05" customHeight="1" x14ac:dyDescent="0.3"/>
    <row r="131" ht="20.05" customHeight="1" x14ac:dyDescent="0.3"/>
    <row r="132" ht="20.05" customHeight="1" x14ac:dyDescent="0.3"/>
    <row r="133" ht="20.05" customHeight="1" x14ac:dyDescent="0.3"/>
    <row r="134" ht="20.05" customHeight="1" x14ac:dyDescent="0.3"/>
    <row r="135" ht="20.05" customHeight="1" x14ac:dyDescent="0.3"/>
    <row r="136" ht="20.05" customHeight="1" x14ac:dyDescent="0.3"/>
    <row r="137" ht="20.05" customHeight="1" x14ac:dyDescent="0.3"/>
    <row r="138" ht="20.05" customHeight="1" x14ac:dyDescent="0.3"/>
    <row r="139" ht="20.05" customHeight="1" x14ac:dyDescent="0.3"/>
    <row r="140" ht="20.05" customHeight="1" x14ac:dyDescent="0.3"/>
    <row r="141" ht="20.05" customHeight="1" x14ac:dyDescent="0.3"/>
    <row r="142" ht="20.05" customHeight="1" x14ac:dyDescent="0.3"/>
    <row r="143" ht="20.05" customHeight="1" x14ac:dyDescent="0.3"/>
    <row r="144" ht="20.05" customHeight="1" x14ac:dyDescent="0.3"/>
    <row r="145" ht="20.05" customHeight="1" x14ac:dyDescent="0.3"/>
    <row r="146" ht="20.05" customHeight="1" x14ac:dyDescent="0.3"/>
    <row r="147" ht="20.05" customHeight="1" x14ac:dyDescent="0.3"/>
    <row r="148" ht="20.05" customHeight="1" x14ac:dyDescent="0.3"/>
    <row r="149" ht="20.05" customHeight="1" x14ac:dyDescent="0.3"/>
    <row r="150" ht="20.05" customHeight="1" x14ac:dyDescent="0.3"/>
    <row r="151" ht="20.05" customHeight="1" x14ac:dyDescent="0.3"/>
    <row r="152" ht="20.05" customHeight="1" x14ac:dyDescent="0.3"/>
    <row r="153" ht="20.05" customHeight="1" x14ac:dyDescent="0.3"/>
    <row r="154" ht="20.05" customHeight="1" x14ac:dyDescent="0.3"/>
    <row r="155" ht="20.05" customHeight="1" x14ac:dyDescent="0.3"/>
    <row r="156" ht="20.05" customHeight="1" x14ac:dyDescent="0.3"/>
    <row r="157" ht="20.05" customHeight="1" x14ac:dyDescent="0.3"/>
    <row r="158" ht="20.05" customHeight="1" x14ac:dyDescent="0.3"/>
    <row r="159" ht="20.05" customHeight="1" x14ac:dyDescent="0.3"/>
    <row r="160" ht="20.05" customHeight="1" x14ac:dyDescent="0.3"/>
    <row r="161" ht="20.05" customHeight="1" x14ac:dyDescent="0.3"/>
    <row r="162" ht="20.05" customHeight="1" x14ac:dyDescent="0.3"/>
    <row r="163" ht="20.05" customHeight="1" x14ac:dyDescent="0.3"/>
    <row r="164" ht="20.05" customHeight="1" x14ac:dyDescent="0.3"/>
    <row r="165" ht="20.05" customHeight="1" x14ac:dyDescent="0.3"/>
    <row r="166" ht="20.05" customHeight="1" x14ac:dyDescent="0.3"/>
    <row r="167" ht="20.05" customHeight="1" x14ac:dyDescent="0.3"/>
    <row r="168" ht="20.05" customHeight="1" x14ac:dyDescent="0.3"/>
    <row r="169" ht="20.05" customHeight="1" x14ac:dyDescent="0.3"/>
    <row r="170" ht="20.05" customHeight="1" x14ac:dyDescent="0.3"/>
    <row r="171" ht="20.05" customHeight="1" x14ac:dyDescent="0.3"/>
    <row r="172" ht="20.05" customHeight="1" x14ac:dyDescent="0.3"/>
    <row r="173" ht="20.05" customHeight="1" x14ac:dyDescent="0.3"/>
    <row r="174" ht="20.05" customHeight="1" x14ac:dyDescent="0.3"/>
    <row r="175" ht="20.05" customHeight="1" x14ac:dyDescent="0.3"/>
    <row r="176" ht="20.05" customHeight="1" x14ac:dyDescent="0.3"/>
    <row r="177" ht="20.05" customHeight="1" x14ac:dyDescent="0.3"/>
    <row r="178" ht="20.05" customHeight="1" x14ac:dyDescent="0.3"/>
    <row r="179" ht="20.05" customHeight="1" x14ac:dyDescent="0.3"/>
    <row r="180" ht="20.05" customHeight="1" x14ac:dyDescent="0.3"/>
    <row r="181" ht="20.05" customHeight="1" x14ac:dyDescent="0.3"/>
    <row r="182" ht="20.05" customHeight="1" x14ac:dyDescent="0.3"/>
    <row r="183" ht="20.05" customHeight="1" x14ac:dyDescent="0.3"/>
    <row r="184" ht="20.05" customHeight="1" x14ac:dyDescent="0.3"/>
    <row r="185" ht="20.05" customHeight="1" x14ac:dyDescent="0.3"/>
    <row r="186" ht="20.05" customHeight="1" x14ac:dyDescent="0.3"/>
    <row r="187" ht="20.05" customHeight="1" x14ac:dyDescent="0.3"/>
    <row r="188" ht="20.05" customHeight="1" x14ac:dyDescent="0.3"/>
    <row r="189" ht="20.05" customHeight="1" x14ac:dyDescent="0.3"/>
    <row r="190" ht="20.05" customHeight="1" x14ac:dyDescent="0.3"/>
    <row r="191" ht="20.05" customHeight="1" x14ac:dyDescent="0.3"/>
    <row r="192" ht="20.05" customHeight="1" x14ac:dyDescent="0.3"/>
    <row r="193" ht="20.05" customHeight="1" x14ac:dyDescent="0.3"/>
    <row r="194" ht="20.05" customHeight="1" x14ac:dyDescent="0.3"/>
    <row r="195" ht="20.05" customHeight="1" x14ac:dyDescent="0.3"/>
    <row r="196" ht="20.05" customHeight="1" x14ac:dyDescent="0.3"/>
    <row r="197" ht="20.05" customHeight="1" x14ac:dyDescent="0.3"/>
    <row r="198" ht="20.05" customHeight="1" x14ac:dyDescent="0.3"/>
    <row r="199" ht="20.05" customHeight="1" x14ac:dyDescent="0.3"/>
    <row r="200" ht="20.05" customHeight="1" x14ac:dyDescent="0.3"/>
    <row r="201" ht="20.05" customHeight="1" x14ac:dyDescent="0.3"/>
    <row r="202" ht="20.05" customHeight="1" x14ac:dyDescent="0.3"/>
    <row r="203" ht="20.05" customHeight="1" x14ac:dyDescent="0.3"/>
    <row r="204" ht="20.05" customHeight="1" x14ac:dyDescent="0.3"/>
    <row r="205" ht="20.05" customHeight="1" x14ac:dyDescent="0.3"/>
    <row r="206" ht="20.05" customHeight="1" x14ac:dyDescent="0.3"/>
    <row r="207" ht="20.05" customHeight="1" x14ac:dyDescent="0.3"/>
    <row r="208" ht="20.05" customHeight="1" x14ac:dyDescent="0.3"/>
    <row r="209" ht="20.05" customHeight="1" x14ac:dyDescent="0.3"/>
    <row r="210" ht="20.05" customHeight="1" x14ac:dyDescent="0.3"/>
    <row r="211" ht="20.05" customHeight="1" x14ac:dyDescent="0.3"/>
    <row r="212" ht="20.05" customHeight="1" x14ac:dyDescent="0.3"/>
    <row r="213" ht="20.05" customHeight="1" x14ac:dyDescent="0.3"/>
    <row r="214" ht="20.05" customHeight="1" x14ac:dyDescent="0.3"/>
    <row r="215" ht="20.05" customHeight="1" x14ac:dyDescent="0.3"/>
    <row r="216" ht="20.05" customHeight="1" x14ac:dyDescent="0.3"/>
    <row r="217" ht="20.05" customHeight="1" x14ac:dyDescent="0.3"/>
    <row r="218" ht="20.05" customHeight="1" x14ac:dyDescent="0.3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.05" x14ac:dyDescent="0.3"/>
  <cols>
    <col min="1" max="1" width="9.33203125" bestFit="1" customWidth="1"/>
  </cols>
  <sheetData>
    <row r="1" spans="1:22" x14ac:dyDescent="0.3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3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68">
        <f ca="1">DATE(YEAR(Sheet1!J1),MONTH(Sheet1!J1)+1,DAY(Sheet1!J1))</f>
        <v>44098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68">
        <f ca="1">DATE(YEAR(Sheet1!J1),MONTH(Sheet1!J1),DAY(Sheet1!J1)+21)</f>
        <v>44088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3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3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3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3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3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3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3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3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3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3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3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3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3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3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3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3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3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3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3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3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3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3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3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3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3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3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3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3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3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3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3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3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3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3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3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3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3">
      <c r="A59" s="64" t="s">
        <v>148</v>
      </c>
    </row>
    <row r="60" spans="1:20" x14ac:dyDescent="0.3">
      <c r="A60" s="64" t="s">
        <v>149</v>
      </c>
      <c r="O60" s="1"/>
      <c r="Q60" s="1"/>
      <c r="R60" s="3"/>
      <c r="S60" s="1"/>
    </row>
    <row r="61" spans="1:20" x14ac:dyDescent="0.3">
      <c r="A61" s="64" t="s">
        <v>150</v>
      </c>
      <c r="O61" s="1"/>
      <c r="Q61" s="1"/>
      <c r="R61" s="1"/>
      <c r="S61" s="1"/>
    </row>
    <row r="62" spans="1:20" x14ac:dyDescent="0.3">
      <c r="A62" s="64" t="s">
        <v>151</v>
      </c>
      <c r="O62" s="1"/>
      <c r="Q62" s="1"/>
      <c r="R62" s="1"/>
      <c r="S62" s="1"/>
    </row>
    <row r="63" spans="1:20" x14ac:dyDescent="0.3">
      <c r="A63" s="64" t="s">
        <v>152</v>
      </c>
      <c r="O63" s="1"/>
      <c r="Q63" s="1"/>
      <c r="R63" s="1"/>
      <c r="S63" s="1"/>
      <c r="T63" s="1"/>
    </row>
    <row r="64" spans="1:20" x14ac:dyDescent="0.3">
      <c r="A64" s="64" t="s">
        <v>153</v>
      </c>
      <c r="O64" s="1"/>
      <c r="Q64" s="1"/>
      <c r="R64" s="1"/>
      <c r="S64" s="1"/>
      <c r="T64" s="1"/>
    </row>
    <row r="65" spans="1:20" x14ac:dyDescent="0.3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3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3">
      <c r="N67" s="4"/>
      <c r="O67" s="1"/>
      <c r="P67" s="1"/>
      <c r="Q67" s="1"/>
      <c r="R67" s="1"/>
      <c r="S67" s="1"/>
      <c r="T67" s="1"/>
    </row>
    <row r="68" spans="1:20" x14ac:dyDescent="0.3">
      <c r="N68" s="4"/>
      <c r="O68" s="1"/>
      <c r="P68" s="1"/>
      <c r="Q68" s="1"/>
      <c r="R68" s="1"/>
      <c r="S68" s="1"/>
      <c r="T68" s="1"/>
    </row>
    <row r="69" spans="1:20" x14ac:dyDescent="0.3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ED5C173-96F0-4CAC-A99D-7BB1C750F96A}"/>
</file>

<file path=customXml/itemProps2.xml><?xml version="1.0" encoding="utf-8"?>
<ds:datastoreItem xmlns:ds="http://schemas.openxmlformats.org/officeDocument/2006/customXml" ds:itemID="{039F77D9-2CB2-4C5C-B804-B5B6DD70472E}"/>
</file>

<file path=customXml/itemProps3.xml><?xml version="1.0" encoding="utf-8"?>
<ds:datastoreItem xmlns:ds="http://schemas.openxmlformats.org/officeDocument/2006/customXml" ds:itemID="{9D336BF3-1C58-40EE-8056-C9696B7A30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2020-05-12T04:32:36Z</cp:lastPrinted>
  <dcterms:created xsi:type="dcterms:W3CDTF">2019-11-27T23:28:06Z</dcterms:created>
  <dcterms:modified xsi:type="dcterms:W3CDTF">2020-08-24T00:23:54Z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