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16FE2FC-F675-4FFC-BE0C-DE33EF98F37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<sst xmlns="http://schemas.openxmlformats.org/spreadsheetml/2006/main" count="303" uniqueCount="200">
  <si>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</si>
  <si>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</si>
  <si>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</si>
  <si>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</si>
  <si>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</si>
  <si>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</si>
  <si>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</si>
  <si>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</si>
  <si>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</si>
  <si>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</si>
  <si>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</si>
  <si>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</si>
  <si>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</si>
  <si>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</si>
  <si>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</si>
  <si>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</si>
  <si>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</si>
  <si>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</si>
  <si>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</si>
  <si>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</si>
  <si>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</si>
  <si>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</si>
  <si>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</si>
  <si>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</si>
  <si>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</si>
  <si>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</si>
  <si>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</si>
  <si>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</si>
  <si>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</si>
  <si>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</si>
  <si>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</si>
  <si>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</si>
  <si>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</si>
  <si>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</si>
  <si>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</si>
  <si>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</si>
  <si>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</si>
  <si>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</si>
  <si>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</si>
  <si>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</si>
  <si>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</si>
  <si>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</si>
  <si>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</si>
  <si>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</si>
  <si>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</si>
  <si>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</si>
  <si>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</si>
  <si>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</si>
  <si>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</si>
  <si>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</si>
  <si>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</si>
  <si>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</si>
  <si>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</si>
  <si>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</si>
  <si>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</si>
  <si>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</si>
  <si>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</si>
  <si>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</si>
  <si>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</si>
  <si>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</si>
  <si>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</si>
  <si>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</si>
  <si>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</si>
  <si>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</si>
  <si>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</si>
  <si>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</si>
  <si>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</si>
  <si>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</si>
  <si>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</si>
  <si>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</si>
  <si>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</si>
  <si>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</si>
  <si>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</si>
  <si>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</si>
  <si>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</si>
  <si>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</si>
  <si>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</si>
  <si>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</si>
  <si>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</si>
  <si>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</si>
  <si>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</si>
  <si>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</si>
  <si>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</si>
  <si>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</si>
  <si>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</si>
  <si>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</si>
  <si>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</si>
  <si>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</si>
  <si>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</si>
  <si>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</si>
  <si>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</si>
  <si>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</si>
  <si>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</si>
  <si>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</si>
  <si>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</si>
  <si>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</si>
  <si>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</si>
  <si>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</si>
  <si>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</si>
  <si>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</si>
  <si>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</si>
  <si>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</si>
  <si>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</si>
  <si>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</si>
  <si>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</si>
  <si>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</si>
  <si>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</si>
  <si>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</si>
  <si>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</si>
  <si>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</si>
  <si>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</si>
  <si>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</si>
  <si>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</si>
  <si>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</si>
  <si>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</si>
  <si>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</si>
  <si>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</si>
  <si>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</si>
  <si>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</si>
  <si>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</si>
  <si>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</si>
  <si>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</si>
  <si>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</si>
  <si>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</si>
  <si>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</si>
  <si>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</si>
  <si>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</si>
  <si>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</si>
  <si>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</si>
  <si>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</si>
  <si>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</si>
  <si>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</si>
  <si>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</si>
  <si>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</si>
  <si>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</si>
  <si>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</si>
  <si>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</si>
  <si>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</si>
  <si>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</si>
  <si>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</si>
  <si>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</si>
  <si>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</si>
  <si>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</si>
  <si>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</si>
  <si>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</si>
  <si>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</si>
  <si>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</si>
  <si>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</si>
  <si>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</si>
  <si>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</si>
  <si>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</si>
  <si>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</si>
  <si>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</si>
  <si>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</si>
  <si>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</si>
  <si>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</si>
  <si>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</si>
  <si>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</si>
  <si>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</si>
  <si>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</si>
  <si>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</si>
  <si>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</si>
  <si>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</si>
  <si>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</si>
  <si>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</si>
  <si>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</si>
  <si>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</si>
  <si>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</si>
  <si>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</si>
  <si>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</si>
  <si>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</si>
  <si>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</si>
  <si>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</si>
  <si>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</si>
  <si>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</si>
  <si>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</si>
  <si>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</si>
  <si>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</si>
  <si>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</si>
  <si>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</si>
  <si>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</si>
  <si>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</si>
  <si>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</si>
  <si>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</si>
  <si>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</si>
  <si>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</si>
  <si>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</si>
  <si>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</si>
  <si>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</si>
  <si>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</si>
  <si>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</si>
  <si>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</si>
  <si>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</si>
  <si>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</si>
  <si>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</si>
  <si>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</si>
  <si>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MASTERPRINT</t>
  </si>
  <si>
    <t>NOT OVER</t>
  </si>
  <si>
    <t>DRUMLINER</t>
  </si>
  <si>
    <t>PERF INLINE - NO DOLPHIN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</si>
</sst>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PBR1000152430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4">
        <f ca="1">TODAY()</f>
        <v>45072</v>
      </c>
      <c r="K1" s="134"/>
      <c r="L1" s="135"/>
      <c r="M1" s="30"/>
      <c r="N1" s="16" t="s">
        <v>55</v>
      </c>
      <c r="O1" s="113" t="str">
        <f>B1</f>
        <v>PBR1000152430</v>
      </c>
      <c r="P1" s="113"/>
      <c r="Q1" s="114"/>
      <c r="R1" s="16" t="s">
        <v>56</v>
      </c>
      <c r="S1" s="113" t="str">
        <f>F1</f>
        <v>MASTERPRINT</v>
      </c>
      <c r="T1" s="113"/>
      <c r="U1" s="114"/>
      <c r="V1" s="16" t="s">
        <v>180</v>
      </c>
      <c r="W1" s="134">
        <f ca="1">J1</f>
        <v>45072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>DRUMLINER</v>
      </c>
      <c r="C2" s="113"/>
      <c r="D2" s="114"/>
      <c r="E2" s="16" t="s">
        <v>57</v>
      </c>
      <c r="F2" s="94">
        <v>945792</v>
      </c>
      <c r="G2" s="94"/>
      <c r="H2" s="95"/>
      <c r="I2" s="16" t="s">
        <v>58</v>
      </c>
      <c r="J2" s="93" t="s">
        <v>192</v>
      </c>
      <c r="K2" s="94"/>
      <c r="L2" s="95"/>
      <c r="M2" s="30"/>
      <c r="N2" s="16" t="s">
        <v>99</v>
      </c>
      <c r="O2" s="113" t="str">
        <f>IF(B2="","",B2)</f>
        <v>DRUMLINER</v>
      </c>
      <c r="P2" s="113"/>
      <c r="Q2" s="114"/>
      <c r="R2" s="16" t="s">
        <v>57</v>
      </c>
      <c r="S2" s="113">
        <f>IF(F2="","",F2)</f>
        <v>945792</v>
      </c>
      <c r="T2" s="113"/>
      <c r="U2" s="114"/>
      <c r="V2" s="16" t="s">
        <v>58</v>
      </c>
      <c r="W2" s="136" t="str">
        <f>J2</f>
        <v>ASAP</v>
      </c>
      <c r="X2" s="113"/>
      <c r="Y2" s="114"/>
    </row>
    <row r="3" spans="1:25" ht="20.149999999999999" customHeight="1" x14ac:dyDescent="0.75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0"/>
      <c r="N3" s="125" t="str">
        <f>A3</f>
        <v>PERF INLINE - NO DOLPHIN LABELS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48</v>
      </c>
      <c r="P7" s="95"/>
      <c r="Q7" s="16" t="str">
        <f>IF(ISNUMBER(SEARCH("roll",O8,1)),"Per Roll","Per Carton")</f>
        <v>Per Roll</v>
      </c>
      <c r="R7" s="94">
        <v>200</v>
      </c>
      <c r="S7" s="95"/>
      <c r="T7" s="16" t="str">
        <f>IF(ISNUMBER(SEARCH("bag",O8,1)),"Total Bags","Total Sheets")</f>
        <v>Total Bags</v>
      </c>
      <c r="U7" s="113">
        <f>R7*O7</f>
        <v>9600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1000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30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1" t="s">
        <v>47</v>
      </c>
      <c r="B9" s="111" t="s">
        <v>194</v>
      </c>
      <c r="C9" s="112"/>
      <c r="D9" s="141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1000</v>
      </c>
      <c r="S9" s="23" t="s">
        <v>77</v>
      </c>
      <c r="T9" s="31">
        <v>1524</v>
      </c>
      <c r="U9" s="23" t="s">
        <v>77</v>
      </c>
      <c r="V9" s="31">
        <v>30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48</v>
      </c>
      <c r="C10" s="95"/>
      <c r="D10" s="49" t="s">
        <v>133</v>
      </c>
      <c r="E10" s="115">
        <f>IF(ISNUMBER(SEARCH("sheet",O8,1)),((R9*T9*H8/540000)*U7/2000*1.3),((R9*T9*H8/540000)*U7/1000*1.08))</f>
        <v>877.82399999999996</v>
      </c>
      <c r="F10" s="116"/>
      <c r="G10" s="16" t="s">
        <v>52</v>
      </c>
      <c r="H10" s="119">
        <f>IF(ISNUMBER(SEARCH("sheet",O8,1)),(U7*T9/2000*1.08),(U7*T9/1000*1.08))</f>
        <v>15800.832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198</v>
      </c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18.288</v>
      </c>
      <c r="F11" s="118"/>
      <c r="G11" s="16" t="s">
        <v>14</v>
      </c>
      <c r="H11" s="117">
        <f>H10/B10</f>
        <v>329.18400000000003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38" t="s">
        <v>70</v>
      </c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0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48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44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22</v>
      </c>
      <c r="V16" s="95"/>
      <c r="W16" s="16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42"/>
      <c r="Y17" s="143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6" t="s">
        <v>108</v>
      </c>
      <c r="X18" s="142"/>
      <c r="Y18" s="143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44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45" t="s">
        <v>131</v>
      </c>
      <c r="H26" s="145"/>
      <c r="I26" s="145" t="s">
        <v>130</v>
      </c>
      <c r="J26" s="145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45103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45093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6805D79-B974-463B-B167-6F6BFC0FAED2}"/>
</file>

<file path=customXml/itemProps2.xml><?xml version="1.0" encoding="utf-8"?>
<ds:datastoreItem xmlns:ds="http://schemas.openxmlformats.org/officeDocument/2006/customXml" ds:itemID="{5436A540-32B8-43C0-BF94-35BB55E94234}"/>
</file>

<file path=customXml/itemProps3.xml><?xml version="1.0" encoding="utf-8"?>
<ds:datastoreItem xmlns:ds="http://schemas.openxmlformats.org/officeDocument/2006/customXml" ds:itemID="{95662DED-3FC7-45DD-82BD-7CF7993D5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2023-05-26T00:41:43Z</cp:lastPrinted>
  <dcterms:created xsi:type="dcterms:W3CDTF">2019-11-27T23:28:06Z</dcterms:created>
  <dcterms:modified xsi:type="dcterms:W3CDTF">2023-05-26T00:44:27Z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