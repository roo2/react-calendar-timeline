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F8576F8A-B20F-4DBA-8E7D-AFE00E53348B}" xr6:coauthVersionLast="44" xr6:coauthVersionMax="44" xr10:uidLastSave="{00000000-0000-0000-0000-000000000000}"/>
  <bookViews>
    <workbookView xWindow="13" yWindow="2354" windowWidth="18031" windowHeight="939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S2" i="1"/>
  <c r="O2" i="1"/>
  <c r="D9" i="1" l="1"/>
  <c r="B11" i="1" s="1"/>
  <c r="A22" i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<sst xmlns="http://schemas.openxmlformats.org/spreadsheetml/2006/main" count="304" uniqueCount="200">
  <si>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</si>
  <si>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</si>
  <si>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</si>
  <si>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</si>
  <si>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</si>
  <si>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</si>
  <si>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</si>
  <si>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</si>
  <si>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</si>
  <si>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</si>
  <si>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</si>
  <si>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</si>
  <si>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</si>
  <si>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</si>
  <si>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</si>
  <si>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</si>
  <si>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</si>
  <si>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</si>
  <si>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</si>
  <si>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</si>
  <si>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</si>
  <si>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</si>
  <si>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</si>
  <si>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</si>
  <si>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</si>
  <si>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</si>
  <si>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</si>
  <si>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</si>
  <si>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</si>
  <si>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</si>
  <si>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</si>
  <si>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</si>
  <si>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</si>
  <si>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</si>
  <si>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</si>
  <si>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</si>
  <si>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</si>
  <si>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</si>
  <si>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</si>
  <si>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</si>
  <si>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</si>
  <si>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</si>
  <si>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</si>
  <si>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</si>
  <si>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</si>
  <si>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</si>
  <si>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</si>
  <si>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</si>
  <si>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</si>
  <si>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</si>
  <si>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</si>
  <si>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</si>
  <si>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</si>
  <si>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</si>
  <si>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</si>
  <si>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</si>
  <si>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</si>
  <si>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</si>
  <si>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</si>
  <si>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</si>
  <si>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</si>
  <si>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</si>
  <si>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</si>
  <si>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</si>
  <si>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</si>
  <si>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</si>
  <si>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</si>
  <si>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</si>
  <si>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</si>
  <si>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</si>
  <si>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</si>
  <si>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</si>
  <si>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</si>
  <si>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</si>
  <si>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</si>
  <si>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</si>
  <si>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</si>
  <si>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</si>
  <si>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</si>
  <si>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</si>
  <si>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</si>
  <si>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</si>
  <si>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</si>
  <si>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</si>
  <si>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</si>
  <si>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</si>
  <si>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</si>
  <si>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</si>
  <si>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</si>
  <si>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</si>
  <si>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</si>
  <si>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</si>
  <si>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</si>
  <si>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</si>
  <si>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</si>
  <si>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</si>
  <si>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</si>
  <si>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</si>
  <si>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</si>
  <si>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</si>
  <si>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</si>
  <si>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</si>
  <si>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</si>
  <si>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</si>
  <si>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</si>
  <si>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</si>
  <si>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</si>
  <si>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</si>
  <si>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</si>
  <si>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</si>
  <si>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</si>
  <si>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</si>
  <si>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</si>
  <si>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</si>
  <si>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</si>
  <si>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</si>
  <si>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</si>
  <si>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</si>
  <si>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</si>
  <si>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</si>
  <si>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</si>
  <si>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</si>
  <si>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</si>
  <si>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</si>
  <si>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</si>
  <si>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</si>
  <si>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</si>
  <si>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</si>
  <si>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</si>
  <si>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</si>
  <si>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</si>
  <si>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</si>
  <si>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</si>
  <si>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</si>
  <si>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</si>
  <si>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</si>
  <si>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</si>
  <si>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</si>
  <si>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</si>
  <si>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</si>
  <si>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</si>
  <si>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</si>
  <si>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</si>
  <si>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</si>
  <si>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</si>
  <si>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</si>
  <si>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</si>
  <si>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</si>
  <si>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</si>
  <si>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</si>
  <si>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</si>
  <si>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</si>
  <si>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</si>
  <si>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</si>
  <si>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</si>
  <si>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</si>
  <si>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</si>
  <si>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</si>
  <si>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</si>
  <si>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</si>
  <si>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</si>
  <si>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</si>
  <si>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</si>
  <si>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</si>
  <si>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</si>
  <si>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</si>
  <si>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</si>
  <si>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</si>
  <si>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</si>
  <si>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</si>
  <si>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</si>
  <si>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</si>
  <si>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</si>
  <si>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</si>
  <si>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</si>
  <si>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</si>
  <si>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</si>
  <si>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</si>
  <si>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</si>
  <si>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</si>
  <si>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</si>
  <si>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</si>
  <si>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</si>
  <si>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</si>
  <si>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</si>
  <si>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</si>
  <si>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</si>
  <si>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</si>
  <si>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</si>
  <si>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</si>
  <si>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</si>
  <si>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</si>
  <si>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</si>
  <si>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</si>
  <si>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UV</t>
  </si>
  <si>
    <t>PERF</t>
  </si>
  <si>
    <t>(150+120)</t>
  </si>
  <si>
    <t>JENSEN FARMING</t>
  </si>
  <si>
    <t>RUN AT 140UM</t>
  </si>
  <si>
    <t xml:space="preserve"> +/- 5mm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</si>
</sst>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16" fillId="0" borderId="4" xfId="0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9" sqref="B9:C9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PB270G355150BKUVV</v>
      </c>
      <c r="C1" s="122"/>
      <c r="D1" s="123"/>
      <c r="E1" s="12" t="s">
        <v>57</v>
      </c>
      <c r="F1" s="133" t="s">
        <v>197</v>
      </c>
      <c r="G1" s="133"/>
      <c r="H1" s="134"/>
      <c r="I1" s="13" t="s">
        <v>181</v>
      </c>
      <c r="J1" s="95">
        <f ca="1">TODAY()</f>
        <v>43973</v>
      </c>
      <c r="K1" s="95"/>
      <c r="L1" s="96"/>
      <c r="M1" s="34"/>
      <c r="N1" s="12" t="s">
        <v>56</v>
      </c>
      <c r="O1" s="122" t="str">
        <f>B1</f>
        <v>PB270G355150BKUVV</v>
      </c>
      <c r="P1" s="122"/>
      <c r="Q1" s="123"/>
      <c r="R1" s="12" t="s">
        <v>57</v>
      </c>
      <c r="S1" s="122" t="str">
        <f>F1</f>
        <v>JENSEN FARMING</v>
      </c>
      <c r="T1" s="122"/>
      <c r="U1" s="123"/>
      <c r="V1" s="12" t="s">
        <v>181</v>
      </c>
      <c r="W1" s="95">
        <f ca="1">J1</f>
        <v>43973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937303</v>
      </c>
      <c r="G2" s="98"/>
      <c r="H2" s="99"/>
      <c r="I2" s="12" t="s">
        <v>59</v>
      </c>
      <c r="J2" s="97">
        <v>43994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937303</v>
      </c>
      <c r="T2" s="122"/>
      <c r="U2" s="123"/>
      <c r="V2" s="12" t="s">
        <v>59</v>
      </c>
      <c r="W2" s="135">
        <f>J2</f>
        <v>43994</v>
      </c>
      <c r="X2" s="122"/>
      <c r="Y2" s="123"/>
    </row>
    <row r="3" spans="1:28" ht="20.05" customHeight="1" x14ac:dyDescent="0.3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177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20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10000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270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(150+120)</v>
      </c>
      <c r="F8" s="101"/>
      <c r="G8" s="15" t="s">
        <v>52</v>
      </c>
      <c r="H8" s="100">
        <f>(IF(V9&lt;30,"30",V9))</f>
        <v>150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05" customHeight="1" x14ac:dyDescent="0.35">
      <c r="A9" s="18" t="s">
        <v>48</v>
      </c>
      <c r="B9" s="110" t="s">
        <v>199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198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270</v>
      </c>
      <c r="S9" s="20" t="s">
        <v>78</v>
      </c>
      <c r="T9" s="35">
        <v>355</v>
      </c>
      <c r="U9" s="20" t="s">
        <v>78</v>
      </c>
      <c r="V9" s="35">
        <v>150</v>
      </c>
      <c r="W9" s="19"/>
      <c r="X9" s="151" t="s">
        <v>196</v>
      </c>
      <c r="Y9" s="152"/>
    </row>
    <row r="10" spans="1:28" ht="20.05" customHeight="1" x14ac:dyDescent="0.3">
      <c r="A10" s="12" t="s">
        <v>51</v>
      </c>
      <c r="B10" s="98">
        <v>16</v>
      </c>
      <c r="C10" s="99"/>
      <c r="D10" s="54" t="s">
        <v>134</v>
      </c>
      <c r="E10" s="112">
        <f>IF(ISNUMBER(SEARCH("sheet",O8,1)),((R9*T9*H8/540000)*U7/2000*1.3),((R9*T9*H8/540000)*U7/1000*1.08))</f>
        <v>287.55</v>
      </c>
      <c r="F10" s="113"/>
      <c r="G10" s="12" t="s">
        <v>53</v>
      </c>
      <c r="H10" s="116">
        <f>IF(ISNUMBER(SEARCH("sheet",O8,1)),(U7*T9/2000*1.08),(U7*T9/1000*1.08))</f>
        <v>3834.0000000000005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188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17.971875000000001</v>
      </c>
      <c r="F11" s="115"/>
      <c r="G11" s="12" t="s">
        <v>15</v>
      </c>
      <c r="H11" s="114">
        <f>H10/B10</f>
        <v>239.62500000000003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>V</v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180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60"/>
      <c r="Y16" s="161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158"/>
      <c r="J17" s="159"/>
      <c r="K17" s="158"/>
      <c r="L17" s="159"/>
      <c r="M17" s="34"/>
      <c r="N17" s="12" t="s">
        <v>26</v>
      </c>
      <c r="O17" s="98" t="s">
        <v>37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60"/>
      <c r="Y17" s="161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158"/>
      <c r="J18" s="159"/>
      <c r="K18" s="158"/>
      <c r="L18" s="159"/>
      <c r="M18" s="34"/>
      <c r="N18" s="12" t="s">
        <v>101</v>
      </c>
      <c r="O18" s="98" t="s">
        <v>185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60"/>
      <c r="Y18" s="161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158"/>
      <c r="J19" s="159"/>
      <c r="K19" s="158"/>
      <c r="L19" s="159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158"/>
      <c r="J20" s="159"/>
      <c r="K20" s="158"/>
      <c r="L20" s="159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158"/>
      <c r="J21" s="159"/>
      <c r="K21" s="158"/>
      <c r="L21" s="159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05" customHeight="1" x14ac:dyDescent="0.3">
      <c r="A22" s="85" t="str">
        <f>(IF(B7="NATURAL","",B7))</f>
        <v>BLACK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9"/>
      <c r="E22" s="93"/>
      <c r="F22" s="94"/>
      <c r="G22" s="56" t="s">
        <v>86</v>
      </c>
      <c r="H22" s="37"/>
      <c r="I22" s="158"/>
      <c r="J22" s="159"/>
      <c r="K22" s="158"/>
      <c r="L22" s="159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05" customHeight="1" x14ac:dyDescent="0.3">
      <c r="A23" s="90" t="s">
        <v>194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9"/>
      <c r="E23" s="153">
        <v>0.02</v>
      </c>
      <c r="F23" s="94"/>
      <c r="G23" s="56" t="s">
        <v>87</v>
      </c>
      <c r="H23" s="37"/>
      <c r="I23" s="158"/>
      <c r="J23" s="159"/>
      <c r="K23" s="158"/>
      <c r="L23" s="159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158"/>
      <c r="J24" s="159"/>
      <c r="K24" s="158"/>
      <c r="L24" s="159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195</v>
      </c>
      <c r="P25" s="39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245</v>
      </c>
      <c r="X25" s="10">
        <v>245</v>
      </c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44004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43994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B1CF793-AB43-474E-A1C1-FAEC9F08021F}"/>
</file>

<file path=customXml/itemProps2.xml><?xml version="1.0" encoding="utf-8"?>
<ds:datastoreItem xmlns:ds="http://schemas.openxmlformats.org/officeDocument/2006/customXml" ds:itemID="{6A21B47C-272C-4F3F-9E3B-EAA336F9BEDD}"/>
</file>

<file path=customXml/itemProps3.xml><?xml version="1.0" encoding="utf-8"?>
<ds:datastoreItem xmlns:ds="http://schemas.openxmlformats.org/officeDocument/2006/customXml" ds:itemID="{24F0AA7B-E206-4994-8737-722262008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2020-05-22T00:24:58Z</cp:lastPrinted>
  <dcterms:created xsi:type="dcterms:W3CDTF">2019-11-27T23:28:06Z</dcterms:created>
  <dcterms:modified xsi:type="dcterms:W3CDTF">2020-05-22T00:25:46Z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