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40123DD-D6A6-4077-BD63-821AFBA8B8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<sst xmlns="http://schemas.openxmlformats.org/spreadsheetml/2006/main" count="305" uniqueCount="201">
  <si>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</si>
  <si>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</si>
  <si>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</si>
  <si>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</si>
  <si>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</si>
  <si>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</si>
  <si>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</si>
  <si>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</si>
  <si>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</si>
  <si>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</si>
  <si>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</si>
  <si>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</si>
  <si>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</si>
  <si>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</si>
  <si>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</si>
  <si>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</si>
  <si>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</si>
  <si>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</si>
  <si>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</si>
  <si>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</si>
  <si>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</si>
  <si>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</si>
  <si>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</si>
  <si>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</si>
  <si>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</si>
  <si>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</si>
  <si>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</si>
  <si>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</si>
  <si>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</si>
  <si>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</si>
  <si>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</si>
  <si>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</si>
  <si>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</si>
  <si>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</si>
  <si>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</si>
  <si>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</si>
  <si>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</si>
  <si>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</si>
  <si>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</si>
  <si>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</si>
  <si>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</si>
  <si>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</si>
  <si>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</si>
  <si>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</si>
  <si>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</si>
  <si>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</si>
  <si>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</si>
  <si>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</si>
  <si>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</si>
  <si>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</si>
  <si>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</si>
  <si>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</si>
  <si>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</si>
  <si>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</si>
  <si>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</si>
  <si>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</si>
  <si>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</si>
  <si>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</si>
  <si>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</si>
  <si>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</si>
  <si>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</si>
  <si>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</si>
  <si>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</si>
  <si>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</si>
  <si>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</si>
  <si>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</si>
  <si>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</si>
  <si>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</si>
  <si>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</si>
  <si>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</si>
  <si>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</si>
  <si>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</si>
  <si>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</si>
  <si>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</si>
  <si>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</si>
  <si>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</si>
  <si>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</si>
  <si>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</si>
  <si>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</si>
  <si>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</si>
  <si>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</si>
  <si>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</si>
  <si>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</si>
  <si>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</si>
  <si>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</si>
  <si>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</si>
  <si>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</si>
  <si>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</si>
  <si>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</si>
  <si>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</si>
  <si>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</si>
  <si>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</si>
  <si>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</si>
  <si>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</si>
  <si>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</si>
  <si>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</si>
  <si>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</si>
  <si>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</si>
  <si>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</si>
  <si>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</si>
  <si>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</si>
  <si>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</si>
  <si>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</si>
  <si>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</si>
  <si>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</si>
  <si>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</si>
  <si>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</si>
  <si>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</si>
  <si>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</si>
  <si>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</si>
  <si>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</si>
  <si>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</si>
  <si>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</si>
  <si>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</si>
  <si>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</si>
  <si>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</si>
  <si>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</si>
  <si>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</si>
  <si>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</si>
  <si>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</si>
  <si>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</si>
  <si>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</si>
  <si>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</si>
  <si>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</si>
  <si>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</si>
  <si>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</si>
  <si>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</si>
  <si>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</si>
  <si>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</si>
  <si>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</si>
  <si>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</si>
  <si>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</si>
  <si>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</si>
  <si>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</si>
  <si>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</si>
  <si>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</si>
  <si>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</si>
  <si>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</si>
  <si>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</si>
  <si>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</si>
  <si>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</si>
  <si>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</si>
  <si>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</si>
  <si>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</si>
  <si>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</si>
  <si>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</si>
  <si>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</si>
  <si>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</si>
  <si>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</si>
  <si>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</si>
  <si>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</si>
  <si>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</si>
  <si>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</si>
  <si>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</si>
  <si>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</si>
  <si>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</si>
  <si>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</si>
  <si>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</si>
  <si>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</si>
  <si>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</si>
  <si>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</si>
  <si>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</si>
  <si>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</si>
  <si>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</si>
  <si>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</si>
  <si>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</si>
  <si>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</si>
  <si>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</si>
  <si>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</si>
  <si>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</si>
  <si>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</si>
  <si>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</si>
  <si>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</si>
  <si>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</si>
  <si>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</si>
  <si>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</si>
  <si>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</si>
  <si>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</si>
  <si>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</si>
  <si>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</si>
  <si>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</si>
  <si>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</si>
  <si>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</si>
  <si>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</si>
  <si>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</si>
  <si>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</si>
  <si>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</si>
  <si>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</si>
  <si>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</si>
  <si>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</si>
  <si>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</si>
  <si>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</si>
  <si>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</si>
  <si>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</si>
  <si>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"CONTAMINATED GARMENTS"</t>
  </si>
  <si>
    <t xml:space="preserve"> +/- 10mm</t>
  </si>
  <si>
    <t xml:space="preserve"> +/- 10um</t>
  </si>
  <si>
    <t>INDUSTRIAL DECONTAM</t>
  </si>
  <si>
    <t>ANTISTATIC</t>
  </si>
  <si>
    <t>LIMAX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</si>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</sst>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PB610740100YAS0P</v>
      </c>
      <c r="C1" s="108"/>
      <c r="D1" s="109"/>
      <c r="E1" s="10" t="s">
        <v>57</v>
      </c>
      <c r="F1" s="62" t="s">
        <v>197</v>
      </c>
      <c r="G1" s="62"/>
      <c r="H1" s="63"/>
      <c r="I1" s="11" t="s">
        <v>181</v>
      </c>
      <c r="J1" s="119">
        <f ca="1">TODAY()</f>
        <v>46066</v>
      </c>
      <c r="K1" s="119"/>
      <c r="L1" s="120"/>
      <c r="M1" s="28"/>
      <c r="N1" s="10" t="s">
        <v>56</v>
      </c>
      <c r="O1" s="108" t="str">
        <f>B1</f>
        <v>PB610740100YAS0P</v>
      </c>
      <c r="P1" s="108"/>
      <c r="Q1" s="109"/>
      <c r="R1" s="10" t="s">
        <v>57</v>
      </c>
      <c r="S1" s="108" t="str">
        <f>F1</f>
        <v>INDUSTRIAL DECONTAM</v>
      </c>
      <c r="T1" s="108"/>
      <c r="U1" s="109"/>
      <c r="V1" s="10" t="s">
        <v>181</v>
      </c>
      <c r="W1" s="119">
        <f ca="1">J1</f>
        <v>46066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/>
      </c>
      <c r="C2" s="108"/>
      <c r="D2" s="109"/>
      <c r="E2" s="10" t="s">
        <v>58</v>
      </c>
      <c r="F2" s="62">
        <v>951075</v>
      </c>
      <c r="G2" s="62"/>
      <c r="H2" s="63"/>
      <c r="I2" s="10" t="s">
        <v>59</v>
      </c>
      <c r="J2" s="122">
        <v>45768</v>
      </c>
      <c r="K2" s="62"/>
      <c r="L2" s="63"/>
      <c r="M2" s="28"/>
      <c r="N2" s="10" t="s">
        <v>100</v>
      </c>
      <c r="O2" s="108" t="str">
        <f>IF(B2="","",B2)</f>
        <v/>
      </c>
      <c r="P2" s="108"/>
      <c r="Q2" s="109"/>
      <c r="R2" s="10" t="s">
        <v>58</v>
      </c>
      <c r="S2" s="108">
        <f>IF(F2="","",F2)</f>
        <v>951075</v>
      </c>
      <c r="T2" s="108"/>
      <c r="U2" s="109"/>
      <c r="V2" s="10" t="s">
        <v>59</v>
      </c>
      <c r="W2" s="121">
        <f>J2</f>
        <v>45768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148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100</v>
      </c>
      <c r="P7" s="63"/>
      <c r="Q7" s="10" t="str">
        <f>IF(ISNUMBER(SEARCH("roll",O8,1)),"Per Roll","Per Carton")</f>
        <v>Per Carton</v>
      </c>
      <c r="R7" s="62">
        <v>100</v>
      </c>
      <c r="S7" s="63"/>
      <c r="T7" s="10" t="str">
        <f>IF(ISNUMBER(SEARCH("bag",O8,1)),"Total Bags","Total Sheets")</f>
        <v>Total Bags</v>
      </c>
      <c r="U7" s="108">
        <f>R7*O7</f>
        <v>10000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610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100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5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196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610</v>
      </c>
      <c r="S9" s="17" t="s">
        <v>78</v>
      </c>
      <c r="T9" s="29">
        <v>740</v>
      </c>
      <c r="U9" s="17" t="s">
        <v>78</v>
      </c>
      <c r="V9" s="29">
        <v>100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24</v>
      </c>
      <c r="C10" s="63"/>
      <c r="D10" s="46" t="s">
        <v>134</v>
      </c>
      <c r="E10" s="127">
        <f>IF(ISNUMBER(SEARCH("sheet",O8,1)),((R9*T9*H8/540000)*U7/2000*1.3),((R9*T9*H8/540000)*U7/1000*1.08))</f>
        <v>902.80000000000007</v>
      </c>
      <c r="F10" s="128"/>
      <c r="G10" s="10" t="s">
        <v>53</v>
      </c>
      <c r="H10" s="131">
        <f>IF(ISNUMBER(SEARCH("sheet",O8,1)),(U7*T9/2000*1.08),(U7*T9/1000*1.08))</f>
        <v>7992.0000000000009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Yes</v>
      </c>
      <c r="S10" s="94"/>
      <c r="T10" s="13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37.616666666666667</v>
      </c>
      <c r="F11" s="130"/>
      <c r="G11" s="10" t="s">
        <v>15</v>
      </c>
      <c r="H11" s="129">
        <f>H10/B10</f>
        <v>333.00000000000006</v>
      </c>
      <c r="I11" s="130"/>
      <c r="J11" s="10" t="s">
        <v>50</v>
      </c>
      <c r="K11" s="62" t="s">
        <v>64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>P</v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70</v>
      </c>
      <c r="C13" s="62"/>
      <c r="D13" s="63"/>
      <c r="E13" s="18" t="s">
        <v>61</v>
      </c>
      <c r="F13" s="62" t="s">
        <v>66</v>
      </c>
      <c r="G13" s="62"/>
      <c r="H13" s="63"/>
      <c r="I13" s="10" t="s">
        <v>62</v>
      </c>
      <c r="J13" s="62" t="s">
        <v>177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100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 t="s">
        <v>194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37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YELLOW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198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200</v>
      </c>
      <c r="B24" s="140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199</v>
      </c>
      <c r="P25" s="33"/>
      <c r="Q25" s="9">
        <v>22</v>
      </c>
      <c r="R25" s="9"/>
      <c r="S25" s="9"/>
      <c r="T25" s="9"/>
      <c r="U25" s="9"/>
      <c r="V25" s="9"/>
      <c r="W25" s="9">
        <v>17</v>
      </c>
      <c r="X25" s="9">
        <v>13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>
        <v>65</v>
      </c>
      <c r="C27" s="7"/>
      <c r="D27" s="9">
        <v>60</v>
      </c>
      <c r="E27" s="58">
        <v>3.6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46094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46087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561618-ABFD-4CC6-8D73-FF7694632378}"/>
</file>

<file path=customXml/itemProps2.xml><?xml version="1.0" encoding="utf-8"?>
<ds:datastoreItem xmlns:ds="http://schemas.openxmlformats.org/officeDocument/2006/customXml" ds:itemID="{CA73A672-3756-4E77-9E66-705015BE05A9}"/>
</file>

<file path=customXml/itemProps3.xml><?xml version="1.0" encoding="utf-8"?>
<ds:datastoreItem xmlns:ds="http://schemas.openxmlformats.org/officeDocument/2006/customXml" ds:itemID="{E7B4C8EF-B578-4938-8EF2-6C664E48A5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2025-03-31T02:47:15Z</cp:lastPrinted>
  <dcterms:created xsi:type="dcterms:W3CDTF">2019-11-27T23:28:06Z</dcterms:created>
  <dcterms:modified xsi:type="dcterms:W3CDTF">2026-02-13T07:23:44Z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