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5B5EAA97-5C35-435D-BCC0-797D6BC6F9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<sst xmlns="http://schemas.openxmlformats.org/spreadsheetml/2006/main" count="304" uniqueCount="199">
  <si>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</si>
  <si>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</si>
  <si>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</si>
  <si>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</si>
  <si>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</si>
  <si>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</si>
  <si>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</si>
  <si>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</si>
  <si>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</si>
  <si>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</si>
  <si>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</si>
  <si>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</si>
  <si>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</si>
  <si>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</si>
  <si>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</si>
  <si>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</si>
  <si>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</si>
  <si>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</si>
  <si>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</si>
  <si>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</si>
  <si>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</si>
  <si>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</si>
  <si>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</si>
  <si>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</si>
  <si>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</si>
  <si>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</si>
  <si>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</si>
  <si>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</si>
  <si>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</si>
  <si>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</si>
  <si>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</si>
  <si>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</si>
  <si>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</si>
  <si>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</si>
  <si>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</si>
  <si>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</si>
  <si>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</si>
  <si>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</si>
  <si>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</si>
  <si>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</si>
  <si>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</si>
  <si>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</si>
  <si>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</si>
  <si>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</si>
  <si>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</si>
  <si>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</si>
  <si>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</si>
  <si>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</si>
  <si>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</si>
  <si>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</si>
  <si>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</si>
  <si>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</si>
  <si>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</si>
  <si>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</si>
  <si>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</si>
  <si>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</si>
  <si>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</si>
  <si>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</si>
  <si>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</si>
  <si>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</si>
  <si>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</si>
  <si>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</si>
  <si>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</si>
  <si>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</si>
  <si>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</si>
  <si>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</si>
  <si>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</si>
  <si>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</si>
  <si>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</si>
  <si>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</si>
  <si>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</si>
  <si>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</si>
  <si>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</si>
  <si>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</si>
  <si>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</si>
  <si>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</si>
  <si>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</si>
  <si>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</si>
  <si>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</si>
  <si>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</si>
  <si>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</si>
  <si>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</si>
  <si>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</si>
  <si>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</si>
  <si>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</si>
  <si>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</si>
  <si>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</si>
  <si>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</si>
  <si>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</si>
  <si>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</si>
  <si>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</si>
  <si>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</si>
  <si>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</si>
  <si>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</si>
  <si>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</si>
  <si>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</si>
  <si>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</si>
  <si>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</si>
  <si>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</si>
  <si>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</si>
  <si>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</si>
  <si>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</si>
  <si>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</si>
  <si>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</si>
  <si>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</si>
  <si>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</si>
  <si>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</si>
  <si>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</si>
  <si>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</si>
  <si>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</si>
  <si>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</si>
  <si>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</si>
  <si>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</si>
  <si>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</si>
  <si>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</si>
  <si>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</si>
  <si>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</si>
  <si>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</si>
  <si>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</si>
  <si>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</si>
  <si>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</si>
  <si>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</si>
  <si>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</si>
  <si>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</si>
  <si>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</si>
  <si>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</si>
  <si>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</si>
  <si>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</si>
  <si>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</si>
  <si>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</si>
  <si>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</si>
  <si>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</si>
  <si>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</si>
  <si>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</si>
  <si>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</si>
  <si>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</si>
  <si>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</si>
  <si>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</si>
  <si>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</si>
  <si>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</si>
  <si>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</si>
  <si>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</si>
  <si>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</si>
  <si>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</si>
  <si>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</si>
  <si>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</si>
  <si>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</si>
  <si>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</si>
  <si>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</si>
  <si>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</si>
  <si>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</si>
  <si>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</si>
  <si>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</si>
  <si>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</si>
  <si>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</si>
  <si>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</si>
  <si>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</si>
  <si>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</si>
  <si>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</si>
  <si>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</si>
  <si>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</si>
  <si>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</si>
  <si>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</si>
  <si>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</si>
  <si>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</si>
  <si>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</si>
  <si>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</si>
  <si>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</si>
  <si>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</si>
  <si>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</si>
  <si>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</si>
  <si>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</si>
  <si>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</si>
  <si>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</si>
  <si>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</si>
  <si>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</si>
  <si>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</si>
  <si>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</si>
  <si>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</si>
  <si>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</si>
  <si>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</si>
  <si>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</si>
  <si>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</si>
  <si>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</si>
  <si>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</si>
  <si>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</si>
  <si>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</si>
  <si>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</si>
  <si>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</si>
  <si>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</si>
  <si>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</si>
  <si>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</si>
  <si>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</si>
  <si>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</si>
  <si>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</si>
  <si>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NEW ITEM - MUST HAVE WATER TIGHT SEALS</t>
  </si>
  <si>
    <t>NOT OVER</t>
  </si>
  <si>
    <t>LIMAX</t>
  </si>
  <si>
    <t>QLD 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</si>
</sst>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PB150305100</v>
      </c>
      <c r="C1" s="122"/>
      <c r="D1" s="123"/>
      <c r="E1" s="12" t="s">
        <v>57</v>
      </c>
      <c r="F1" s="133" t="s">
        <v>198</v>
      </c>
      <c r="G1" s="134"/>
      <c r="H1" s="135"/>
      <c r="I1" s="13" t="s">
        <v>181</v>
      </c>
      <c r="J1" s="95">
        <f ca="1">TODAY()</f>
        <v>44614</v>
      </c>
      <c r="K1" s="95"/>
      <c r="L1" s="96"/>
      <c r="M1" s="34"/>
      <c r="N1" s="12" t="s">
        <v>56</v>
      </c>
      <c r="O1" s="122" t="str">
        <f>B1</f>
        <v>PB150305100</v>
      </c>
      <c r="P1" s="122"/>
      <c r="Q1" s="123"/>
      <c r="R1" s="12" t="s">
        <v>57</v>
      </c>
      <c r="S1" s="122" t="str">
        <f>F1</f>
        <v>QLD HEATH</v>
      </c>
      <c r="T1" s="122"/>
      <c r="U1" s="123"/>
      <c r="V1" s="12" t="s">
        <v>181</v>
      </c>
      <c r="W1" s="95">
        <f ca="1">J1</f>
        <v>44614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942456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942456</v>
      </c>
      <c r="T2" s="122"/>
      <c r="U2" s="123"/>
      <c r="V2" s="12" t="s">
        <v>59</v>
      </c>
      <c r="W2" s="136" t="str">
        <f>J2</f>
        <v>ASAP</v>
      </c>
      <c r="X2" s="122"/>
      <c r="Y2" s="123"/>
    </row>
    <row r="3" spans="1:28" ht="20.100000000000001" customHeight="1" x14ac:dyDescent="0.25">
      <c r="A3" s="124" t="s">
        <v>195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6000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150</v>
      </c>
      <c r="S9" s="20" t="s">
        <v>78</v>
      </c>
      <c r="T9" s="35">
        <v>305</v>
      </c>
      <c r="U9" s="20" t="s">
        <v>78</v>
      </c>
      <c r="V9" s="35">
        <v>100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54.9</v>
      </c>
      <c r="F10" s="113"/>
      <c r="G10" s="12" t="s">
        <v>53</v>
      </c>
      <c r="H10" s="116">
        <f>IF(ISNUMBER(SEARCH("sheet",O8,1)),(U7*T9/2000*1.08),(U7*T9/1000*1.08))</f>
        <v>1976.4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10.98</v>
      </c>
      <c r="F11" s="115"/>
      <c r="G11" s="12" t="s">
        <v>15</v>
      </c>
      <c r="H11" s="114">
        <f>H10/B10</f>
        <v>395.28000000000003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197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44635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C3AD806-4FE1-4C9E-9D1F-657BCE5EB494}"/>
</file>

<file path=customXml/itemProps2.xml><?xml version="1.0" encoding="utf-8"?>
<ds:datastoreItem xmlns:ds="http://schemas.openxmlformats.org/officeDocument/2006/customXml" ds:itemID="{133D098C-0B45-4C9E-8F2C-3AAE6FE536F1}"/>
</file>

<file path=customXml/itemProps3.xml><?xml version="1.0" encoding="utf-8"?>
<ds:datastoreItem xmlns:ds="http://schemas.openxmlformats.org/officeDocument/2006/customXml" ds:itemID="{FF6FE128-5DF6-41A4-9981-0FF5DA706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2022-02-21T03:07:03Z</cp:lastPrinted>
  <dcterms:created xsi:type="dcterms:W3CDTF">2019-11-27T23:28:06Z</dcterms:created>
  <dcterms:modified xsi:type="dcterms:W3CDTF">2022-02-22T01:24:23Z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