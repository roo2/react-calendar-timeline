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079DEA1-556A-4BB7-B75E-C162ECBBD4C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<sst xmlns="http://schemas.openxmlformats.org/spreadsheetml/2006/main" count="225" uniqueCount="165">
  <si>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</si>
  <si>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</si>
  <si>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</si>
  <si>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</si>
  <si>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</si>
  <si>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</si>
  <si>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</si>
  <si>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</si>
  <si>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</si>
  <si>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</si>
  <si>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</si>
  <si>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</si>
  <si>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</si>
  <si>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</si>
  <si>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</si>
  <si>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</si>
  <si>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</si>
  <si>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</si>
  <si>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</si>
  <si>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</si>
  <si>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</si>
  <si>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</si>
  <si>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</si>
  <si>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</si>
  <si>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</si>
  <si>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</si>
  <si>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</si>
  <si>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</si>
  <si>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</si>
  <si>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</si>
  <si>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</si>
  <si>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</si>
  <si>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</si>
  <si>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</si>
  <si>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</si>
  <si>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</si>
  <si>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</si>
  <si>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</si>
  <si>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</si>
  <si>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</si>
  <si>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</si>
  <si>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</si>
  <si>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</si>
  <si>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</si>
  <si>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</si>
  <si>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</si>
  <si>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</si>
  <si>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</si>
  <si>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</si>
  <si>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</si>
  <si>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</si>
  <si>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</si>
  <si>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</si>
  <si>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</si>
  <si>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</si>
  <si>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</si>
  <si>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</si>
  <si>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</si>
  <si>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</si>
  <si>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</si>
  <si>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</si>
  <si>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</si>
  <si>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</si>
  <si>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</si>
  <si>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</si>
  <si>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</si>
  <si>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</si>
  <si>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</si>
  <si>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</si>
  <si>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</si>
  <si>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</si>
  <si>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</si>
  <si>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</si>
  <si>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</si>
  <si>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</si>
  <si>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</si>
  <si>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</si>
  <si>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</si>
  <si>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</si>
  <si>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</si>
  <si>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</si>
  <si>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</si>
  <si>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</si>
  <si>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</si>
  <si>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</si>
  <si>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</si>
  <si>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</si>
  <si>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</si>
  <si>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</si>
  <si>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</si>
  <si>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</si>
  <si>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</si>
  <si>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</si>
  <si>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</si>
  <si>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</si>
  <si>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</si>
  <si>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</si>
  <si>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</si>
  <si>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</si>
  <si>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</si>
  <si>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</si>
  <si>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</si>
  <si>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</si>
  <si>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</si>
  <si>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</si>
  <si>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</si>
  <si>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</si>
  <si>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</si>
  <si>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</si>
  <si>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</si>
  <si>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</si>
  <si>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</si>
  <si>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</si>
  <si>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</si>
  <si>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</si>
  <si>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</si>
  <si>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</si>
  <si>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</si>
  <si>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</si>
  <si>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</si>
  <si>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</si>
  <si>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</si>
  <si>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</si>
  <si>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</si>
  <si>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</si>
  <si>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</si>
  <si>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</si>
  <si>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</si>
  <si>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</si>
  <si>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</si>
  <si>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</si>
  <si>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</si>
  <si>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</si>
  <si>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</si>
  <si>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</si>
  <si>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</si>
  <si>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</si>
  <si>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</si>
  <si>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</si>
  <si>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</si>
  <si>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</si>
  <si>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</si>
  <si>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</si>
  <si>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</si>
  <si>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</si>
  <si>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</si>
  <si>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</si>
  <si>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</si>
  <si>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</si>
  <si>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</si>
  <si>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</si>
  <si>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</si>
  <si>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</si>
  <si>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</si>
  <si>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</si>
  <si>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</si>
  <si>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</si>
  <si>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</si>
  <si>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</si>
  <si>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</si>
  <si>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</si>
  <si>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</si>
  <si>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</si>
  <si>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</si>
  <si>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SEDL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</si>
</sst>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T30050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46066</v>
      </c>
      <c r="K1" s="76"/>
      <c r="L1" s="77"/>
    </row>
    <row r="2" spans="1:14" ht="20.100000000000001" customHeight="1" x14ac:dyDescent="0.25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951473</v>
      </c>
      <c r="G2" s="51"/>
      <c r="H2" s="52"/>
      <c r="I2" s="11" t="s">
        <v>57</v>
      </c>
      <c r="J2" s="78" t="s">
        <v>162</v>
      </c>
      <c r="K2" s="51"/>
      <c r="L2" s="52"/>
    </row>
    <row r="3" spans="1:14" ht="20.100000000000001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00000000000001" customHeight="1" x14ac:dyDescent="0.2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00000000000001" customHeight="1" x14ac:dyDescent="0.2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00000000000001" customHeight="1" x14ac:dyDescent="0.2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00000000000001" customHeight="1" x14ac:dyDescent="0.3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00000000000001" customHeight="1" x14ac:dyDescent="0.25">
      <c r="A8" s="12" t="s">
        <v>14</v>
      </c>
      <c r="B8" s="97">
        <v>300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50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00000000000001" customHeight="1" x14ac:dyDescent="0.3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00000000000001" customHeight="1" x14ac:dyDescent="0.25">
      <c r="A10" s="11" t="s">
        <v>49</v>
      </c>
      <c r="B10" s="51">
        <v>7</v>
      </c>
      <c r="C10" s="52"/>
      <c r="D10" s="36" t="s">
        <v>104</v>
      </c>
      <c r="E10" s="85">
        <f>E11*B10</f>
        <v>140</v>
      </c>
      <c r="F10" s="86"/>
      <c r="G10" s="11" t="s">
        <v>51</v>
      </c>
      <c r="H10" s="65">
        <f>H11*B10</f>
        <v>5040</v>
      </c>
      <c r="I10" s="66"/>
      <c r="J10" s="11" t="s">
        <v>39</v>
      </c>
      <c r="K10" s="51" t="s">
        <v>42</v>
      </c>
      <c r="L10" s="52"/>
    </row>
    <row r="11" spans="1:14" s="43" customFormat="1" ht="20.100000000000001" customHeight="1" x14ac:dyDescent="0.25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20</v>
      </c>
      <c r="F11" s="88"/>
      <c r="G11" s="42" t="s">
        <v>13</v>
      </c>
      <c r="H11" s="89">
        <f>E11*540000/B8/H8</f>
        <v>720</v>
      </c>
      <c r="I11" s="90"/>
      <c r="J11" s="42" t="s">
        <v>48</v>
      </c>
      <c r="K11" s="95" t="s">
        <v>42</v>
      </c>
      <c r="L11" s="96"/>
      <c r="N11"/>
    </row>
    <row r="12" spans="1:14" ht="20.100000000000001" customHeight="1" x14ac:dyDescent="0.2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00000000000001" customHeight="1" x14ac:dyDescent="0.25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00000000000001" customHeight="1" x14ac:dyDescent="0.3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00000000000001" customHeight="1" x14ac:dyDescent="0.2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00000000000001" customHeight="1" x14ac:dyDescent="0.25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7</v>
      </c>
      <c r="G16" s="61"/>
      <c r="H16" s="62"/>
      <c r="I16" s="11" t="s">
        <v>74</v>
      </c>
      <c r="J16" s="51"/>
      <c r="K16" s="51"/>
      <c r="L16" s="52"/>
    </row>
    <row r="17" spans="1:12" ht="20.100000000000001" customHeight="1" x14ac:dyDescent="0.2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00000000000001" customHeight="1" x14ac:dyDescent="0.2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00000000000001" customHeight="1" x14ac:dyDescent="0.2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00000000000001" customHeight="1" x14ac:dyDescent="0.2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00000000000001" customHeight="1" x14ac:dyDescent="0.2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00000000000001" customHeight="1" x14ac:dyDescent="0.2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00000000000001" customHeight="1" x14ac:dyDescent="0.2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00000000000001" customHeight="1" x14ac:dyDescent="0.2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00000000000001" customHeight="1" x14ac:dyDescent="0.2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00000000000001" customHeight="1" x14ac:dyDescent="0.2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00000000000001" customHeight="1" x14ac:dyDescent="0.2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00000000000001" customHeight="1" x14ac:dyDescent="0.2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00000000000001" customHeight="1" x14ac:dyDescent="0.2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00000000000001" customHeight="1" x14ac:dyDescent="0.2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00000000000001" customHeight="1" x14ac:dyDescent="0.2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00000000000001" customHeight="1" x14ac:dyDescent="0.2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00000000000001" customHeight="1" x14ac:dyDescent="0.2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00000000000001" customHeight="1" x14ac:dyDescent="0.2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00000000000001" customHeight="1" x14ac:dyDescent="0.2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00000000000001" customHeight="1" x14ac:dyDescent="0.2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00000000000001" customHeight="1" x14ac:dyDescent="0.2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00000000000001" customHeight="1" x14ac:dyDescent="0.2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00000000000001" customHeight="1" x14ac:dyDescent="0.2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00000000000001" customHeight="1" x14ac:dyDescent="0.2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00000000000001" customHeight="1" x14ac:dyDescent="0.2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00000000000001" customHeight="1" x14ac:dyDescent="0.2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00000000000001" customHeight="1" x14ac:dyDescent="0.2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00000000000001" customHeight="1" x14ac:dyDescent="0.25"/>
    <row r="45" spans="1:12" ht="20.100000000000001" customHeight="1" x14ac:dyDescent="0.2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00000000000001" customHeight="1" x14ac:dyDescent="0.2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00000000000001" customHeight="1" x14ac:dyDescent="0.2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00000000000001" customHeight="1" x14ac:dyDescent="0.2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00000000000001" customHeight="1" x14ac:dyDescent="0.2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00000000000001" customHeight="1" x14ac:dyDescent="0.2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00000000000001" customHeight="1" x14ac:dyDescent="0.2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00000000000001" customHeight="1" x14ac:dyDescent="0.2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00000000000001" customHeight="1" x14ac:dyDescent="0.2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00000000000001" customHeight="1" x14ac:dyDescent="0.2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00000000000001" customHeight="1" x14ac:dyDescent="0.2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00000000000001" customHeight="1" x14ac:dyDescent="0.2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00000000000001" customHeight="1" x14ac:dyDescent="0.2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00000000000001" customHeight="1" x14ac:dyDescent="0.2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00000000000001" customHeight="1" x14ac:dyDescent="0.2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00000000000001" customHeight="1" x14ac:dyDescent="0.2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00000000000001" customHeight="1" x14ac:dyDescent="0.2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00000000000001" customHeight="1" x14ac:dyDescent="0.2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00000000000001" customHeight="1" x14ac:dyDescent="0.2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00000000000001" customHeight="1" x14ac:dyDescent="0.2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00000000000001" customHeight="1" x14ac:dyDescent="0.2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00000000000001" customHeight="1" x14ac:dyDescent="0.2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00000000000001" customHeight="1" x14ac:dyDescent="0.2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00000000000001" customHeight="1" x14ac:dyDescent="0.2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00000000000001" customHeight="1" x14ac:dyDescent="0.2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00000000000001" customHeight="1" x14ac:dyDescent="0.2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00000000000001" customHeight="1" x14ac:dyDescent="0.2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00000000000001" customHeight="1" x14ac:dyDescent="0.2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00000000000001" customHeight="1" x14ac:dyDescent="0.2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00000000000001" customHeight="1" x14ac:dyDescent="0.2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00000000000001" customHeight="1" x14ac:dyDescent="0.2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00000000000001" customHeight="1" x14ac:dyDescent="0.2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00000000000001" customHeight="1" x14ac:dyDescent="0.2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00000000000001" customHeight="1" x14ac:dyDescent="0.2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00000000000001" customHeight="1" x14ac:dyDescent="0.2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00000000000001" customHeight="1" x14ac:dyDescent="0.2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00000000000001" customHeight="1" x14ac:dyDescent="0.2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00000000000001" customHeight="1" x14ac:dyDescent="0.2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00000000000001" customHeight="1" x14ac:dyDescent="0.2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00000000000001" customHeight="1" x14ac:dyDescent="0.2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00000000000001" customHeight="1" x14ac:dyDescent="0.2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2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7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2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4">
        <f ca="1">DATE(YEAR(Sheet1!J1),MONTH(Sheet1!J1)+1,DAY(Sheet1!J1))</f>
        <v>46094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4">
        <f ca="1">DATE(YEAR(Sheet1!J1),MONTH(Sheet1!J1),DAY(Sheet1!J1)+21)</f>
        <v>46087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2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2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2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2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2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2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2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2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2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2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2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2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2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2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2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2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2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2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2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2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2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2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2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2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2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2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2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2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2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2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2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2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2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2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2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25">
      <c r="A59" s="37"/>
    </row>
    <row r="60" spans="1:20" x14ac:dyDescent="0.25">
      <c r="A60" s="38" t="s">
        <v>61</v>
      </c>
      <c r="O60" s="1"/>
      <c r="Q60" s="1"/>
      <c r="R60" s="3"/>
      <c r="S60" s="1"/>
    </row>
    <row r="61" spans="1:20" x14ac:dyDescent="0.25">
      <c r="A61" s="37" t="s">
        <v>42</v>
      </c>
      <c r="O61" s="1"/>
      <c r="Q61" s="1"/>
      <c r="R61" s="1"/>
      <c r="S61" s="1"/>
    </row>
    <row r="62" spans="1:20" x14ac:dyDescent="0.25">
      <c r="A62" s="40" t="s">
        <v>144</v>
      </c>
      <c r="O62" s="1"/>
      <c r="Q62" s="1"/>
      <c r="R62" s="1"/>
      <c r="S62" s="1"/>
    </row>
    <row r="63" spans="1:20" x14ac:dyDescent="0.25">
      <c r="A63" s="41" t="s">
        <v>123</v>
      </c>
      <c r="O63" s="1"/>
      <c r="Q63" s="1"/>
      <c r="R63" s="1"/>
      <c r="S63" s="1"/>
      <c r="T63" s="1"/>
    </row>
    <row r="64" spans="1:20" x14ac:dyDescent="0.25">
      <c r="A64" s="41" t="s">
        <v>116</v>
      </c>
      <c r="O64" s="1"/>
      <c r="Q64" s="1"/>
      <c r="R64" s="1"/>
      <c r="S64" s="1"/>
      <c r="T64" s="1"/>
    </row>
    <row r="65" spans="1:20" x14ac:dyDescent="0.2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1" t="s">
        <v>121</v>
      </c>
      <c r="N69" s="4"/>
    </row>
    <row r="70" spans="1:20" x14ac:dyDescent="0.25">
      <c r="A70" s="41" t="s">
        <v>142</v>
      </c>
    </row>
    <row r="71" spans="1:20" x14ac:dyDescent="0.25">
      <c r="A71" s="41" t="s">
        <v>122</v>
      </c>
    </row>
    <row r="72" spans="1:20" x14ac:dyDescent="0.25">
      <c r="A72" s="41" t="s">
        <v>120</v>
      </c>
    </row>
    <row r="73" spans="1:20" x14ac:dyDescent="0.25">
      <c r="A73" s="41" t="s">
        <v>121</v>
      </c>
    </row>
    <row r="74" spans="1:20" x14ac:dyDescent="0.25">
      <c r="A74" s="41" t="s">
        <v>142</v>
      </c>
    </row>
    <row r="75" spans="1:20" x14ac:dyDescent="0.2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0D433954-7B5F-464B-BE11-AB4B192C564F}"/>
</file>

<file path=customXml/itemProps2.xml><?xml version="1.0" encoding="utf-8"?>
<ds:datastoreItem xmlns:ds="http://schemas.openxmlformats.org/officeDocument/2006/customXml" ds:itemID="{AF8369DA-41C7-41B0-9821-12988C40CBCC}"/>
</file>

<file path=customXml/itemProps3.xml><?xml version="1.0" encoding="utf-8"?>
<ds:datastoreItem xmlns:ds="http://schemas.openxmlformats.org/officeDocument/2006/customXml" ds:itemID="{25514E8F-0962-428F-AA8D-0BB84C77D7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2022-05-24T02:46:24Z</cp:lastPrinted>
  <dcterms:created xsi:type="dcterms:W3CDTF">2019-11-27T23:28:06Z</dcterms:created>
  <dcterms:modified xsi:type="dcterms:W3CDTF">2026-02-13T03:38:12Z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