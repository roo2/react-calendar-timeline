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0FD7F33-E1F5-4B42-B123-3FA3BDEA1E49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W16" i="1" l="1"/>
  <c r="U13" i="1"/>
  <c r="T17" i="1" l="1"/>
  <c r="K8" i="1"/>
  <c r="T7" i="1"/>
  <c r="Q7" i="1"/>
  <c r="N7" i="1"/>
  <c r="W17" i="1"/>
  <c r="O11" i="1"/>
  <c r="C24" i="1" l="1"/>
  <c r="C23" i="1"/>
  <c r="N3" i="1" l="1"/>
  <c r="R10" i="1" l="1"/>
  <c r="R11" i="1" s="1"/>
  <c r="Q13" i="1" l="1"/>
  <c r="U7" i="1" l="1"/>
  <c r="H10" i="1" l="1"/>
  <c r="H11" i="1" s="1"/>
  <c r="H8" i="1"/>
  <c r="E10" i="1" s="1"/>
  <c r="E11" i="1" s="1"/>
  <c r="B2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<sst xmlns="http://schemas.openxmlformats.org/spreadsheetml/2006/main" count="312" uniqueCount="202">
  <si>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</si>
  <si>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</si>
  <si>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</si>
  <si>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</si>
  <si>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</si>
  <si>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</si>
  <si>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</si>
  <si>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</si>
  <si>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</si>
  <si>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</si>
  <si>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</si>
  <si>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</si>
  <si>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</si>
  <si>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</si>
  <si>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</si>
  <si>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</si>
  <si>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</si>
  <si>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</si>
  <si>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</si>
  <si>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</si>
  <si>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</si>
  <si>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</si>
  <si>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</si>
  <si>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</si>
  <si>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</si>
  <si>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</si>
  <si>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</si>
  <si>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</si>
  <si>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</si>
  <si>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</si>
  <si>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</si>
  <si>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</si>
  <si>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</si>
  <si>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</si>
  <si>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</si>
  <si>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</si>
  <si>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</si>
  <si>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</si>
  <si>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</si>
  <si>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</si>
  <si>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</si>
  <si>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</si>
  <si>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</si>
  <si>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</si>
  <si>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</si>
  <si>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</si>
  <si>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</si>
  <si>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</si>
  <si>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</si>
  <si>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</si>
  <si>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</si>
  <si>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</si>
  <si>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</si>
  <si>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</si>
  <si>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</si>
  <si>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</si>
  <si>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</si>
  <si>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</si>
  <si>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</si>
  <si>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</si>
  <si>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</si>
  <si>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</si>
  <si>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</si>
  <si>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</si>
  <si>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</si>
  <si>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</si>
  <si>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</si>
  <si>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</si>
  <si>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</si>
  <si>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</si>
  <si>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</si>
  <si>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</si>
  <si>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</si>
  <si>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</si>
  <si>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</si>
  <si>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</si>
  <si>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</si>
  <si>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</si>
  <si>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</si>
  <si>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</si>
  <si>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</si>
  <si>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</si>
  <si>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</si>
  <si>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</si>
  <si>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</si>
  <si>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</si>
  <si>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</si>
  <si>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</si>
  <si>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</si>
  <si>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</si>
  <si>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</si>
  <si>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</si>
  <si>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</si>
  <si>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</si>
  <si>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</si>
  <si>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</si>
  <si>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</si>
  <si>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</si>
  <si>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</si>
  <si>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</si>
  <si>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</si>
  <si>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</si>
  <si>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</si>
  <si>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</si>
  <si>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</si>
  <si>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</si>
  <si>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</si>
  <si>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</si>
  <si>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</si>
  <si>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</si>
  <si>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</si>
  <si>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</si>
  <si>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</si>
  <si>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</si>
  <si>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</si>
  <si>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</si>
  <si>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</si>
  <si>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</si>
  <si>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</si>
  <si>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</si>
  <si>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</si>
  <si>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</si>
  <si>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</si>
  <si>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</si>
  <si>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</si>
  <si>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</si>
  <si>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</si>
  <si>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</si>
  <si>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</si>
  <si>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</si>
  <si>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</si>
  <si>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</si>
  <si>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</si>
  <si>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</si>
  <si>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</si>
  <si>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</si>
  <si>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</si>
  <si>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</si>
  <si>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</si>
  <si>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</si>
  <si>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</si>
  <si>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</si>
  <si>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</si>
  <si>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</si>
  <si>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</si>
  <si>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</si>
  <si>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</si>
  <si>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</si>
  <si>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</si>
  <si>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</si>
  <si>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</si>
  <si>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</si>
  <si>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</si>
  <si>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</si>
  <si>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</si>
  <si>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</si>
  <si>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</si>
  <si>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</si>
  <si>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</si>
  <si>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</si>
  <si>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</si>
  <si>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</si>
  <si>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</si>
  <si>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</si>
  <si>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</si>
  <si>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</si>
  <si>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</si>
  <si>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</si>
  <si>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</si>
  <si>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</si>
  <si>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</si>
  <si>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</si>
  <si>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</si>
  <si>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</si>
  <si>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</si>
  <si>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</si>
  <si>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</si>
  <si>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</si>
  <si>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</si>
  <si>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 xml:space="preserve"> +/- 5mm</t>
  </si>
  <si>
    <t>EXTRUSION SPECS</t>
  </si>
  <si>
    <t>Extruder</t>
  </si>
  <si>
    <t>Created</t>
  </si>
  <si>
    <t xml:space="preserve"> +/- 5um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</si>
  <si>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</si>
  <si>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</si>
  <si>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</si>
  <si>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</si>
  <si>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</si>
  <si>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</si>
  <si>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</si>
  <si>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</si>
  <si>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</si>
  <si>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</si>
  <si>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</si>
  <si>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</si>
  <si>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SILVER</t>
  </si>
  <si>
    <t>SHEET - NO HEAT - CARTONS MUST BE LINED</t>
  </si>
  <si>
    <t xml:space="preserve">LIMAX </t>
  </si>
  <si>
    <t>-</t>
  </si>
  <si>
    <t>"PHRESH OYSTERS"</t>
  </si>
  <si>
    <t>PHRESH OYSTERS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</si>
</sst>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5" borderId="2" xfId="0" applyFont="1" applyFill="1" applyBorder="1"/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FF4747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D13" sqref="AD13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S35050030WHP</v>
      </c>
      <c r="C1" s="111"/>
      <c r="D1" s="112"/>
      <c r="E1" s="11" t="s">
        <v>57</v>
      </c>
      <c r="F1" s="87" t="s">
        <v>201</v>
      </c>
      <c r="G1" s="87"/>
      <c r="H1" s="88"/>
      <c r="I1" s="12" t="s">
        <v>182</v>
      </c>
      <c r="J1" s="84">
        <f ca="1">TODAY()</f>
        <v>44817</v>
      </c>
      <c r="K1" s="84"/>
      <c r="L1" s="85"/>
      <c r="M1" s="30"/>
      <c r="N1" s="11" t="s">
        <v>56</v>
      </c>
      <c r="O1" s="111" t="str">
        <f>B1</f>
        <v>S35050030WHP</v>
      </c>
      <c r="P1" s="111"/>
      <c r="Q1" s="112"/>
      <c r="R1" s="11" t="s">
        <v>57</v>
      </c>
      <c r="S1" s="111" t="str">
        <f>F1</f>
        <v>PHRESH OYSTERS</v>
      </c>
      <c r="T1" s="111"/>
      <c r="U1" s="112"/>
      <c r="V1" s="11" t="s">
        <v>182</v>
      </c>
      <c r="W1" s="84">
        <f ca="1">J1</f>
        <v>44817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943857</v>
      </c>
      <c r="G2" s="87"/>
      <c r="H2" s="88"/>
      <c r="I2" s="11" t="s">
        <v>59</v>
      </c>
      <c r="J2" s="86" t="s">
        <v>194</v>
      </c>
      <c r="K2" s="87"/>
      <c r="L2" s="88"/>
      <c r="M2" s="30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943857</v>
      </c>
      <c r="T2" s="111"/>
      <c r="U2" s="112"/>
      <c r="V2" s="11" t="s">
        <v>59</v>
      </c>
      <c r="W2" s="122" t="str">
        <f>J2</f>
        <v>ASAP</v>
      </c>
      <c r="X2" s="111"/>
      <c r="Y2" s="112"/>
    </row>
    <row r="3" spans="1:25" ht="20.149999999999999" customHeight="1" x14ac:dyDescent="0.75">
      <c r="A3" s="113" t="s">
        <v>197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30"/>
      <c r="N3" s="113" t="str">
        <f>A3</f>
        <v>SHEET - NO HEAT - CARTONS MUST BE LINED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30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30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30"/>
      <c r="N6" s="110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11" t="s">
        <v>49</v>
      </c>
      <c r="B7" s="108" t="s">
        <v>155</v>
      </c>
      <c r="C7" s="108"/>
      <c r="D7" s="108"/>
      <c r="E7" s="108"/>
      <c r="F7" s="108"/>
      <c r="G7" s="108"/>
      <c r="H7" s="108"/>
      <c r="I7" s="109"/>
      <c r="J7" s="76" t="s">
        <v>180</v>
      </c>
      <c r="K7" s="76"/>
      <c r="L7" s="74"/>
      <c r="M7" s="30"/>
      <c r="N7" s="11" t="str">
        <f>IF(ISNUMBER(SEARCH("roll",O8,1)),"No. Rolls","No. Cartons")</f>
        <v>No. Cartons</v>
      </c>
      <c r="O7" s="87">
        <v>10</v>
      </c>
      <c r="P7" s="88"/>
      <c r="Q7" s="11" t="str">
        <f>IF(ISNUMBER(SEARCH("roll",O8,1)),"Per Roll","Per Carton")</f>
        <v>Per Carton</v>
      </c>
      <c r="R7" s="87">
        <v>2000</v>
      </c>
      <c r="S7" s="88"/>
      <c r="T7" s="11" t="str">
        <f>IF(ISNUMBER(SEARCH("bag",O8,1)),"Total Bags","Total Sheets")</f>
        <v>Total Sheets</v>
      </c>
      <c r="U7" s="111">
        <f>R7*O7</f>
        <v>20000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91">
        <f>R9</f>
        <v>350</v>
      </c>
      <c r="C8" s="92"/>
      <c r="D8" s="16" t="str">
        <f>IF(ISNUMBER(SEARCH("bag",#REF!,1)),"Gusset","Centrefold")</f>
        <v>Centrefold</v>
      </c>
      <c r="E8" s="91" t="str">
        <f>IF(O8="Centrefold Roll",B8*2,IF(X9="","None",X9))</f>
        <v>None</v>
      </c>
      <c r="F8" s="92"/>
      <c r="G8" s="13" t="s">
        <v>52</v>
      </c>
      <c r="H8" s="91">
        <f>(IF(V9&lt;30,"30",V9))</f>
        <v>30</v>
      </c>
      <c r="I8" s="92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30"/>
      <c r="N8" s="14" t="s">
        <v>54</v>
      </c>
      <c r="O8" s="125" t="s">
        <v>166</v>
      </c>
      <c r="P8" s="126"/>
      <c r="Q8" s="14" t="s">
        <v>191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Centrefold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7" t="s">
        <v>48</v>
      </c>
      <c r="B9" s="89" t="s">
        <v>179</v>
      </c>
      <c r="C9" s="90"/>
      <c r="D9" s="107" t="str">
        <f>IF(K10="Middle","RUN 2 UP",IF(AND(O8="Centrefold Roll",B8=380),"RUN 2 UP",""))</f>
        <v/>
      </c>
      <c r="E9" s="108"/>
      <c r="F9" s="109"/>
      <c r="G9" s="17" t="s">
        <v>48</v>
      </c>
      <c r="H9" s="89" t="s">
        <v>183</v>
      </c>
      <c r="I9" s="90"/>
      <c r="J9" s="11" t="s">
        <v>55</v>
      </c>
      <c r="K9" s="87" t="s">
        <v>30</v>
      </c>
      <c r="L9" s="88"/>
      <c r="M9" s="30"/>
      <c r="N9" s="18"/>
      <c r="O9" s="129" t="str">
        <f>IF(O8="Poly Bag","PB",IF(O8="Poly Bag Roll","PBR",IF(O8="Centrefold Roll","CFR",IF(O8="Sheet","S",IF(O8="Sheet Roll","SR")))))</f>
        <v>S</v>
      </c>
      <c r="P9" s="130"/>
      <c r="Q9" s="18"/>
      <c r="R9" s="31">
        <v>350</v>
      </c>
      <c r="S9" s="19" t="s">
        <v>78</v>
      </c>
      <c r="T9" s="31">
        <v>500</v>
      </c>
      <c r="U9" s="19" t="s">
        <v>78</v>
      </c>
      <c r="V9" s="31">
        <v>30</v>
      </c>
      <c r="W9" s="18"/>
      <c r="X9" s="138"/>
      <c r="Y9" s="139"/>
    </row>
    <row r="10" spans="1:25" ht="20.149999999999999" customHeight="1" x14ac:dyDescent="0.8">
      <c r="A10" s="11" t="s">
        <v>51</v>
      </c>
      <c r="B10" s="87">
        <v>5</v>
      </c>
      <c r="C10" s="88"/>
      <c r="D10" s="48" t="s">
        <v>134</v>
      </c>
      <c r="E10" s="101">
        <f>IF(ISNUMBER(SEARCH("sheet",O8,1)),((R9*T9*H8/540000)*U7/2000*1.3),((R9*T9*H8/540000)*U7/1000*1.08))</f>
        <v>126.38888888888889</v>
      </c>
      <c r="F10" s="102"/>
      <c r="G10" s="11" t="s">
        <v>53</v>
      </c>
      <c r="H10" s="105">
        <f>IF(ISNUMBER(SEARCH("sheet",O8,1)),(U7*T9/2000*1.08),(U7*T9/1000*1.08))</f>
        <v>5400</v>
      </c>
      <c r="I10" s="106"/>
      <c r="J10" s="11" t="s">
        <v>41</v>
      </c>
      <c r="K10" s="87" t="s">
        <v>43</v>
      </c>
      <c r="L10" s="88"/>
      <c r="M10" s="30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Yes</v>
      </c>
      <c r="S10" s="123"/>
      <c r="T10" s="14" t="s">
        <v>100</v>
      </c>
      <c r="U10" s="132"/>
      <c r="V10" s="132"/>
      <c r="W10" s="132"/>
      <c r="X10" s="132"/>
      <c r="Y10" s="133"/>
    </row>
    <row r="11" spans="1:25" ht="20.149999999999999" customHeight="1" x14ac:dyDescent="0.8">
      <c r="A11" s="11" t="str">
        <f>IF(O8="Centrefold Roll","CF Rolls",IF(ISNUMBER(SEARCH("sheet",O8,1)),"Sheet Rolls",""))</f>
        <v>Sheet Rolls</v>
      </c>
      <c r="B11" s="111">
        <f>IF(AND(O8="Centrefold Roll",D9="RUN 2 UP"),B10*2,IF(ISNUMBER(SEARCH("sheet",O8,1)),B10*2,""))</f>
        <v>10</v>
      </c>
      <c r="C11" s="112"/>
      <c r="D11" s="11" t="s">
        <v>135</v>
      </c>
      <c r="E11" s="103">
        <f>E10/B10</f>
        <v>25.277777777777779</v>
      </c>
      <c r="F11" s="104"/>
      <c r="G11" s="11" t="s">
        <v>15</v>
      </c>
      <c r="H11" s="103">
        <f>H10/B10</f>
        <v>1080</v>
      </c>
      <c r="I11" s="104"/>
      <c r="J11" s="11" t="s">
        <v>50</v>
      </c>
      <c r="K11" s="87" t="s">
        <v>65</v>
      </c>
      <c r="L11" s="88"/>
      <c r="M11" s="30"/>
      <c r="N11" s="13"/>
      <c r="O11" s="91" t="str">
        <f>IF(O10="NONE","","V")</f>
        <v/>
      </c>
      <c r="P11" s="92"/>
      <c r="Q11" s="13"/>
      <c r="R11" s="91" t="str">
        <f>IF(R10="None","","P")</f>
        <v>P</v>
      </c>
      <c r="S11" s="91"/>
      <c r="T11" s="13"/>
      <c r="U11" s="134"/>
      <c r="V11" s="134"/>
      <c r="W11" s="134"/>
      <c r="X11" s="134"/>
      <c r="Y11" s="135"/>
    </row>
    <row r="12" spans="1:25" ht="20.149999999999999" customHeight="1" x14ac:dyDescent="0.7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30"/>
      <c r="N12" s="131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49999999999999" customHeight="1" x14ac:dyDescent="0.8">
      <c r="A13" s="11" t="s">
        <v>68</v>
      </c>
      <c r="B13" s="89" t="s">
        <v>69</v>
      </c>
      <c r="C13" s="89"/>
      <c r="D13" s="90"/>
      <c r="E13" s="59" t="s">
        <v>61</v>
      </c>
      <c r="F13" s="89" t="s">
        <v>66</v>
      </c>
      <c r="G13" s="89"/>
      <c r="H13" s="90"/>
      <c r="I13" s="17" t="s">
        <v>62</v>
      </c>
      <c r="J13" s="89" t="s">
        <v>177</v>
      </c>
      <c r="K13" s="89"/>
      <c r="L13" s="90"/>
      <c r="M13" s="30"/>
      <c r="N13" s="11" t="s">
        <v>72</v>
      </c>
      <c r="O13" s="32" t="s">
        <v>77</v>
      </c>
      <c r="P13" s="11" t="s">
        <v>73</v>
      </c>
      <c r="Q13" s="20">
        <f>O7</f>
        <v>10</v>
      </c>
      <c r="R13" s="11" t="s">
        <v>74</v>
      </c>
      <c r="S13" s="32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2" t="str">
        <f>IF(AND((O17="LOOSE"),(NOT(O18="BUNDLE"))),"",IF(AND((O17="LINED"),(NOT(O18="BUNDLE"))),"",(IF(R7&lt;=500,"50",IF(R7&gt;500,"100")))))</f>
        <v/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27" t="s">
        <v>200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8"/>
      <c r="M14" s="30"/>
      <c r="N14" s="131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49999999999999" customHeight="1" x14ac:dyDescent="0.75">
      <c r="A15" s="110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30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3" t="s">
        <v>4</v>
      </c>
      <c r="F16" s="74"/>
      <c r="G16" s="73" t="s">
        <v>5</v>
      </c>
      <c r="H16" s="74"/>
      <c r="I16" s="73" t="s">
        <v>11</v>
      </c>
      <c r="J16" s="74"/>
      <c r="K16" s="76" t="s">
        <v>12</v>
      </c>
      <c r="L16" s="74"/>
      <c r="M16" s="30"/>
      <c r="N16" s="11" t="s">
        <v>28</v>
      </c>
      <c r="O16" s="87">
        <v>130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Sheets</v>
      </c>
      <c r="X16" s="143"/>
      <c r="Y16" s="144"/>
    </row>
    <row r="17" spans="1:25" ht="20.149999999999999" customHeight="1" x14ac:dyDescent="0.8">
      <c r="A17" s="75" t="s">
        <v>6</v>
      </c>
      <c r="B17" s="75"/>
      <c r="C17" s="77" t="s">
        <v>147</v>
      </c>
      <c r="D17" s="78"/>
      <c r="E17" s="82"/>
      <c r="F17" s="83"/>
      <c r="G17" s="29" t="s">
        <v>81</v>
      </c>
      <c r="H17" s="33"/>
      <c r="I17" s="141"/>
      <c r="J17" s="142"/>
      <c r="K17" s="141"/>
      <c r="L17" s="142"/>
      <c r="M17" s="30"/>
      <c r="N17" s="11" t="s">
        <v>26</v>
      </c>
      <c r="O17" s="87" t="s">
        <v>37</v>
      </c>
      <c r="P17" s="88"/>
      <c r="Q17" s="11" t="s">
        <v>104</v>
      </c>
      <c r="R17" s="87" t="s">
        <v>23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3"/>
      <c r="Y17" s="144"/>
    </row>
    <row r="18" spans="1:25" ht="20.149999999999999" customHeight="1" x14ac:dyDescent="0.8">
      <c r="A18" s="75" t="s">
        <v>7</v>
      </c>
      <c r="B18" s="75"/>
      <c r="C18" s="77" t="s">
        <v>146</v>
      </c>
      <c r="D18" s="78"/>
      <c r="E18" s="82"/>
      <c r="F18" s="83"/>
      <c r="G18" s="29" t="s">
        <v>82</v>
      </c>
      <c r="H18" s="33"/>
      <c r="I18" s="141"/>
      <c r="J18" s="142"/>
      <c r="K18" s="141"/>
      <c r="L18" s="142"/>
      <c r="M18" s="30"/>
      <c r="N18" s="11" t="s">
        <v>101</v>
      </c>
      <c r="O18" s="87" t="s">
        <v>38</v>
      </c>
      <c r="P18" s="88"/>
      <c r="Q18" s="11" t="s">
        <v>106</v>
      </c>
      <c r="R18" s="87" t="s">
        <v>23</v>
      </c>
      <c r="S18" s="88"/>
      <c r="T18" s="21" t="s">
        <v>27</v>
      </c>
      <c r="U18" s="87" t="s">
        <v>36</v>
      </c>
      <c r="V18" s="88"/>
      <c r="W18" s="11" t="s">
        <v>109</v>
      </c>
      <c r="X18" s="143"/>
      <c r="Y18" s="144"/>
    </row>
    <row r="19" spans="1:25" ht="20.149999999999999" customHeight="1" x14ac:dyDescent="0.75">
      <c r="A19" s="75" t="s">
        <v>8</v>
      </c>
      <c r="B19" s="75"/>
      <c r="C19" s="77" t="s">
        <v>145</v>
      </c>
      <c r="D19" s="78"/>
      <c r="E19" s="82"/>
      <c r="F19" s="83"/>
      <c r="G19" s="29" t="s">
        <v>83</v>
      </c>
      <c r="H19" s="33"/>
      <c r="I19" s="141"/>
      <c r="J19" s="142"/>
      <c r="K19" s="141"/>
      <c r="L19" s="142"/>
      <c r="M19" s="30"/>
      <c r="N19" s="61" t="s">
        <v>116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3"/>
    </row>
    <row r="20" spans="1:25" ht="20.149999999999999" customHeight="1" x14ac:dyDescent="0.75">
      <c r="A20" s="75" t="s">
        <v>9</v>
      </c>
      <c r="B20" s="75"/>
      <c r="C20" s="77" t="s">
        <v>144</v>
      </c>
      <c r="D20" s="78"/>
      <c r="E20" s="82"/>
      <c r="F20" s="83"/>
      <c r="G20" s="29" t="s">
        <v>84</v>
      </c>
      <c r="H20" s="33"/>
      <c r="I20" s="141"/>
      <c r="J20" s="142"/>
      <c r="K20" s="141"/>
      <c r="L20" s="142"/>
      <c r="M20" s="30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6"/>
    </row>
    <row r="21" spans="1:25" ht="20.149999999999999" customHeight="1" x14ac:dyDescent="0.75">
      <c r="A21" s="75" t="s">
        <v>10</v>
      </c>
      <c r="B21" s="75"/>
      <c r="C21" s="77" t="s">
        <v>143</v>
      </c>
      <c r="D21" s="78"/>
      <c r="E21" s="82"/>
      <c r="F21" s="83"/>
      <c r="G21" s="29" t="s">
        <v>85</v>
      </c>
      <c r="H21" s="33"/>
      <c r="I21" s="141"/>
      <c r="J21" s="142"/>
      <c r="K21" s="141"/>
      <c r="L21" s="142"/>
      <c r="M21" s="30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6"/>
    </row>
    <row r="22" spans="1:25" ht="20.149999999999999" customHeight="1" x14ac:dyDescent="0.75">
      <c r="A22" s="75" t="str">
        <f>(IF(B7="NATURAL","",B7))</f>
        <v>WHITE</v>
      </c>
      <c r="B22" s="75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78"/>
      <c r="E22" s="82"/>
      <c r="F22" s="83"/>
      <c r="G22" s="29" t="s">
        <v>86</v>
      </c>
      <c r="H22" s="33"/>
      <c r="I22" s="141"/>
      <c r="J22" s="142"/>
      <c r="K22" s="141"/>
      <c r="L22" s="142"/>
      <c r="M22" s="30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9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29" t="s">
        <v>87</v>
      </c>
      <c r="H23" s="33"/>
      <c r="I23" s="141"/>
      <c r="J23" s="142"/>
      <c r="K23" s="141"/>
      <c r="L23" s="142"/>
      <c r="M23" s="30"/>
      <c r="N23" s="131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29" t="s">
        <v>88</v>
      </c>
      <c r="H24" s="33"/>
      <c r="I24" s="141"/>
      <c r="J24" s="142"/>
      <c r="K24" s="141"/>
      <c r="L24" s="142"/>
      <c r="M24" s="30"/>
      <c r="N24" s="34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30"/>
      <c r="N25" s="22" t="s">
        <v>96</v>
      </c>
      <c r="O25" s="10" t="s">
        <v>198</v>
      </c>
      <c r="P25" s="35"/>
      <c r="Q25" s="10">
        <v>34</v>
      </c>
      <c r="R25" s="10"/>
      <c r="S25" s="10"/>
      <c r="T25" s="10"/>
      <c r="U25" s="10"/>
      <c r="V25" s="10"/>
      <c r="W25" s="10" t="s">
        <v>199</v>
      </c>
      <c r="X25" s="10" t="s">
        <v>199</v>
      </c>
      <c r="Y25" s="10"/>
    </row>
    <row r="26" spans="1:25" ht="20.149999999999999" customHeight="1" x14ac:dyDescent="0.75">
      <c r="A26" s="23"/>
      <c r="B26" s="22" t="s">
        <v>181</v>
      </c>
      <c r="C26" s="22" t="s">
        <v>92</v>
      </c>
      <c r="D26" s="24" t="s">
        <v>90</v>
      </c>
      <c r="E26" s="24" t="s">
        <v>91</v>
      </c>
      <c r="F26" s="24" t="s">
        <v>93</v>
      </c>
      <c r="G26" s="140" t="s">
        <v>132</v>
      </c>
      <c r="H26" s="140"/>
      <c r="I26" s="140" t="s">
        <v>131</v>
      </c>
      <c r="J26" s="140"/>
      <c r="K26" s="24" t="s">
        <v>94</v>
      </c>
      <c r="L26" s="24" t="s">
        <v>95</v>
      </c>
      <c r="M26" s="30"/>
      <c r="N26" s="110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0"/>
      <c r="N27" s="24" t="s">
        <v>184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192</v>
      </c>
      <c r="X27" s="24" t="s">
        <v>193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0"/>
      <c r="N28" s="49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93" t="s">
        <v>99</v>
      </c>
      <c r="B29" s="94"/>
      <c r="C29" s="94"/>
      <c r="D29" s="94"/>
      <c r="E29" s="94"/>
      <c r="F29" s="136"/>
      <c r="G29" s="136"/>
      <c r="H29" s="136"/>
      <c r="I29" s="136"/>
      <c r="J29" s="136"/>
      <c r="K29" s="94"/>
      <c r="L29" s="137"/>
      <c r="M29" s="30"/>
      <c r="N29" s="49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6" t="s">
        <v>98</v>
      </c>
      <c r="H30" s="38"/>
      <c r="I30" s="38"/>
      <c r="J30" s="39"/>
      <c r="K30" s="38"/>
      <c r="L30" s="40"/>
      <c r="M30" s="30"/>
      <c r="N30" s="49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49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2"/>
      <c r="C32" s="40"/>
      <c r="D32" s="27" t="s">
        <v>89</v>
      </c>
      <c r="E32" s="38"/>
      <c r="F32" s="40"/>
      <c r="G32" s="27" t="s">
        <v>111</v>
      </c>
      <c r="H32" s="38"/>
      <c r="I32" s="38"/>
      <c r="J32" s="38"/>
      <c r="K32" s="38"/>
      <c r="L32" s="40"/>
      <c r="M32" s="30"/>
      <c r="N32" s="50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0"/>
      <c r="N33" s="49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0"/>
      <c r="N34" s="49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0"/>
      <c r="N35" s="49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0"/>
      <c r="N36" s="49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30"/>
      <c r="N37" s="50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2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49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49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49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49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0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184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192</v>
      </c>
      <c r="X44" s="24" t="s">
        <v>193</v>
      </c>
      <c r="Y44" s="24" t="s">
        <v>22</v>
      </c>
    </row>
    <row r="45" spans="1:25" ht="20.149999999999999" customHeight="1" x14ac:dyDescent="0.75">
      <c r="A45" s="22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49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49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49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49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0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2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49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49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49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49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0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2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49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49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49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49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0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2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2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2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2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2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2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2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2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3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2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2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2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2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2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2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2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2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3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2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2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2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2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2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2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2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2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3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2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2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2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2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2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2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2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2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3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2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2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2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2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2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2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2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2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3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2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2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0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11000000}">
          <x14:formula1>
            <xm:f>Sheet2!$A$56:$A$71</xm:f>
          </x14:formula1>
          <xm:sqref>J13:L13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topLeftCell="A43" workbookViewId="0">
      <selection activeCell="A58" sqref="A58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44847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44838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6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6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7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7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7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7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7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7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7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7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7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6"/>
      <c r="N19" s="21" t="s">
        <v>195</v>
      </c>
      <c r="T19" s="1"/>
      <c r="V19" s="1"/>
    </row>
    <row r="20" spans="1:23" x14ac:dyDescent="0.75">
      <c r="A20" s="57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6"/>
      <c r="N20" s="21" t="s">
        <v>166</v>
      </c>
      <c r="T20" s="1"/>
      <c r="V20" s="1"/>
    </row>
    <row r="21" spans="1:23" x14ac:dyDescent="0.75">
      <c r="A21" s="57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6"/>
      <c r="N21" s="21" t="s">
        <v>167</v>
      </c>
      <c r="T21" s="1"/>
      <c r="V21" s="1"/>
      <c r="W21" s="2"/>
    </row>
    <row r="22" spans="1:23" x14ac:dyDescent="0.75">
      <c r="A22" s="57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6"/>
      <c r="N22" s="56"/>
      <c r="T22" s="1"/>
      <c r="V22" s="1"/>
      <c r="W22" s="2"/>
    </row>
    <row r="23" spans="1:23" x14ac:dyDescent="0.75">
      <c r="A23" s="57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6"/>
      <c r="N23" s="54" t="s">
        <v>141</v>
      </c>
      <c r="T23" s="1"/>
      <c r="V23" s="1"/>
      <c r="W23" s="2"/>
    </row>
    <row r="24" spans="1:23" x14ac:dyDescent="0.75">
      <c r="A24" s="57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7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7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189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7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190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7" t="s">
        <v>185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6"/>
      <c r="U29" s="1"/>
      <c r="V29" s="1"/>
    </row>
    <row r="30" spans="1:23" x14ac:dyDescent="0.75">
      <c r="A30" s="55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5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5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22" x14ac:dyDescent="0.75">
      <c r="A40" s="55" t="s">
        <v>63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5" t="s">
        <v>26</v>
      </c>
    </row>
    <row r="41" spans="1:22" x14ac:dyDescent="0.75">
      <c r="A41" s="5" t="s">
        <v>44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" t="s">
        <v>35</v>
      </c>
    </row>
    <row r="42" spans="1:22" x14ac:dyDescent="0.75">
      <c r="A42" s="5" t="s">
        <v>65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37</v>
      </c>
    </row>
    <row r="43" spans="1:22" x14ac:dyDescent="0.75">
      <c r="A43" s="5" t="s">
        <v>64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171</v>
      </c>
    </row>
    <row r="44" spans="1:22" x14ac:dyDescent="0.7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/>
    </row>
    <row r="45" spans="1:22" x14ac:dyDescent="0.75">
      <c r="A45" s="55" t="s">
        <v>68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 t="s">
        <v>101</v>
      </c>
    </row>
    <row r="46" spans="1:22" x14ac:dyDescent="0.75">
      <c r="A46" s="5" t="s">
        <v>44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" t="s">
        <v>38</v>
      </c>
    </row>
    <row r="47" spans="1:22" x14ac:dyDescent="0.75">
      <c r="A47" s="5" t="s">
        <v>70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32</v>
      </c>
    </row>
    <row r="48" spans="1:22" x14ac:dyDescent="0.75">
      <c r="A48" s="5" t="s">
        <v>69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172</v>
      </c>
    </row>
    <row r="49" spans="1:20" x14ac:dyDescent="0.75">
      <c r="A49" s="21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186</v>
      </c>
    </row>
    <row r="50" spans="1:20" x14ac:dyDescent="0.75">
      <c r="A50" s="55" t="s">
        <v>61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187</v>
      </c>
    </row>
    <row r="51" spans="1:20" x14ac:dyDescent="0.75">
      <c r="A51" s="5" t="s">
        <v>44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20" x14ac:dyDescent="0.75">
      <c r="A52" s="5" t="s">
        <v>66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4" t="s">
        <v>173</v>
      </c>
    </row>
    <row r="53" spans="1:20" x14ac:dyDescent="0.75">
      <c r="A53" s="5" t="s">
        <v>67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21" t="s">
        <v>31</v>
      </c>
    </row>
    <row r="54" spans="1:20" x14ac:dyDescent="0.75">
      <c r="A54" s="21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21" t="s">
        <v>23</v>
      </c>
    </row>
    <row r="55" spans="1:20" x14ac:dyDescent="0.75">
      <c r="A55" s="54" t="s">
        <v>62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20" x14ac:dyDescent="0.75">
      <c r="A56" s="21" t="s">
        <v>44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5" t="s">
        <v>27</v>
      </c>
    </row>
    <row r="57" spans="1:20" x14ac:dyDescent="0.75">
      <c r="A57" s="21" t="s">
        <v>196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177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21" t="s">
        <v>33</v>
      </c>
    </row>
    <row r="59" spans="1:20" x14ac:dyDescent="0.75">
      <c r="A59" s="57" t="s">
        <v>155</v>
      </c>
    </row>
    <row r="60" spans="1:20" x14ac:dyDescent="0.75">
      <c r="A60" s="57" t="s">
        <v>148</v>
      </c>
      <c r="O60" s="1"/>
      <c r="Q60" s="1"/>
      <c r="R60" s="3"/>
      <c r="S60" s="1"/>
    </row>
    <row r="61" spans="1:20" x14ac:dyDescent="0.75">
      <c r="A61" s="57" t="s">
        <v>149</v>
      </c>
      <c r="O61" s="1"/>
      <c r="Q61" s="1"/>
      <c r="R61" s="1"/>
      <c r="S61" s="1"/>
    </row>
    <row r="62" spans="1:20" x14ac:dyDescent="0.75">
      <c r="A62" s="57" t="s">
        <v>150</v>
      </c>
      <c r="O62" s="1"/>
      <c r="Q62" s="1"/>
      <c r="R62" s="1"/>
      <c r="S62" s="1"/>
    </row>
    <row r="63" spans="1:20" x14ac:dyDescent="0.75">
      <c r="A63" s="57" t="s">
        <v>151</v>
      </c>
      <c r="O63" s="1"/>
      <c r="Q63" s="1"/>
      <c r="R63" s="1"/>
      <c r="S63" s="1"/>
      <c r="T63" s="1"/>
    </row>
    <row r="64" spans="1:20" x14ac:dyDescent="0.75">
      <c r="A64" s="57" t="s">
        <v>152</v>
      </c>
      <c r="O64" s="1"/>
      <c r="Q64" s="1"/>
      <c r="R64" s="1"/>
      <c r="S64" s="1"/>
      <c r="T64" s="1"/>
    </row>
    <row r="65" spans="1:20" x14ac:dyDescent="0.75">
      <c r="A65" s="57" t="s">
        <v>153</v>
      </c>
      <c r="N65" s="3"/>
      <c r="O65" s="1"/>
      <c r="P65" s="1"/>
      <c r="Q65" s="1"/>
      <c r="R65" s="1"/>
      <c r="S65" s="1"/>
      <c r="T65" s="1"/>
    </row>
    <row r="66" spans="1:20" x14ac:dyDescent="0.75">
      <c r="A66" s="57" t="s">
        <v>174</v>
      </c>
      <c r="N66" s="4"/>
      <c r="O66" s="1"/>
      <c r="P66" s="1"/>
      <c r="Q66" s="1"/>
      <c r="R66" s="1"/>
      <c r="S66" s="1"/>
      <c r="T66" s="1"/>
    </row>
    <row r="67" spans="1:20" x14ac:dyDescent="0.75">
      <c r="A67" s="57" t="s">
        <v>154</v>
      </c>
      <c r="N67" s="4"/>
      <c r="O67" s="1"/>
      <c r="P67" s="1"/>
      <c r="Q67" s="1"/>
      <c r="R67" s="1"/>
      <c r="S67" s="1"/>
      <c r="T67" s="1"/>
    </row>
    <row r="68" spans="1:20" x14ac:dyDescent="0.75">
      <c r="A68" s="57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7" t="s">
        <v>153</v>
      </c>
      <c r="N69" s="4"/>
    </row>
    <row r="70" spans="1:20" x14ac:dyDescent="0.75">
      <c r="A70" s="57" t="s">
        <v>174</v>
      </c>
    </row>
    <row r="71" spans="1:20" x14ac:dyDescent="0.75">
      <c r="A71" s="57" t="s">
        <v>154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EB271A3-576F-4DC0-907F-C05632378B64}"/>
</file>

<file path=customXml/itemProps2.xml><?xml version="1.0" encoding="utf-8"?>
<ds:datastoreItem xmlns:ds="http://schemas.openxmlformats.org/officeDocument/2006/customXml" ds:itemID="{F07674FA-5B09-4B8E-BD3C-250D1565E099}"/>
</file>

<file path=customXml/itemProps3.xml><?xml version="1.0" encoding="utf-8"?>
<ds:datastoreItem xmlns:ds="http://schemas.openxmlformats.org/officeDocument/2006/customXml" ds:itemID="{D9B3D6FF-1811-4E62-A16D-A3C74998D3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2022-09-13T01:08:55Z</cp:lastPrinted>
  <dcterms:created xsi:type="dcterms:W3CDTF">2019-11-27T23:28:06Z</dcterms:created>
  <dcterms:modified xsi:type="dcterms:W3CDTF">2022-09-13T01:12:07Z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