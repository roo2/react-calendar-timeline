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4AB7988-01C0-4E1D-A28E-7ED454013A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B1" i="1" s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<sst xmlns="http://schemas.openxmlformats.org/spreadsheetml/2006/main" count="225" uniqueCount="165">
  <si>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</si>
  <si>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</si>
  <si>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</si>
  <si>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</si>
  <si>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</si>
  <si>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</si>
  <si>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</si>
  <si>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</si>
  <si>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</si>
  <si>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</si>
  <si>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</si>
  <si>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</si>
  <si>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</si>
  <si>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</si>
  <si>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</si>
  <si>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</si>
  <si>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</si>
  <si>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</si>
  <si>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</si>
  <si>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</si>
  <si>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</si>
  <si>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</si>
  <si>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</si>
  <si>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</si>
  <si>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</si>
  <si>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</si>
  <si>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</si>
  <si>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</si>
  <si>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</si>
  <si>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</si>
  <si>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</si>
  <si>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</si>
  <si>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</si>
  <si>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</si>
  <si>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</si>
  <si>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</si>
  <si>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</si>
  <si>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</si>
  <si>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</si>
  <si>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</si>
  <si>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</si>
  <si>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</si>
  <si>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</si>
  <si>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</si>
  <si>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</si>
  <si>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</si>
  <si>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</si>
  <si>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</si>
  <si>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</si>
  <si>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</si>
  <si>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</si>
  <si>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</si>
  <si>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</si>
  <si>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</si>
  <si>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</si>
  <si>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</si>
  <si>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</si>
  <si>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</si>
  <si>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</si>
  <si>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</si>
  <si>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</si>
  <si>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</si>
  <si>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</si>
  <si>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</si>
  <si>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</si>
  <si>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</si>
  <si>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</si>
  <si>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</si>
  <si>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</si>
  <si>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</si>
  <si>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</si>
  <si>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</si>
  <si>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</si>
  <si>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</si>
  <si>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</si>
  <si>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</si>
  <si>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</si>
  <si>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</si>
  <si>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</si>
  <si>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</si>
  <si>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</si>
  <si>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</si>
  <si>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</si>
  <si>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</si>
  <si>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</si>
  <si>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</si>
  <si>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</si>
  <si>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</si>
  <si>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</si>
  <si>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</si>
  <si>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</si>
  <si>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</si>
  <si>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</si>
  <si>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</si>
  <si>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</si>
  <si>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</si>
  <si>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</si>
  <si>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</si>
  <si>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</si>
  <si>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</si>
  <si>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</si>
  <si>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</si>
  <si>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</si>
  <si>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</si>
  <si>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</si>
  <si>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</si>
  <si>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</si>
  <si>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</si>
  <si>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</si>
  <si>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</si>
  <si>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</si>
  <si>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</si>
  <si>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</si>
  <si>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</si>
  <si>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</si>
  <si>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</si>
  <si>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</si>
  <si>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</si>
  <si>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</si>
  <si>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</si>
  <si>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</si>
  <si>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</si>
  <si>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</si>
  <si>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</si>
  <si>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</si>
  <si>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</si>
  <si>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</si>
  <si>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</si>
  <si>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</si>
  <si>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</si>
  <si>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</si>
  <si>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</si>
  <si>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</si>
  <si>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</si>
  <si>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</si>
  <si>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</si>
  <si>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</si>
  <si>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</si>
  <si>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</si>
  <si>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</si>
  <si>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</si>
  <si>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</si>
  <si>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</si>
  <si>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</si>
  <si>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</si>
  <si>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</si>
  <si>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</si>
  <si>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</si>
  <si>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</si>
  <si>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</si>
  <si>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</si>
  <si>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</si>
  <si>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</si>
  <si>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</si>
  <si>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</si>
  <si>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</si>
  <si>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</si>
  <si>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</si>
  <si>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</si>
  <si>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</si>
  <si>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</si>
  <si>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</si>
  <si>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</si>
  <si>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</si>
  <si>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EXECUTIVE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</si>
</sst>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/>
    </xf>
    <xf numFmtId="2" fontId="10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T170150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46066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950604</v>
      </c>
      <c r="G2" s="46"/>
      <c r="H2" s="47"/>
      <c r="I2" s="11" t="s">
        <v>57</v>
      </c>
      <c r="J2" s="114" t="s">
        <v>162</v>
      </c>
      <c r="K2" s="114"/>
      <c r="L2" s="115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170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146</v>
      </c>
      <c r="C9" s="85"/>
      <c r="D9" s="117" t="str">
        <f>IF(K10="Middle","RUN 2 UP",IF(AND(B7="Cont Centrefold",B8=380),"RUN 2 UP",""))</f>
        <v/>
      </c>
      <c r="E9" s="118"/>
      <c r="F9" s="119"/>
      <c r="G9" s="13" t="s">
        <v>46</v>
      </c>
      <c r="H9" s="84" t="s">
        <v>146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5</v>
      </c>
      <c r="C10" s="47"/>
      <c r="D10" s="36" t="s">
        <v>104</v>
      </c>
      <c r="E10" s="88">
        <f>E11*B10</f>
        <v>50</v>
      </c>
      <c r="F10" s="89"/>
      <c r="G10" s="11" t="s">
        <v>51</v>
      </c>
      <c r="H10" s="92">
        <f>H11*B10</f>
        <v>1058.8235294117646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211.76470588235293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1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5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20" t="s">
        <v>103</v>
      </c>
      <c r="H27" s="120"/>
      <c r="I27" s="120" t="s">
        <v>102</v>
      </c>
      <c r="J27" s="12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6"/>
      <c r="H28" s="116"/>
      <c r="I28" s="116"/>
      <c r="J28" s="116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6"/>
      <c r="H29" s="116"/>
      <c r="I29" s="116"/>
      <c r="J29" s="116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46087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371C2DB-F747-4B55-9D13-850F88978EC3}"/>
</file>

<file path=customXml/itemProps2.xml><?xml version="1.0" encoding="utf-8"?>
<ds:datastoreItem xmlns:ds="http://schemas.openxmlformats.org/officeDocument/2006/customXml" ds:itemID="{2739FD40-7FEB-4F27-931F-3023485EE648}"/>
</file>

<file path=customXml/itemProps3.xml><?xml version="1.0" encoding="utf-8"?>
<ds:datastoreItem xmlns:ds="http://schemas.openxmlformats.org/officeDocument/2006/customXml" ds:itemID="{191A3EB5-1EA6-4850-8B96-377E2D726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2020-11-02T04:16:06Z</cp:lastPrinted>
  <dcterms:created xsi:type="dcterms:W3CDTF">2019-11-27T23:28:06Z</dcterms:created>
  <dcterms:modified xsi:type="dcterms:W3CDTF">2026-02-13T06:18:37Z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