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7930FF0-2BBA-42F0-B00D-E9E81A231BF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<sst xmlns="http://schemas.openxmlformats.org/spreadsheetml/2006/main" count="307" uniqueCount="202">
  <si>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</si>
  <si>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</si>
  <si>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</si>
  <si>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</si>
  <si>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</si>
  <si>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</si>
  <si>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</si>
  <si>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</si>
  <si>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</si>
  <si>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</si>
  <si>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</si>
  <si>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</si>
  <si>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</si>
  <si>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</si>
  <si>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</si>
  <si>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</si>
  <si>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</si>
  <si>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</si>
  <si>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</si>
  <si>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</si>
  <si>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</si>
  <si>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</si>
  <si>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</si>
  <si>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</si>
  <si>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</si>
  <si>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</si>
  <si>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</si>
  <si>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</si>
  <si>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</si>
  <si>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</si>
  <si>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</si>
  <si>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</si>
  <si>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</si>
  <si>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</si>
  <si>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</si>
  <si>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</si>
  <si>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</si>
  <si>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</si>
  <si>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</si>
  <si>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</si>
  <si>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</si>
  <si>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</si>
  <si>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</si>
  <si>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</si>
  <si>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</si>
  <si>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</si>
  <si>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</si>
  <si>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</si>
  <si>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</si>
  <si>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</si>
  <si>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</si>
  <si>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</si>
  <si>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</si>
  <si>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</si>
  <si>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</si>
  <si>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</si>
  <si>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</si>
  <si>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</si>
  <si>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</si>
  <si>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</si>
  <si>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</si>
  <si>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</si>
  <si>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</si>
  <si>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</si>
  <si>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</si>
  <si>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</si>
  <si>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</si>
  <si>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</si>
  <si>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</si>
  <si>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</si>
  <si>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</si>
  <si>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</si>
  <si>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</si>
  <si>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</si>
  <si>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</si>
  <si>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</si>
  <si>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</si>
  <si>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</si>
  <si>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</si>
  <si>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</si>
  <si>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</si>
  <si>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</si>
  <si>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</si>
  <si>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</si>
  <si>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</si>
  <si>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</si>
  <si>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</si>
  <si>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</si>
  <si>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</si>
  <si>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</si>
  <si>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</si>
  <si>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</si>
  <si>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</si>
  <si>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</si>
  <si>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</si>
  <si>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</si>
  <si>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</si>
  <si>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</si>
  <si>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</si>
  <si>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</si>
  <si>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</si>
  <si>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</si>
  <si>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</si>
  <si>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</si>
  <si>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</si>
  <si>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</si>
  <si>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</si>
  <si>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</si>
  <si>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</si>
  <si>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</si>
  <si>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</si>
  <si>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</si>
  <si>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</si>
  <si>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</si>
  <si>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</si>
  <si>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</si>
  <si>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</si>
  <si>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</si>
  <si>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</si>
  <si>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</si>
  <si>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</si>
  <si>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</si>
  <si>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</si>
  <si>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</si>
  <si>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</si>
  <si>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</si>
  <si>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</si>
  <si>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</si>
  <si>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</si>
  <si>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</si>
  <si>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</si>
  <si>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</si>
  <si>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</si>
  <si>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</si>
  <si>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</si>
  <si>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</si>
  <si>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</si>
  <si>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</si>
  <si>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</si>
  <si>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</si>
  <si>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</si>
  <si>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</si>
  <si>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</si>
  <si>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</si>
  <si>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</si>
  <si>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</si>
  <si>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</si>
  <si>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</si>
  <si>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</si>
  <si>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</si>
  <si>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</si>
  <si>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</si>
  <si>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</si>
  <si>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</si>
  <si>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</si>
  <si>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</si>
  <si>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</si>
  <si>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</si>
  <si>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</si>
  <si>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</si>
  <si>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</si>
  <si>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</si>
  <si>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</si>
  <si>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</si>
  <si>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</si>
  <si>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</si>
  <si>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</si>
  <si>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</si>
  <si>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</si>
  <si>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</si>
  <si>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</si>
  <si>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</si>
  <si>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</si>
  <si>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</si>
  <si>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</si>
  <si>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</si>
  <si>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</si>
  <si>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</si>
  <si>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</si>
  <si>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</si>
  <si>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</si>
  <si>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</si>
  <si>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</si>
  <si>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</si>
  <si>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</si>
  <si>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</si>
  <si>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</si>
  <si>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</si>
  <si>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</si>
  <si>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</si>
  <si>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</si>
  <si>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</si>
  <si>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</si>
  <si>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</si>
  <si>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</si>
  <si>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NOT OVER</t>
  </si>
  <si>
    <t>BAG MUST NOT BE OVER 95MM - LIVE FISH TRANSPORT - MUST HAVE WATERTIGHT SEALS</t>
  </si>
  <si>
    <t>LIMAX/ORION 1</t>
  </si>
  <si>
    <t>18/220</t>
  </si>
  <si>
    <t>14/220</t>
  </si>
  <si>
    <t>ANTIBLOCK</t>
  </si>
  <si>
    <t>BARRIER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</si>
</sst>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PB13039050</v>
      </c>
      <c r="C1" s="110"/>
      <c r="D1" s="111"/>
      <c r="E1" s="11" t="s">
        <v>57</v>
      </c>
      <c r="F1" s="62" t="s">
        <v>201</v>
      </c>
      <c r="G1" s="62"/>
      <c r="H1" s="63"/>
      <c r="I1" s="12" t="s">
        <v>181</v>
      </c>
      <c r="J1" s="121">
        <f ca="1">TODAY()</f>
        <v>45896</v>
      </c>
      <c r="K1" s="121"/>
      <c r="L1" s="122"/>
      <c r="M1" s="29"/>
      <c r="N1" s="11" t="s">
        <v>56</v>
      </c>
      <c r="O1" s="110" t="str">
        <f>B1</f>
        <v>PB13039050</v>
      </c>
      <c r="P1" s="110"/>
      <c r="Q1" s="111"/>
      <c r="R1" s="11" t="s">
        <v>57</v>
      </c>
      <c r="S1" s="110" t="str">
        <f>F1</f>
        <v>BARRIER REEF</v>
      </c>
      <c r="T1" s="110"/>
      <c r="U1" s="111"/>
      <c r="V1" s="11" t="s">
        <v>181</v>
      </c>
      <c r="W1" s="121">
        <f ca="1">J1</f>
        <v>45896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946853</v>
      </c>
      <c r="G2" s="62"/>
      <c r="H2" s="63"/>
      <c r="I2" s="11" t="s">
        <v>59</v>
      </c>
      <c r="J2" s="124" t="s">
        <v>192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946853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49999999999999" customHeight="1" x14ac:dyDescent="0.75">
      <c r="A3" s="112" t="s">
        <v>196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BAG MUST NOT BE OVER 95MM - LIVE FISH TRANSPORT - MUST HAVE WATERTIGHT SEALS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25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10">
        <f>R7*O7</f>
        <v>25000</v>
      </c>
      <c r="V7" s="111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130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50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127" t="s">
        <v>195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194</v>
      </c>
      <c r="I9" s="128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130</v>
      </c>
      <c r="S9" s="18" t="s">
        <v>78</v>
      </c>
      <c r="T9" s="30">
        <v>390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12</v>
      </c>
      <c r="C10" s="63"/>
      <c r="D10" s="47" t="s">
        <v>134</v>
      </c>
      <c r="E10" s="129">
        <f>IF(ISNUMBER(SEARCH("sheet",O8,1)),((R9*T9*H8/540000)*U7/2000*1.3),((R9*T9*H8/540000)*U7/1000*1.08))</f>
        <v>126.75000000000001</v>
      </c>
      <c r="F10" s="130"/>
      <c r="G10" s="11" t="s">
        <v>53</v>
      </c>
      <c r="H10" s="133">
        <f>IF(ISNUMBER(SEARCH("sheet",O8,1)),(U7*T9/2000*1.08),(U7*T9/1000*1.08))</f>
        <v>10530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10.562500000000002</v>
      </c>
      <c r="F11" s="132"/>
      <c r="G11" s="11" t="s">
        <v>15</v>
      </c>
      <c r="H11" s="131">
        <f>H10/B10</f>
        <v>877.5</v>
      </c>
      <c r="I11" s="132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25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0" t="s">
        <v>200</v>
      </c>
      <c r="B23" s="140"/>
      <c r="C23" s="94"/>
      <c r="D23" s="95"/>
      <c r="E23" s="90">
        <v>0.01</v>
      </c>
      <c r="F23" s="91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1"/>
      <c r="B24" s="14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22</v>
      </c>
      <c r="R25" s="10"/>
      <c r="S25" s="10"/>
      <c r="T25" s="10"/>
      <c r="U25" s="10"/>
      <c r="V25" s="10"/>
      <c r="W25" s="10" t="s">
        <v>198</v>
      </c>
      <c r="X25" s="10" t="s">
        <v>199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45927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45917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5341DC-121D-427E-957D-0B992771D181}"/>
</file>

<file path=customXml/itemProps2.xml><?xml version="1.0" encoding="utf-8"?>
<ds:datastoreItem xmlns:ds="http://schemas.openxmlformats.org/officeDocument/2006/customXml" ds:itemID="{635FE801-AC7C-495C-B001-4B7F2919EFC5}"/>
</file>

<file path=customXml/itemProps3.xml><?xml version="1.0" encoding="utf-8"?>
<ds:datastoreItem xmlns:ds="http://schemas.openxmlformats.org/officeDocument/2006/customXml" ds:itemID="{27FB8FEA-2BC7-4857-8B6C-A4768040F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2025-08-27T00:22:33Z</cp:lastPrinted>
  <dcterms:created xsi:type="dcterms:W3CDTF">2019-11-27T23:28:06Z</dcterms:created>
  <dcterms:modified xsi:type="dcterms:W3CDTF">2025-08-27T23:08:01Z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