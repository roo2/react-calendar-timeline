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8" windowHeight="9948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B1" i="1" s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<sst xmlns="http://schemas.openxmlformats.org/spreadsheetml/2006/main" count="302" uniqueCount="198">
  <si>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</si>
  <si>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</si>
  <si>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</si>
  <si>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</si>
  <si>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</si>
  <si>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</si>
  <si>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</si>
  <si>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</si>
  <si>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</si>
  <si>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</si>
  <si>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</si>
  <si>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</si>
  <si>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</si>
  <si>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</si>
  <si>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</si>
  <si>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</si>
  <si>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</si>
  <si>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</si>
  <si>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</si>
  <si>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</si>
  <si>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</si>
  <si>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</si>
  <si>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</si>
  <si>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</si>
  <si>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</si>
  <si>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</si>
  <si>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</si>
  <si>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</si>
  <si>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</si>
  <si>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</si>
  <si>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</si>
  <si>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</si>
  <si>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</si>
  <si>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</si>
  <si>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</si>
  <si>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</si>
  <si>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</si>
  <si>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</si>
  <si>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</si>
  <si>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</si>
  <si>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</si>
  <si>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</si>
  <si>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</si>
  <si>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</si>
  <si>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</si>
  <si>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</si>
  <si>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</si>
  <si>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</si>
  <si>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</si>
  <si>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</si>
  <si>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</si>
  <si>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</si>
  <si>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</si>
  <si>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</si>
  <si>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</si>
  <si>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</si>
  <si>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</si>
  <si>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</si>
  <si>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</si>
  <si>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</si>
  <si>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</si>
  <si>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</si>
  <si>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</si>
  <si>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</si>
  <si>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</si>
  <si>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</si>
  <si>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</si>
  <si>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</si>
  <si>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</si>
  <si>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</si>
  <si>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</si>
  <si>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</si>
  <si>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</si>
  <si>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</si>
  <si>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</si>
  <si>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</si>
  <si>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</si>
  <si>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</si>
  <si>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</si>
  <si>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</si>
  <si>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</si>
  <si>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</si>
  <si>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</si>
  <si>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</si>
  <si>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</si>
  <si>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</si>
  <si>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</si>
  <si>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</si>
  <si>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</si>
  <si>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</si>
  <si>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</si>
  <si>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</si>
  <si>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</si>
  <si>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</si>
  <si>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</si>
  <si>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</si>
  <si>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</si>
  <si>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</si>
  <si>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</si>
  <si>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</si>
  <si>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</si>
  <si>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</si>
  <si>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</si>
  <si>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</si>
  <si>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</si>
  <si>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</si>
  <si>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</si>
  <si>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</si>
  <si>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</si>
  <si>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</si>
  <si>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</si>
  <si>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</si>
  <si>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</si>
  <si>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</si>
  <si>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</si>
  <si>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</si>
  <si>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</si>
  <si>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</si>
  <si>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</si>
  <si>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</si>
  <si>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</si>
  <si>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</si>
  <si>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</si>
  <si>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</si>
  <si>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</si>
  <si>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</si>
  <si>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</si>
  <si>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</si>
  <si>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</si>
  <si>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</si>
  <si>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</si>
  <si>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</si>
  <si>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</si>
  <si>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</si>
  <si>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</si>
  <si>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</si>
  <si>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</si>
  <si>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</si>
  <si>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</si>
  <si>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</si>
  <si>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</si>
  <si>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</si>
  <si>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</si>
  <si>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</si>
  <si>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</si>
  <si>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</si>
  <si>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</si>
  <si>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</si>
  <si>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</si>
  <si>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</si>
  <si>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</si>
  <si>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</si>
  <si>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</si>
  <si>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</si>
  <si>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</si>
  <si>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</si>
  <si>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</si>
  <si>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</si>
  <si>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</si>
  <si>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</si>
  <si>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</si>
  <si>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</si>
  <si>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</si>
  <si>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</si>
  <si>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</si>
  <si>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</si>
  <si>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</si>
  <si>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</si>
  <si>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</si>
  <si>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</si>
  <si>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</si>
  <si>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</si>
  <si>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</si>
  <si>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</si>
  <si>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</si>
  <si>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</si>
  <si>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</si>
  <si>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</si>
  <si>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</si>
  <si>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</si>
  <si>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</si>
  <si>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</si>
  <si>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</si>
  <si>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</si>
  <si>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</si>
  <si>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</si>
  <si>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</si>
  <si>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</si>
  <si>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</si>
  <si>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</si>
  <si>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</si>
  <si>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</si>
  <si>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</si>
  <si>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</si>
  <si>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</si>
  <si>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32UM</t>
  </si>
  <si>
    <t>DNG NURSERIES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</si>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</sst>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zoomScale="80" zoomScaleNormal="80" workbookViewId="0">
      <selection activeCell="E23" sqref="E23:F23"/>
    </sheetView>
  </sheetViews>
  <sheetFormatPr defaultRowHeight="14.4" x14ac:dyDescent="0.3"/>
  <sheetData>
    <row r="1" spans="1:28" ht="20.100000000000001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PB11519030UV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43917</v>
      </c>
      <c r="K1" s="95"/>
      <c r="L1" s="96"/>
      <c r="M1" s="34"/>
      <c r="N1" s="12" t="s">
        <v>56</v>
      </c>
      <c r="O1" s="122" t="str">
        <f>B1</f>
        <v>PB11519030UV</v>
      </c>
      <c r="P1" s="122"/>
      <c r="Q1" s="123"/>
      <c r="R1" s="12" t="s">
        <v>57</v>
      </c>
      <c r="S1" s="122" t="str">
        <f>F1</f>
        <v>DNG NURSERIES</v>
      </c>
      <c r="T1" s="122"/>
      <c r="U1" s="123"/>
      <c r="V1" s="12" t="s">
        <v>181</v>
      </c>
      <c r="W1" s="95">
        <f ca="1">J1</f>
        <v>43917</v>
      </c>
      <c r="X1" s="95"/>
      <c r="Y1" s="96"/>
    </row>
    <row r="2" spans="1:28" ht="20.100000000000001" customHeight="1" x14ac:dyDescent="0.3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936865</v>
      </c>
      <c r="G2" s="98"/>
      <c r="H2" s="99"/>
      <c r="I2" s="12" t="s">
        <v>59</v>
      </c>
      <c r="J2" s="97">
        <v>43948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936865</v>
      </c>
      <c r="T2" s="122"/>
      <c r="U2" s="123"/>
      <c r="V2" s="12" t="s">
        <v>59</v>
      </c>
      <c r="W2" s="135">
        <f>J2</f>
        <v>43948</v>
      </c>
      <c r="X2" s="122"/>
      <c r="Y2" s="123"/>
    </row>
    <row r="3" spans="1:28" ht="20.100000000000001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5000</v>
      </c>
      <c r="S7" s="99"/>
      <c r="T7" s="12" t="str">
        <f>IF(ISNUMBER(SEARCH("bag",O8,1)),"Total Bags","Total Sheets")</f>
        <v>Total Bags</v>
      </c>
      <c r="U7" s="122">
        <f>R7*O7</f>
        <v>50000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3">
      <c r="A8" s="15" t="s">
        <v>16</v>
      </c>
      <c r="B8" s="100">
        <f>R9</f>
        <v>115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5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115</v>
      </c>
      <c r="S9" s="20" t="s">
        <v>78</v>
      </c>
      <c r="T9" s="35">
        <v>190</v>
      </c>
      <c r="U9" s="20" t="s">
        <v>78</v>
      </c>
      <c r="V9" s="35">
        <v>30</v>
      </c>
      <c r="W9" s="19"/>
      <c r="X9" s="151"/>
      <c r="Y9" s="152"/>
    </row>
    <row r="10" spans="1:28" ht="20.100000000000001" customHeight="1" x14ac:dyDescent="0.3">
      <c r="A10" s="12" t="s">
        <v>51</v>
      </c>
      <c r="B10" s="98">
        <v>6</v>
      </c>
      <c r="C10" s="99"/>
      <c r="D10" s="54" t="s">
        <v>134</v>
      </c>
      <c r="E10" s="112">
        <f>IF(ISNUMBER(SEARCH("sheet",O8,1)),((R9*T9*H8/540000)*U7/2000*1.3),((R9*T9*H8/540000)*U7/1000*1.08))</f>
        <v>65.55</v>
      </c>
      <c r="F10" s="113"/>
      <c r="G10" s="12" t="s">
        <v>53</v>
      </c>
      <c r="H10" s="116">
        <f>IF(ISNUMBER(SEARCH("sheet",O8,1)),(U7*T9/2000*1.08),(U7*T9/1000*1.08))</f>
        <v>10260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10.924999999999999</v>
      </c>
      <c r="F11" s="115"/>
      <c r="G11" s="12" t="s">
        <v>15</v>
      </c>
      <c r="H11" s="114">
        <f>H10/B10</f>
        <v>1710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3">
      <c r="A23" s="90" t="s">
        <v>197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3">
      <c r="N43" s="59"/>
    </row>
    <row r="44" spans="1:25" ht="20.100000000000001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3"/>
    <row r="87" spans="1:25" ht="20.100000000000001" customHeight="1" x14ac:dyDescent="0.3"/>
    <row r="88" spans="1:25" ht="20.100000000000001" customHeight="1" x14ac:dyDescent="0.3"/>
    <row r="89" spans="1:25" ht="20.100000000000001" customHeight="1" x14ac:dyDescent="0.3"/>
    <row r="90" spans="1:25" ht="20.100000000000001" customHeight="1" x14ac:dyDescent="0.3"/>
    <row r="91" spans="1:25" ht="20.100000000000001" customHeight="1" x14ac:dyDescent="0.3"/>
    <row r="92" spans="1:25" ht="20.100000000000001" customHeight="1" x14ac:dyDescent="0.3"/>
    <row r="93" spans="1:25" ht="20.100000000000001" customHeight="1" x14ac:dyDescent="0.3"/>
    <row r="94" spans="1:25" ht="20.100000000000001" customHeight="1" x14ac:dyDescent="0.3"/>
    <row r="95" spans="1:25" ht="20.100000000000001" customHeight="1" x14ac:dyDescent="0.3"/>
    <row r="96" spans="1:2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Sheet2!$N$53:$N$54</xm:f>
          </x14:formula1>
          <xm:sqref>U16:V17</xm:sqref>
        </x14:dataValidation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Sheet2!$N$53:$N$54</xm:f>
          </x14:formula1>
          <xm:sqref>R16:S18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Normal="100" workbookViewId="0">
      <selection activeCell="N19" sqref="N19"/>
    </sheetView>
  </sheetViews>
  <sheetFormatPr defaultRowHeight="14.4" x14ac:dyDescent="0.3"/>
  <cols>
    <col min="1" max="1" width="9.2187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43948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43938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4942D3F-8484-4C43-B2A6-2E3520602DA1}"/>
</file>

<file path=customXml/itemProps2.xml><?xml version="1.0" encoding="utf-8"?>
<ds:datastoreItem xmlns:ds="http://schemas.openxmlformats.org/officeDocument/2006/customXml" ds:itemID="{27B57425-AD65-43C9-A79A-66F9F553D08D}"/>
</file>

<file path=customXml/itemProps3.xml><?xml version="1.0" encoding="utf-8"?>
<ds:datastoreItem xmlns:ds="http://schemas.openxmlformats.org/officeDocument/2006/customXml" ds:itemID="{38B1FAD7-A0C9-4E2B-BD29-40EA02BED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Rohan Shepherd</cp:lastModifiedBy>
  <cp:lastPrinted>2020-03-27T07:39:53Z</cp:lastPrinted>
  <dcterms:created xsi:type="dcterms:W3CDTF">2019-11-27T23:28:06Z</dcterms:created>
  <dcterms:modified xsi:type="dcterms:W3CDTF">2020-03-27T07:40:05Z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