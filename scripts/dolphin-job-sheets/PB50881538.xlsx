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6038F19-D6D7-4791-B2DA-D5EEFBB50F1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<sst xmlns="http://schemas.openxmlformats.org/spreadsheetml/2006/main" count="307" uniqueCount="204">
  <si>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</si>
  <si>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</si>
  <si>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</si>
  <si>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</si>
  <si>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</si>
  <si>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</si>
  <si>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</si>
  <si>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</si>
  <si>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</si>
  <si>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</si>
  <si>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</si>
  <si>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</si>
  <si>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</si>
  <si>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</si>
  <si>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</si>
  <si>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</si>
  <si>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</si>
  <si>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</si>
  <si>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</si>
  <si>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</si>
  <si>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</si>
  <si>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</si>
  <si>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</si>
  <si>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</si>
  <si>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</si>
  <si>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</si>
  <si>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</si>
  <si>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</si>
  <si>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</si>
  <si>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</si>
  <si>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</si>
  <si>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</si>
  <si>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</si>
  <si>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</si>
  <si>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</si>
  <si>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</si>
  <si>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</si>
  <si>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</si>
  <si>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</si>
  <si>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</si>
  <si>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</si>
  <si>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</si>
  <si>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</si>
  <si>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</si>
  <si>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</si>
  <si>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</si>
  <si>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</si>
  <si>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</si>
  <si>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</si>
  <si>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</si>
  <si>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</si>
  <si>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</si>
  <si>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</si>
  <si>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</si>
  <si>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</si>
  <si>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</si>
  <si>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</si>
  <si>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</si>
  <si>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</si>
  <si>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</si>
  <si>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</si>
  <si>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</si>
  <si>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</si>
  <si>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</si>
  <si>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</si>
  <si>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</si>
  <si>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</si>
  <si>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</si>
  <si>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</si>
  <si>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</si>
  <si>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</si>
  <si>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</si>
  <si>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</si>
  <si>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</si>
  <si>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</si>
  <si>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</si>
  <si>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</si>
  <si>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</si>
  <si>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</si>
  <si>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</si>
  <si>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</si>
  <si>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</si>
  <si>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</si>
  <si>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</si>
  <si>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</si>
  <si>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</si>
  <si>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</si>
  <si>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</si>
  <si>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</si>
  <si>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</si>
  <si>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</si>
  <si>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</si>
  <si>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</si>
  <si>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</si>
  <si>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</si>
  <si>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</si>
  <si>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</si>
  <si>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</si>
  <si>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</si>
  <si>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</si>
  <si>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</si>
  <si>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</si>
  <si>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</si>
  <si>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</si>
  <si>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</si>
  <si>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</si>
  <si>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</si>
  <si>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</si>
  <si>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</si>
  <si>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</si>
  <si>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</si>
  <si>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</si>
  <si>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</si>
  <si>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</si>
  <si>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</si>
  <si>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</si>
  <si>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</si>
  <si>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</si>
  <si>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</si>
  <si>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</si>
  <si>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</si>
  <si>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</si>
  <si>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</si>
  <si>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</si>
  <si>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</si>
  <si>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</si>
  <si>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</si>
  <si>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</si>
  <si>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</si>
  <si>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</si>
  <si>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</si>
  <si>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</si>
  <si>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</si>
  <si>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</si>
  <si>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</si>
  <si>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</si>
  <si>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</si>
  <si>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</si>
  <si>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</si>
  <si>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</si>
  <si>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</si>
  <si>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</si>
  <si>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</si>
  <si>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</si>
  <si>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</si>
  <si>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</si>
  <si>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</si>
  <si>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</si>
  <si>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</si>
  <si>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</si>
  <si>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</si>
  <si>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</si>
  <si>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</si>
  <si>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</si>
  <si>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</si>
  <si>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</si>
  <si>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</si>
  <si>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</si>
  <si>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</si>
  <si>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</si>
  <si>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</si>
  <si>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</si>
  <si>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</si>
  <si>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</si>
  <si>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</si>
  <si>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</si>
  <si>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</si>
  <si>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</si>
  <si>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</si>
  <si>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</si>
  <si>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</si>
  <si>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</si>
  <si>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</si>
  <si>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</si>
  <si>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</si>
  <si>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</si>
  <si>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</si>
  <si>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</si>
  <si>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</si>
  <si>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</si>
  <si>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</si>
  <si>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</si>
  <si>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</si>
  <si>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</si>
  <si>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</si>
  <si>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</si>
  <si>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</si>
  <si>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</si>
  <si>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</si>
  <si>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</si>
  <si>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</si>
  <si>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</si>
  <si>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</si>
  <si>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</si>
  <si>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QP8</t>
  </si>
  <si>
    <t>RUN AT 32-35</t>
  </si>
  <si>
    <t xml:space="preserve"> +/- 3mm</t>
  </si>
  <si>
    <t>10 ON BACKORDER 1/10</t>
  </si>
  <si>
    <t>GROUP LINEN</t>
  </si>
  <si>
    <t>ANTISTATIC</t>
  </si>
  <si>
    <t>ANTIBLOCK</t>
  </si>
  <si>
    <t>#45</t>
  </si>
  <si>
    <t>LIMAX</t>
  </si>
  <si>
    <t>950648/950986/951663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</si>
</sst>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PB50881538AS0</v>
      </c>
      <c r="C1" s="110"/>
      <c r="D1" s="111"/>
      <c r="E1" s="10" t="s">
        <v>57</v>
      </c>
      <c r="F1" s="121" t="s">
        <v>198</v>
      </c>
      <c r="G1" s="62"/>
      <c r="H1" s="63"/>
      <c r="I1" s="11" t="s">
        <v>181</v>
      </c>
      <c r="J1" s="122">
        <f ca="1">TODAY()</f>
        <v>46085</v>
      </c>
      <c r="K1" s="122"/>
      <c r="L1" s="123"/>
      <c r="M1" s="28"/>
      <c r="N1" s="10" t="s">
        <v>56</v>
      </c>
      <c r="O1" s="110" t="str">
        <f>B1</f>
        <v>PB50881538AS0</v>
      </c>
      <c r="P1" s="110"/>
      <c r="Q1" s="111"/>
      <c r="R1" s="10" t="s">
        <v>57</v>
      </c>
      <c r="S1" s="110" t="str">
        <f>F1</f>
        <v>GROUP LINEN</v>
      </c>
      <c r="T1" s="110"/>
      <c r="U1" s="111"/>
      <c r="V1" s="10" t="s">
        <v>181</v>
      </c>
      <c r="W1" s="122">
        <f ca="1">J1</f>
        <v>46085</v>
      </c>
      <c r="X1" s="122"/>
      <c r="Y1" s="123"/>
    </row>
    <row r="2" spans="1:25" ht="20.100000000000001" customHeight="1" x14ac:dyDescent="0.25">
      <c r="A2" s="10" t="s">
        <v>100</v>
      </c>
      <c r="B2" s="110" t="str">
        <f>IF(U10="","",U10)</f>
        <v>QP8</v>
      </c>
      <c r="C2" s="110"/>
      <c r="D2" s="111"/>
      <c r="E2" s="10" t="s">
        <v>58</v>
      </c>
      <c r="F2" s="62" t="s">
        <v>203</v>
      </c>
      <c r="G2" s="62"/>
      <c r="H2" s="63"/>
      <c r="I2" s="10" t="s">
        <v>59</v>
      </c>
      <c r="J2" s="125">
        <v>46106</v>
      </c>
      <c r="K2" s="62"/>
      <c r="L2" s="63"/>
      <c r="M2" s="28"/>
      <c r="N2" s="10" t="s">
        <v>100</v>
      </c>
      <c r="O2" s="110" t="str">
        <f>IF(B2="","",B2)</f>
        <v>QP8</v>
      </c>
      <c r="P2" s="110"/>
      <c r="Q2" s="111"/>
      <c r="R2" s="10" t="s">
        <v>58</v>
      </c>
      <c r="S2" s="110" t="str">
        <f>IF(F2="","",F2)</f>
        <v>950648/950986/951663</v>
      </c>
      <c r="T2" s="110"/>
      <c r="U2" s="111"/>
      <c r="V2" s="10" t="s">
        <v>59</v>
      </c>
      <c r="W2" s="124">
        <f>J2</f>
        <v>46106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">
        <v>197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27</v>
      </c>
      <c r="P7" s="63"/>
      <c r="Q7" s="10" t="str">
        <f>IF(ISNUMBER(SEARCH("roll",O8,1)),"Per Roll","Per Carton")</f>
        <v>Per Carton</v>
      </c>
      <c r="R7" s="62">
        <v>250</v>
      </c>
      <c r="S7" s="63"/>
      <c r="T7" s="10" t="str">
        <f>IF(ISNUMBER(SEARCH("bag",O8,1)),"Total Bags","Total Sheets")</f>
        <v>Total Bags</v>
      </c>
      <c r="U7" s="110">
        <f>R7*O7</f>
        <v>6750</v>
      </c>
      <c r="V7" s="111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8">
        <f>R9</f>
        <v>508</v>
      </c>
      <c r="C8" s="99"/>
      <c r="D8" s="26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2" t="s">
        <v>52</v>
      </c>
      <c r="H8" s="98">
        <f>(IF(V9&lt;30,"30",V9))</f>
        <v>38</v>
      </c>
      <c r="I8" s="9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00" t="s">
        <v>164</v>
      </c>
      <c r="P8" s="101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00000000000001" customHeight="1" x14ac:dyDescent="0.3">
      <c r="A9" s="15" t="s">
        <v>48</v>
      </c>
      <c r="B9" s="128" t="s">
        <v>196</v>
      </c>
      <c r="C9" s="129"/>
      <c r="D9" s="136" t="str">
        <f>IF(K10="Middle","RUN 2 UP",IF(AND(O8="Centrefold Roll",B8=380),"RUN 2 UP",""))</f>
        <v/>
      </c>
      <c r="E9" s="102"/>
      <c r="F9" s="103"/>
      <c r="G9" s="15" t="s">
        <v>48</v>
      </c>
      <c r="H9" s="128" t="s">
        <v>195</v>
      </c>
      <c r="I9" s="129"/>
      <c r="J9" s="10" t="s">
        <v>55</v>
      </c>
      <c r="K9" s="62" t="s">
        <v>30</v>
      </c>
      <c r="L9" s="63"/>
      <c r="M9" s="28"/>
      <c r="N9" s="16"/>
      <c r="O9" s="104" t="str">
        <f>IF(O8="Poly Bag","PB",IF(O8="Poly Bag Roll","PBR",IF(O8="Centrefold Roll","CFR",IF(O8="Sheet","S",IF(O8="Sheet Roll","SR")))))</f>
        <v>PB</v>
      </c>
      <c r="P9" s="105"/>
      <c r="Q9" s="16"/>
      <c r="R9" s="29">
        <v>508</v>
      </c>
      <c r="S9" s="17" t="s">
        <v>78</v>
      </c>
      <c r="T9" s="29">
        <v>815</v>
      </c>
      <c r="U9" s="17" t="s">
        <v>78</v>
      </c>
      <c r="V9" s="29">
        <v>38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10</v>
      </c>
      <c r="C10" s="63"/>
      <c r="D10" s="46" t="s">
        <v>134</v>
      </c>
      <c r="E10" s="130">
        <f>IF(ISNUMBER(SEARCH("sheet",O8,1)),((R9*T9*H8/540000)*U7/2000*1.3),((R9*T9*H8/540000)*U7/1000*1.08))</f>
        <v>212.39226000000002</v>
      </c>
      <c r="F10" s="131"/>
      <c r="G10" s="10" t="s">
        <v>53</v>
      </c>
      <c r="H10" s="134">
        <f>IF(ISNUMBER(SEARCH("sheet",O8,1)),(U7*T9/2000*1.08),(U7*T9/1000*1.08))</f>
        <v>5941.35</v>
      </c>
      <c r="I10" s="135"/>
      <c r="J10" s="10" t="s">
        <v>41</v>
      </c>
      <c r="K10" s="62" t="s">
        <v>44</v>
      </c>
      <c r="L10" s="63"/>
      <c r="M10" s="28"/>
      <c r="N10" s="13" t="s">
        <v>141</v>
      </c>
      <c r="O10" s="100" t="s">
        <v>44</v>
      </c>
      <c r="P10" s="101"/>
      <c r="Q10" s="13" t="s">
        <v>50</v>
      </c>
      <c r="R10" s="96" t="str">
        <f>IF(K11="NONE","None",IF(K11="INLINE","Yes",IF(K11="OUT OF LINE","Yes")))</f>
        <v>None</v>
      </c>
      <c r="S10" s="96"/>
      <c r="T10" s="13" t="s">
        <v>100</v>
      </c>
      <c r="U10" s="106" t="s">
        <v>194</v>
      </c>
      <c r="V10" s="106"/>
      <c r="W10" s="106"/>
      <c r="X10" s="106"/>
      <c r="Y10" s="107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32">
        <f>E10/B10</f>
        <v>21.239226000000002</v>
      </c>
      <c r="F11" s="133"/>
      <c r="G11" s="10" t="s">
        <v>15</v>
      </c>
      <c r="H11" s="132">
        <f>H10/B10</f>
        <v>594.13499999999999</v>
      </c>
      <c r="I11" s="133"/>
      <c r="J11" s="10" t="s">
        <v>50</v>
      </c>
      <c r="K11" s="62" t="s">
        <v>44</v>
      </c>
      <c r="L11" s="63"/>
      <c r="M11" s="28"/>
      <c r="N11" s="12"/>
      <c r="O11" s="98" t="str">
        <f>IF(O10="NONE","","V")</f>
        <v/>
      </c>
      <c r="P11" s="99"/>
      <c r="Q11" s="12"/>
      <c r="R11" s="98" t="str">
        <f>IF(R10="None","","P")</f>
        <v/>
      </c>
      <c r="S11" s="99"/>
      <c r="T11" s="12"/>
      <c r="U11" s="108"/>
      <c r="V11" s="108"/>
      <c r="W11" s="108"/>
      <c r="X11" s="108"/>
      <c r="Y11" s="109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27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6</v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9" t="s">
        <v>4</v>
      </c>
      <c r="F16" s="149"/>
      <c r="G16" s="149" t="s">
        <v>5</v>
      </c>
      <c r="H16" s="149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110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3" t="s">
        <v>147</v>
      </c>
      <c r="D17" s="94"/>
      <c r="E17" s="90"/>
      <c r="F17" s="65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3" t="s">
        <v>146</v>
      </c>
      <c r="D18" s="94"/>
      <c r="E18" s="90"/>
      <c r="F18" s="65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3" t="s">
        <v>145</v>
      </c>
      <c r="D19" s="94"/>
      <c r="E19" s="90"/>
      <c r="F19" s="65"/>
      <c r="G19" s="47" t="s">
        <v>83</v>
      </c>
      <c r="H19" s="31"/>
      <c r="I19" s="59"/>
      <c r="J19" s="60"/>
      <c r="K19" s="59"/>
      <c r="L19" s="60"/>
      <c r="M19" s="28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3" t="s">
        <v>144</v>
      </c>
      <c r="D20" s="94"/>
      <c r="E20" s="90"/>
      <c r="F20" s="65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3" t="s">
        <v>143</v>
      </c>
      <c r="D21" s="94"/>
      <c r="E21" s="90"/>
      <c r="F21" s="65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95"/>
      <c r="F22" s="65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50" t="s">
        <v>199</v>
      </c>
      <c r="B23" s="150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4"/>
      <c r="E23" s="90"/>
      <c r="F23" s="65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51" t="s">
        <v>200</v>
      </c>
      <c r="B24" s="152"/>
      <c r="C24" s="93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4"/>
      <c r="E24" s="90"/>
      <c r="F24" s="65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202</v>
      </c>
      <c r="P25" s="33"/>
      <c r="Q25" s="9"/>
      <c r="R25" s="9"/>
      <c r="S25" s="9"/>
      <c r="T25" s="9"/>
      <c r="U25" s="9"/>
      <c r="V25" s="9"/>
      <c r="W25" s="9">
        <v>12</v>
      </c>
      <c r="X25" s="9">
        <v>18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2" t="s">
        <v>132</v>
      </c>
      <c r="H26" s="92"/>
      <c r="I26" s="92" t="s">
        <v>131</v>
      </c>
      <c r="J26" s="92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201</v>
      </c>
      <c r="C27" s="7"/>
      <c r="D27" s="9">
        <v>18</v>
      </c>
      <c r="E27" s="58">
        <v>8</v>
      </c>
      <c r="F27" s="7"/>
      <c r="G27" s="91"/>
      <c r="H27" s="91"/>
      <c r="I27" s="91"/>
      <c r="J27" s="91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1"/>
      <c r="H28" s="91"/>
      <c r="I28" s="91"/>
      <c r="J28" s="91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46116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46106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9AF7BF6-016E-484C-8F31-074BA995E682}"/>
</file>

<file path=customXml/itemProps2.xml><?xml version="1.0" encoding="utf-8"?>
<ds:datastoreItem xmlns:ds="http://schemas.openxmlformats.org/officeDocument/2006/customXml" ds:itemID="{D6A99905-2C89-403B-88B9-A132D5090B98}"/>
</file>

<file path=customXml/itemProps3.xml><?xml version="1.0" encoding="utf-8"?>
<ds:datastoreItem xmlns:ds="http://schemas.openxmlformats.org/officeDocument/2006/customXml" ds:itemID="{CA0C232C-758C-460E-978F-0B0066FF62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2023-07-24T23:15:51Z</cp:lastPrinted>
  <dcterms:created xsi:type="dcterms:W3CDTF">2019-11-27T23:28:06Z</dcterms:created>
  <dcterms:modified xsi:type="dcterms:W3CDTF">2026-03-04T08:25:45Z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