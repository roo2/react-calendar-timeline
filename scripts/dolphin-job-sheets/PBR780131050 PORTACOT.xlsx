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E39DBC9-87F5-42FB-A851-F82AF5960C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<sst xmlns="http://schemas.openxmlformats.org/spreadsheetml/2006/main" count="300" uniqueCount="199">
  <si>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</si>
  <si>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</si>
  <si>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</si>
  <si>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</si>
  <si>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</si>
  <si>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</si>
  <si>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</si>
  <si>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</si>
  <si>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</si>
  <si>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</si>
  <si>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</si>
  <si>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</si>
  <si>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</si>
  <si>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</si>
  <si>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</si>
  <si>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</si>
  <si>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</si>
  <si>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</si>
  <si>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</si>
  <si>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</si>
  <si>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</si>
  <si>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</si>
  <si>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</si>
  <si>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</si>
  <si>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</si>
  <si>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</si>
  <si>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</si>
  <si>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</si>
  <si>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</si>
  <si>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</si>
  <si>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</si>
  <si>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</si>
  <si>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</si>
  <si>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</si>
  <si>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</si>
  <si>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</si>
  <si>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</si>
  <si>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</si>
  <si>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</si>
  <si>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</si>
  <si>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</si>
  <si>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</si>
  <si>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</si>
  <si>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</si>
  <si>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</si>
  <si>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</si>
  <si>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</si>
  <si>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</si>
  <si>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</si>
  <si>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</si>
  <si>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</si>
  <si>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</si>
  <si>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</si>
  <si>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</si>
  <si>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</si>
  <si>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</si>
  <si>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</si>
  <si>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</si>
  <si>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</si>
  <si>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</si>
  <si>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</si>
  <si>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</si>
  <si>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</si>
  <si>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</si>
  <si>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</si>
  <si>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</si>
  <si>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</si>
  <si>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</si>
  <si>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</si>
  <si>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</si>
  <si>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</si>
  <si>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</si>
  <si>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</si>
  <si>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</si>
  <si>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</si>
  <si>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</si>
  <si>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</si>
  <si>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</si>
  <si>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</si>
  <si>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</si>
  <si>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</si>
  <si>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</si>
  <si>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</si>
  <si>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</si>
  <si>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</si>
  <si>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</si>
  <si>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</si>
  <si>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</si>
  <si>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</si>
  <si>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</si>
  <si>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</si>
  <si>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</si>
  <si>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</si>
  <si>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</si>
  <si>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</si>
  <si>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</si>
  <si>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</si>
  <si>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</si>
  <si>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</si>
  <si>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</si>
  <si>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</si>
  <si>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</si>
  <si>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</si>
  <si>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</si>
  <si>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</si>
  <si>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</si>
  <si>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</si>
  <si>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</si>
  <si>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</si>
  <si>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</si>
  <si>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</si>
  <si>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</si>
  <si>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</si>
  <si>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</si>
  <si>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</si>
  <si>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</si>
  <si>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</si>
  <si>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</si>
  <si>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</si>
  <si>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</si>
  <si>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</si>
  <si>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</si>
  <si>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</si>
  <si>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</si>
  <si>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</si>
  <si>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</si>
  <si>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</si>
  <si>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</si>
  <si>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</si>
  <si>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</si>
  <si>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</si>
  <si>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</si>
  <si>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</si>
  <si>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</si>
  <si>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</si>
  <si>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</si>
  <si>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</si>
  <si>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</si>
  <si>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</si>
  <si>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</si>
  <si>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</si>
  <si>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</si>
  <si>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</si>
  <si>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</si>
  <si>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</si>
  <si>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</si>
  <si>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</si>
  <si>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</si>
  <si>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</si>
  <si>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</si>
  <si>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</si>
  <si>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</si>
  <si>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</si>
  <si>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</si>
  <si>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</si>
  <si>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</si>
  <si>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</si>
  <si>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</si>
  <si>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</si>
  <si>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</si>
  <si>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</si>
  <si>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</si>
  <si>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</si>
  <si>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</si>
  <si>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</si>
  <si>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</si>
  <si>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</si>
  <si>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</si>
  <si>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</si>
  <si>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</si>
  <si>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</si>
  <si>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</si>
  <si>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</si>
  <si>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</si>
  <si>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</si>
  <si>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</si>
  <si>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</si>
  <si>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</si>
  <si>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</si>
  <si>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</si>
  <si>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</si>
  <si>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</si>
  <si>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</si>
  <si>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</si>
  <si>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</si>
  <si>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</si>
  <si>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</si>
  <si>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</si>
  <si>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</si>
  <si>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</si>
  <si>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</si>
  <si>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</si>
  <si>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</si>
  <si>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</si>
  <si>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</si>
  <si>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ANSTEL</t>
  </si>
  <si>
    <t>PLEASE CHECK SEALS - MUST BE NEAT ROLLS -  PERF INLINE</t>
  </si>
  <si>
    <t>RUN AT 50um</t>
  </si>
  <si>
    <t>DP POTACOT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</si>
</sst>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5" fillId="0" borderId="7" xfId="2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PBR780131050</v>
      </c>
      <c r="C1" s="125"/>
      <c r="D1" s="126"/>
      <c r="E1" s="18" t="s">
        <v>56</v>
      </c>
      <c r="F1" s="149" t="s">
        <v>195</v>
      </c>
      <c r="G1" s="149"/>
      <c r="H1" s="150"/>
      <c r="I1" s="18" t="s">
        <v>180</v>
      </c>
      <c r="J1" s="146">
        <f ca="1">TODAY()</f>
        <v>44530</v>
      </c>
      <c r="K1" s="146"/>
      <c r="L1" s="147"/>
      <c r="M1" s="35"/>
      <c r="N1" s="18" t="s">
        <v>55</v>
      </c>
      <c r="O1" s="125" t="str">
        <f>B1</f>
        <v>PBR780131050</v>
      </c>
      <c r="P1" s="125"/>
      <c r="Q1" s="126"/>
      <c r="R1" s="18" t="s">
        <v>56</v>
      </c>
      <c r="S1" s="125" t="str">
        <f>F1</f>
        <v>ANSTEL</v>
      </c>
      <c r="T1" s="125"/>
      <c r="U1" s="126"/>
      <c r="V1" s="18" t="s">
        <v>180</v>
      </c>
      <c r="W1" s="146">
        <f ca="1">J1</f>
        <v>44530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>DP POTACOT</v>
      </c>
      <c r="C2" s="125"/>
      <c r="D2" s="126"/>
      <c r="E2" s="18" t="s">
        <v>57</v>
      </c>
      <c r="F2" s="104">
        <v>941977</v>
      </c>
      <c r="G2" s="104"/>
      <c r="H2" s="105"/>
      <c r="I2" s="18" t="s">
        <v>58</v>
      </c>
      <c r="J2" s="103">
        <v>44560</v>
      </c>
      <c r="K2" s="104"/>
      <c r="L2" s="105"/>
      <c r="M2" s="35"/>
      <c r="N2" s="18" t="s">
        <v>99</v>
      </c>
      <c r="O2" s="125" t="str">
        <f>IF(B2="","",B2)</f>
        <v>DP POTACOT</v>
      </c>
      <c r="P2" s="125"/>
      <c r="Q2" s="126"/>
      <c r="R2" s="18" t="s">
        <v>57</v>
      </c>
      <c r="S2" s="125">
        <f>IF(F2="","",F2)</f>
        <v>941977</v>
      </c>
      <c r="T2" s="125"/>
      <c r="U2" s="126"/>
      <c r="V2" s="18" t="s">
        <v>58</v>
      </c>
      <c r="W2" s="148">
        <f>J2</f>
        <v>44560</v>
      </c>
      <c r="X2" s="125"/>
      <c r="Y2" s="126"/>
    </row>
    <row r="3" spans="1:25" ht="20.100000000000001" customHeight="1" x14ac:dyDescent="0.25">
      <c r="A3" s="137" t="s">
        <v>196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PLEASE CHECK SEALS - MUST BE NEAT ROLLS - 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10</v>
      </c>
      <c r="P7" s="105"/>
      <c r="Q7" s="18" t="str">
        <f>IF(ISNUMBER(SEARCH("roll",O8,1)),"Per Roll","Per Carton")</f>
        <v>Per Roll</v>
      </c>
      <c r="R7" s="104">
        <v>250</v>
      </c>
      <c r="S7" s="105"/>
      <c r="T7" s="18" t="str">
        <f>IF(ISNUMBER(SEARCH("bag",O8,1)),"Total Bags","Total Sheets")</f>
        <v>Total Bags</v>
      </c>
      <c r="U7" s="125">
        <f>R7*O7</f>
        <v>2500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780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50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780</v>
      </c>
      <c r="S9" s="25" t="s">
        <v>77</v>
      </c>
      <c r="T9" s="36">
        <v>1310</v>
      </c>
      <c r="U9" s="25" t="s">
        <v>77</v>
      </c>
      <c r="V9" s="36">
        <v>50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6</v>
      </c>
      <c r="C10" s="105"/>
      <c r="D10" s="56" t="s">
        <v>133</v>
      </c>
      <c r="E10" s="127">
        <f>IF(ISNUMBER(SEARCH("sheet",O8,1)),((R9*T9*H8/540000)*U7/2000*1.3),((R9*T9*H8/540000)*U7/1000*1.08))</f>
        <v>255.45000000000002</v>
      </c>
      <c r="F10" s="128"/>
      <c r="G10" s="18" t="s">
        <v>52</v>
      </c>
      <c r="H10" s="131">
        <f>IF(ISNUMBER(SEARCH("sheet",O8,1)),(U7*T9/2000*1.08),(U7*T9/1000*1.08))</f>
        <v>3537.0000000000005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198</v>
      </c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42.575000000000003</v>
      </c>
      <c r="F11" s="130"/>
      <c r="G11" s="18" t="s">
        <v>14</v>
      </c>
      <c r="H11" s="129">
        <f>H10/B10</f>
        <v>589.50000000000011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5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16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5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6" t="s">
        <v>131</v>
      </c>
      <c r="H26" s="166"/>
      <c r="I26" s="166" t="s">
        <v>130</v>
      </c>
      <c r="J26" s="166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44560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44551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79DDC99-85B7-4307-808F-CAE20D7DD337}"/>
</file>

<file path=customXml/itemProps2.xml><?xml version="1.0" encoding="utf-8"?>
<ds:datastoreItem xmlns:ds="http://schemas.openxmlformats.org/officeDocument/2006/customXml" ds:itemID="{9DC49A31-A25F-4EDB-90D0-0EC9F4F14B61}"/>
</file>

<file path=customXml/itemProps3.xml><?xml version="1.0" encoding="utf-8"?>
<ds:datastoreItem xmlns:ds="http://schemas.openxmlformats.org/officeDocument/2006/customXml" ds:itemID="{9CD652C3-D5A7-4873-A48D-ED60645F8A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2021-11-30T00:16:14Z</cp:lastPrinted>
  <dcterms:created xsi:type="dcterms:W3CDTF">2019-11-27T23:28:06Z</dcterms:created>
  <dcterms:modified xsi:type="dcterms:W3CDTF">2021-11-30T00:45:50Z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