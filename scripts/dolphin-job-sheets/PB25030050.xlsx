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C5C56CC-E549-4402-ABC4-526B12E9E9D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<sst xmlns="http://schemas.openxmlformats.org/spreadsheetml/2006/main" count="306" uniqueCount="201">
  <si>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</si>
  <si>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</si>
  <si>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</si>
  <si>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</si>
  <si>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</si>
  <si>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</si>
  <si>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</si>
  <si>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</si>
  <si>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</si>
  <si>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</si>
  <si>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</si>
  <si>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</si>
  <si>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</si>
  <si>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</si>
  <si>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</si>
  <si>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</si>
  <si>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</si>
  <si>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</si>
  <si>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</si>
  <si>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</si>
  <si>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</si>
  <si>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</si>
  <si>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</si>
  <si>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</si>
  <si>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</si>
  <si>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</si>
  <si>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</si>
  <si>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</si>
  <si>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</si>
  <si>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</si>
  <si>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</si>
  <si>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</si>
  <si>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</si>
  <si>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</si>
  <si>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</si>
  <si>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</si>
  <si>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</si>
  <si>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</si>
  <si>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</si>
  <si>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</si>
  <si>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</si>
  <si>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</si>
  <si>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</si>
  <si>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</si>
  <si>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</si>
  <si>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</si>
  <si>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</si>
  <si>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</si>
  <si>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</si>
  <si>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</si>
  <si>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</si>
  <si>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</si>
  <si>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</si>
  <si>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</si>
  <si>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</si>
  <si>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</si>
  <si>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</si>
  <si>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</si>
  <si>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</si>
  <si>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</si>
  <si>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</si>
  <si>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</si>
  <si>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</si>
  <si>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</si>
  <si>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</si>
  <si>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</si>
  <si>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</si>
  <si>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</si>
  <si>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</si>
  <si>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</si>
  <si>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</si>
  <si>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</si>
  <si>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</si>
  <si>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</si>
  <si>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</si>
  <si>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</si>
  <si>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</si>
  <si>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</si>
  <si>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</si>
  <si>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</si>
  <si>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</si>
  <si>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</si>
  <si>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</si>
  <si>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</si>
  <si>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</si>
  <si>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</si>
  <si>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</si>
  <si>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</si>
  <si>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</si>
  <si>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</si>
  <si>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</si>
  <si>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</si>
  <si>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</si>
  <si>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</si>
  <si>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</si>
  <si>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</si>
  <si>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</si>
  <si>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</si>
  <si>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</si>
  <si>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</si>
  <si>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</si>
  <si>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</si>
  <si>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</si>
  <si>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</si>
  <si>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</si>
  <si>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</si>
  <si>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</si>
  <si>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</si>
  <si>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</si>
  <si>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</si>
  <si>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</si>
  <si>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</si>
  <si>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</si>
  <si>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</si>
  <si>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</si>
  <si>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</si>
  <si>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</si>
  <si>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</si>
  <si>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</si>
  <si>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</si>
  <si>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</si>
  <si>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</si>
  <si>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</si>
  <si>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</si>
  <si>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</si>
  <si>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</si>
  <si>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</si>
  <si>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</si>
  <si>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</si>
  <si>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</si>
  <si>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</si>
  <si>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</si>
  <si>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</si>
  <si>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</si>
  <si>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</si>
  <si>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</si>
  <si>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</si>
  <si>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</si>
  <si>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</si>
  <si>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</si>
  <si>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</si>
  <si>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</si>
  <si>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</si>
  <si>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</si>
  <si>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</si>
  <si>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</si>
  <si>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</si>
  <si>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</si>
  <si>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</si>
  <si>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</si>
  <si>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</si>
  <si>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</si>
  <si>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</si>
  <si>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</si>
  <si>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</si>
  <si>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</si>
  <si>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</si>
  <si>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</si>
  <si>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</si>
  <si>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</si>
  <si>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</si>
  <si>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</si>
  <si>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</si>
  <si>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</si>
  <si>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</si>
  <si>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</si>
  <si>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</si>
  <si>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</si>
  <si>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</si>
  <si>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</si>
  <si>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</si>
  <si>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</si>
  <si>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</si>
  <si>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</si>
  <si>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</si>
  <si>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</si>
  <si>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</si>
  <si>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</si>
  <si>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</si>
  <si>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</si>
  <si>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</si>
  <si>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</si>
  <si>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</si>
  <si>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</si>
  <si>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</si>
  <si>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</si>
  <si>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</si>
  <si>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</si>
  <si>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</si>
  <si>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</si>
  <si>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</si>
  <si>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</si>
  <si>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</si>
  <si>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</si>
  <si>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</si>
  <si>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+/-5mm</t>
  </si>
  <si>
    <t>LIMAX</t>
  </si>
  <si>
    <t xml:space="preserve"> - MUST HAVE WATER TIGHT SEALS</t>
  </si>
  <si>
    <t>ANTI BLOCK</t>
  </si>
  <si>
    <t>ANTI SLIP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</si>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</sst>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10" zoomScale="80" zoomScaleNormal="80" workbookViewId="0">
      <selection activeCell="E21" sqref="E21:F2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PB25040012500</v>
      </c>
      <c r="C1" s="108"/>
      <c r="D1" s="109"/>
      <c r="E1" s="11" t="s">
        <v>57</v>
      </c>
      <c r="F1" s="119" t="s">
        <v>200</v>
      </c>
      <c r="G1" s="62"/>
      <c r="H1" s="63"/>
      <c r="I1" s="12" t="s">
        <v>181</v>
      </c>
      <c r="J1" s="120">
        <f ca="1">TODAY()</f>
        <v>45897</v>
      </c>
      <c r="K1" s="120"/>
      <c r="L1" s="121"/>
      <c r="M1" s="29"/>
      <c r="N1" s="11" t="s">
        <v>56</v>
      </c>
      <c r="O1" s="108" t="str">
        <f>B1</f>
        <v>PB25040012500</v>
      </c>
      <c r="P1" s="108"/>
      <c r="Q1" s="109"/>
      <c r="R1" s="11" t="s">
        <v>57</v>
      </c>
      <c r="S1" s="108" t="str">
        <f>F1</f>
        <v>BLACKWOODS</v>
      </c>
      <c r="T1" s="108"/>
      <c r="U1" s="109"/>
      <c r="V1" s="11" t="s">
        <v>181</v>
      </c>
      <c r="W1" s="120">
        <f ca="1">J1</f>
        <v>45897</v>
      </c>
      <c r="X1" s="120"/>
      <c r="Y1" s="121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950477</v>
      </c>
      <c r="G2" s="62"/>
      <c r="H2" s="63"/>
      <c r="I2" s="11" t="s">
        <v>59</v>
      </c>
      <c r="J2" s="123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950477</v>
      </c>
      <c r="T2" s="108"/>
      <c r="U2" s="109"/>
      <c r="V2" s="11" t="s">
        <v>59</v>
      </c>
      <c r="W2" s="122" t="str">
        <f>J2</f>
        <v>ASAP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 xml:space="preserve"> - MUST HAVE WATER TIGHT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5000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125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194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250</v>
      </c>
      <c r="S9" s="18" t="s">
        <v>78</v>
      </c>
      <c r="T9" s="30">
        <v>400</v>
      </c>
      <c r="U9" s="18" t="s">
        <v>78</v>
      </c>
      <c r="V9" s="30">
        <v>125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</v>
      </c>
      <c r="C10" s="63"/>
      <c r="D10" s="47" t="s">
        <v>134</v>
      </c>
      <c r="E10" s="128">
        <f>IF(ISNUMBER(SEARCH("sheet",O8,1)),((R9*T9*H8/540000)*U7/2000*1.3),((R9*T9*H8/540000)*U7/1000*1.08))</f>
        <v>125.00000000000001</v>
      </c>
      <c r="F10" s="129"/>
      <c r="G10" s="11" t="s">
        <v>53</v>
      </c>
      <c r="H10" s="132">
        <f>IF(ISNUMBER(SEARCH("sheet",O8,1)),(U7*T9/2000*1.08),(U7*T9/1000*1.08))</f>
        <v>2160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20.833333333333336</v>
      </c>
      <c r="F11" s="131"/>
      <c r="G11" s="11" t="s">
        <v>15</v>
      </c>
      <c r="H11" s="130">
        <f>H10/B10</f>
        <v>360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 t="s">
        <v>198</v>
      </c>
      <c r="B23" s="14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 t="s">
        <v>199</v>
      </c>
      <c r="B24" s="15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45928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45918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7EF84A-8B7B-477A-A724-8C44703F795C}"/>
</file>

<file path=customXml/itemProps2.xml><?xml version="1.0" encoding="utf-8"?>
<ds:datastoreItem xmlns:ds="http://schemas.openxmlformats.org/officeDocument/2006/customXml" ds:itemID="{01623589-2F0A-4E1A-9EF1-001A5E945C64}"/>
</file>

<file path=customXml/itemProps3.xml><?xml version="1.0" encoding="utf-8"?>
<ds:datastoreItem xmlns:ds="http://schemas.openxmlformats.org/officeDocument/2006/customXml" ds:itemID="{432088D8-CE1F-4451-AB6A-440FB21EE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2025-08-27T23:37:36Z</cp:lastPrinted>
  <dcterms:created xsi:type="dcterms:W3CDTF">2019-11-27T23:28:06Z</dcterms:created>
  <dcterms:modified xsi:type="dcterms:W3CDTF">2025-08-28T23:49:29Z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