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438399EF-A60F-476B-90EA-720DE19A329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<sst xmlns="http://schemas.openxmlformats.org/spreadsheetml/2006/main" count="225" uniqueCount="166">
  <si>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</si>
  <si>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</si>
  <si>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</si>
  <si>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</si>
  <si>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</si>
  <si>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</si>
  <si>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</si>
  <si>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</si>
  <si>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</si>
  <si>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</si>
  <si>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</si>
  <si>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</si>
  <si>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</si>
  <si>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</si>
  <si>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</si>
  <si>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</si>
  <si>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</si>
  <si>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</si>
  <si>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</si>
  <si>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</si>
  <si>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</si>
  <si>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</si>
  <si>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</si>
  <si>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</si>
  <si>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</si>
  <si>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</si>
  <si>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</si>
  <si>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</si>
  <si>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</si>
  <si>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</si>
  <si>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</si>
  <si>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</si>
  <si>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</si>
  <si>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</si>
  <si>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</si>
  <si>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</si>
  <si>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</si>
  <si>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</si>
  <si>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</si>
  <si>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</si>
  <si>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</si>
  <si>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</si>
  <si>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</si>
  <si>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</si>
  <si>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</si>
  <si>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</si>
  <si>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</si>
  <si>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</si>
  <si>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</si>
  <si>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</si>
  <si>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</si>
  <si>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</si>
  <si>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</si>
  <si>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</si>
  <si>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</si>
  <si>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</si>
  <si>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</si>
  <si>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</si>
  <si>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</si>
  <si>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</si>
  <si>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</si>
  <si>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</si>
  <si>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</si>
  <si>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</si>
  <si>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</si>
  <si>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</si>
  <si>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</si>
  <si>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</si>
  <si>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</si>
  <si>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</si>
  <si>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</si>
  <si>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</si>
  <si>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</si>
  <si>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</si>
  <si>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</si>
  <si>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</si>
  <si>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</si>
  <si>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</si>
  <si>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</si>
  <si>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</si>
  <si>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</si>
  <si>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</si>
  <si>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</si>
  <si>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</si>
  <si>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</si>
  <si>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</si>
  <si>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</si>
  <si>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</si>
  <si>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</si>
  <si>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</si>
  <si>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</si>
  <si>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</si>
  <si>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</si>
  <si>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</si>
  <si>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</si>
  <si>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</si>
  <si>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</si>
  <si>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</si>
  <si>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</si>
  <si>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</si>
  <si>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</si>
  <si>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</si>
  <si>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</si>
  <si>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</si>
  <si>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</si>
  <si>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</si>
  <si>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</si>
  <si>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</si>
  <si>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</si>
  <si>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</si>
  <si>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</si>
  <si>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</si>
  <si>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</si>
  <si>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</si>
  <si>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</si>
  <si>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</si>
  <si>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</si>
  <si>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</si>
  <si>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</si>
  <si>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</si>
  <si>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</si>
  <si>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</si>
  <si>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</si>
  <si>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</si>
  <si>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</si>
  <si>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</si>
  <si>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</si>
  <si>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</si>
  <si>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</si>
  <si>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</si>
  <si>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</si>
  <si>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</si>
  <si>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</si>
  <si>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</si>
  <si>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</si>
  <si>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</si>
  <si>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</si>
  <si>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</si>
  <si>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</si>
  <si>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</si>
  <si>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</si>
  <si>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</si>
  <si>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</si>
  <si>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</si>
  <si>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</si>
  <si>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</si>
  <si>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</si>
  <si>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</si>
  <si>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</si>
  <si>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</si>
  <si>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</si>
  <si>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</si>
  <si>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</si>
  <si>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</si>
  <si>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</si>
  <si>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</si>
  <si>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</si>
  <si>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</si>
  <si>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</si>
  <si>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</si>
  <si>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</si>
  <si>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</si>
  <si>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</si>
  <si>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PROPAC</t>
  </si>
  <si>
    <t>RUN AT 190um</t>
  </si>
  <si>
    <t xml:space="preserve"> +/- 5mm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</si>
</sst>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F2" sqref="F2:H2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112" t="str">
        <f>IF(B7="Tube","T",IF(B7="Cont Sheet Roll","SR",IF(B7="Cont Centrefold","CFR")))&amp;B8&amp;IF(E8="","","("&amp;E8&amp;")")&amp;H8&amp;(IF(K11="INLINE","P",IF(K11="OUT OF LINE","P",IF(K11="NONE",""))))&amp;C24&amp;C25</f>
        <v>T760200BK</v>
      </c>
      <c r="C1" s="112"/>
      <c r="D1" s="113"/>
      <c r="E1" s="12" t="s">
        <v>55</v>
      </c>
      <c r="F1" s="123" t="s">
        <v>163</v>
      </c>
      <c r="G1" s="123"/>
      <c r="H1" s="124"/>
      <c r="I1" s="12" t="s">
        <v>147</v>
      </c>
      <c r="J1" s="125">
        <f ca="1">TODAY()</f>
        <v>44601</v>
      </c>
      <c r="K1" s="125"/>
      <c r="L1" s="126"/>
    </row>
    <row r="2" spans="1:14" ht="20.100000000000001" customHeight="1" x14ac:dyDescent="0.25">
      <c r="A2" s="12" t="s">
        <v>94</v>
      </c>
      <c r="B2" s="103" t="str">
        <f>IF(B7="Tube",(ROUNDUP(E11,0)&amp;"KG"),(ROUNDUP(H11,0)&amp;"M"))</f>
        <v>25KG</v>
      </c>
      <c r="C2" s="103"/>
      <c r="D2" s="104"/>
      <c r="E2" s="12" t="s">
        <v>56</v>
      </c>
      <c r="F2" s="55">
        <v>942455</v>
      </c>
      <c r="G2" s="55"/>
      <c r="H2" s="56"/>
      <c r="I2" s="12" t="s">
        <v>57</v>
      </c>
      <c r="J2" s="127" t="s">
        <v>161</v>
      </c>
      <c r="K2" s="55"/>
      <c r="L2" s="56"/>
    </row>
    <row r="3" spans="1:14" ht="20.100000000000001" customHeight="1" x14ac:dyDescent="0.25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</row>
    <row r="4" spans="1:14" ht="20.100000000000001" customHeight="1" x14ac:dyDescent="0.2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</row>
    <row r="5" spans="1:14" ht="20.100000000000001" customHeight="1" x14ac:dyDescent="0.2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</row>
    <row r="6" spans="1:14" ht="20.100000000000001" customHeight="1" x14ac:dyDescent="0.25">
      <c r="A6" s="91" t="s">
        <v>1</v>
      </c>
      <c r="B6" s="92"/>
      <c r="C6" s="92"/>
      <c r="D6" s="92"/>
      <c r="E6" s="92"/>
      <c r="F6" s="92"/>
      <c r="G6" s="92"/>
      <c r="H6" s="92"/>
      <c r="I6" s="92"/>
      <c r="J6" s="93"/>
      <c r="K6" s="93"/>
      <c r="L6" s="94"/>
    </row>
    <row r="7" spans="1:14" ht="20.100000000000001" customHeight="1" x14ac:dyDescent="0.3">
      <c r="A7" s="12" t="s">
        <v>157</v>
      </c>
      <c r="B7" s="55" t="s">
        <v>158</v>
      </c>
      <c r="C7" s="56"/>
      <c r="D7" s="12" t="s">
        <v>47</v>
      </c>
      <c r="E7" s="54" t="s">
        <v>144</v>
      </c>
      <c r="F7" s="54"/>
      <c r="G7" s="54"/>
      <c r="H7" s="54"/>
      <c r="I7" s="54"/>
      <c r="J7" s="107" t="s">
        <v>145</v>
      </c>
      <c r="K7" s="107"/>
      <c r="L7" s="88"/>
    </row>
    <row r="8" spans="1:14" ht="20.100000000000001" customHeight="1" x14ac:dyDescent="0.25">
      <c r="A8" s="13" t="s">
        <v>14</v>
      </c>
      <c r="B8" s="77">
        <v>760</v>
      </c>
      <c r="C8" s="78"/>
      <c r="D8" s="13" t="str">
        <f>IF(B7="Tube","Gusset","Centrefold")</f>
        <v>Gusset</v>
      </c>
      <c r="E8" s="108" t="str">
        <f>IF(B7="Cont Centrefold",B8*2,"")</f>
        <v/>
      </c>
      <c r="F8" s="109"/>
      <c r="G8" s="13" t="s">
        <v>50</v>
      </c>
      <c r="H8" s="77">
        <v>200</v>
      </c>
      <c r="I8" s="78"/>
      <c r="J8" s="12" t="s">
        <v>52</v>
      </c>
      <c r="K8" s="112" t="str">
        <f>IF(ISNUMBER(SEARCH("+",E8,1)),"Gusset Tube","Layflat Tube")</f>
        <v>Layflat Tube</v>
      </c>
      <c r="L8" s="113"/>
    </row>
    <row r="9" spans="1:14" ht="20.100000000000001" customHeight="1" x14ac:dyDescent="0.3">
      <c r="A9" s="14" t="s">
        <v>46</v>
      </c>
      <c r="B9" s="95" t="s">
        <v>165</v>
      </c>
      <c r="C9" s="96"/>
      <c r="D9" s="129" t="str">
        <f>IF(K10="Middle","RUN 2 UP",IF(AND(B7="Cont Centrefold",B8=380),"RUN 2 UP",""))</f>
        <v/>
      </c>
      <c r="E9" s="130"/>
      <c r="F9" s="131"/>
      <c r="G9" s="14" t="s">
        <v>46</v>
      </c>
      <c r="H9" s="95" t="s">
        <v>164</v>
      </c>
      <c r="I9" s="96"/>
      <c r="J9" s="12" t="s">
        <v>53</v>
      </c>
      <c r="K9" s="55" t="s">
        <v>28</v>
      </c>
      <c r="L9" s="56"/>
    </row>
    <row r="10" spans="1:14" ht="20.100000000000001" customHeight="1" x14ac:dyDescent="0.25">
      <c r="A10" s="12" t="s">
        <v>49</v>
      </c>
      <c r="B10" s="55">
        <v>5</v>
      </c>
      <c r="C10" s="56"/>
      <c r="D10" s="42" t="s">
        <v>104</v>
      </c>
      <c r="E10" s="99">
        <f>E11*B10</f>
        <v>125</v>
      </c>
      <c r="F10" s="100"/>
      <c r="G10" s="12" t="s">
        <v>51</v>
      </c>
      <c r="H10" s="103">
        <f>H11*B10</f>
        <v>444.0789473684211</v>
      </c>
      <c r="I10" s="104"/>
      <c r="J10" s="12" t="s">
        <v>39</v>
      </c>
      <c r="K10" s="55" t="s">
        <v>42</v>
      </c>
      <c r="L10" s="56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97" t="str">
        <f>IF(AND(B7="Cont Centrefold",D9="RUN 2 UP"),B10*2,IF(B7="Cont Centrefold",B10,IF(B7="Cont Sheet Roll",B10*2,"")))</f>
        <v/>
      </c>
      <c r="C11" s="98"/>
      <c r="D11" s="51" t="s">
        <v>105</v>
      </c>
      <c r="E11" s="101">
        <v>25</v>
      </c>
      <c r="F11" s="102"/>
      <c r="G11" s="51" t="s">
        <v>13</v>
      </c>
      <c r="H11" s="105">
        <f>E11*540000/B8/H8</f>
        <v>88.81578947368422</v>
      </c>
      <c r="I11" s="106"/>
      <c r="J11" s="51" t="s">
        <v>48</v>
      </c>
      <c r="K11" s="110" t="s">
        <v>42</v>
      </c>
      <c r="L11" s="111"/>
      <c r="N11"/>
    </row>
    <row r="12" spans="1:14" ht="20.100000000000001" customHeight="1" x14ac:dyDescent="0.25">
      <c r="A12" s="79" t="s">
        <v>11</v>
      </c>
      <c r="B12" s="80"/>
      <c r="C12" s="80"/>
      <c r="D12" s="80"/>
      <c r="E12" s="81"/>
      <c r="F12" s="81"/>
      <c r="G12" s="81"/>
      <c r="H12" s="81"/>
      <c r="I12" s="81"/>
      <c r="J12" s="81"/>
      <c r="K12" s="81"/>
      <c r="L12" s="82"/>
    </row>
    <row r="13" spans="1:14" ht="20.100000000000001" customHeight="1" x14ac:dyDescent="0.25">
      <c r="A13" s="12" t="s">
        <v>59</v>
      </c>
      <c r="B13" s="55" t="s">
        <v>42</v>
      </c>
      <c r="C13" s="55"/>
      <c r="D13" s="56"/>
      <c r="E13" s="16" t="s">
        <v>60</v>
      </c>
      <c r="F13" s="55" t="s">
        <v>42</v>
      </c>
      <c r="G13" s="55"/>
      <c r="H13" s="56"/>
      <c r="I13" s="17" t="s">
        <v>61</v>
      </c>
      <c r="J13" s="55" t="s">
        <v>42</v>
      </c>
      <c r="K13" s="55"/>
      <c r="L13" s="56"/>
    </row>
    <row r="14" spans="1:14" ht="20.100000000000001" customHeight="1" x14ac:dyDescent="0.3">
      <c r="A14" s="13" t="s">
        <v>58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83"/>
    </row>
    <row r="15" spans="1:14" ht="20.100000000000001" customHeight="1" x14ac:dyDescent="0.25">
      <c r="A15" s="91" t="s">
        <v>70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136"/>
    </row>
    <row r="16" spans="1:14" ht="20.100000000000001" customHeight="1" x14ac:dyDescent="0.25">
      <c r="A16" s="12" t="s">
        <v>71</v>
      </c>
      <c r="B16" s="55" t="s">
        <v>75</v>
      </c>
      <c r="C16" s="55"/>
      <c r="D16" s="56"/>
      <c r="E16" s="12" t="s">
        <v>72</v>
      </c>
      <c r="F16" s="112">
        <f>B10</f>
        <v>5</v>
      </c>
      <c r="G16" s="112"/>
      <c r="H16" s="113"/>
      <c r="I16" s="12" t="s">
        <v>74</v>
      </c>
      <c r="J16" s="55"/>
      <c r="K16" s="55"/>
      <c r="L16" s="56"/>
    </row>
    <row r="17" spans="1:12" ht="20.100000000000001" customHeight="1" x14ac:dyDescent="0.25">
      <c r="A17" s="133" t="s">
        <v>148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5"/>
    </row>
    <row r="18" spans="1:12" ht="20.100000000000001" customHeight="1" x14ac:dyDescent="0.25">
      <c r="A18" s="87" t="s">
        <v>2</v>
      </c>
      <c r="B18" s="88"/>
      <c r="C18" s="87" t="s">
        <v>111</v>
      </c>
      <c r="D18" s="88"/>
      <c r="E18" s="87" t="s">
        <v>3</v>
      </c>
      <c r="F18" s="88"/>
      <c r="G18" s="87" t="s">
        <v>4</v>
      </c>
      <c r="H18" s="88"/>
      <c r="I18" s="87" t="s">
        <v>9</v>
      </c>
      <c r="J18" s="88"/>
      <c r="K18" s="87" t="s">
        <v>10</v>
      </c>
      <c r="L18" s="88"/>
    </row>
    <row r="19" spans="1:12" ht="20.100000000000001" customHeight="1" x14ac:dyDescent="0.25">
      <c r="A19" s="89" t="s">
        <v>5</v>
      </c>
      <c r="B19" s="89"/>
      <c r="C19" s="66" t="s">
        <v>115</v>
      </c>
      <c r="D19" s="67"/>
      <c r="E19" s="68"/>
      <c r="F19" s="69"/>
      <c r="G19" s="11" t="s">
        <v>76</v>
      </c>
      <c r="H19" s="35"/>
      <c r="I19" s="75"/>
      <c r="J19" s="76"/>
      <c r="K19" s="75"/>
      <c r="L19" s="76"/>
    </row>
    <row r="20" spans="1:12" ht="20.100000000000001" customHeight="1" x14ac:dyDescent="0.25">
      <c r="A20" s="89" t="s">
        <v>6</v>
      </c>
      <c r="B20" s="89"/>
      <c r="C20" s="66" t="s">
        <v>114</v>
      </c>
      <c r="D20" s="67"/>
      <c r="E20" s="68"/>
      <c r="F20" s="69"/>
      <c r="G20" s="11" t="s">
        <v>77</v>
      </c>
      <c r="H20" s="35"/>
      <c r="I20" s="75"/>
      <c r="J20" s="76"/>
      <c r="K20" s="75"/>
      <c r="L20" s="76"/>
    </row>
    <row r="21" spans="1:12" ht="20.100000000000001" customHeight="1" x14ac:dyDescent="0.25">
      <c r="A21" s="89" t="s">
        <v>7</v>
      </c>
      <c r="B21" s="89"/>
      <c r="C21" s="66" t="s">
        <v>113</v>
      </c>
      <c r="D21" s="67"/>
      <c r="E21" s="68"/>
      <c r="F21" s="69"/>
      <c r="G21" s="11" t="s">
        <v>78</v>
      </c>
      <c r="H21" s="35"/>
      <c r="I21" s="75"/>
      <c r="J21" s="76"/>
      <c r="K21" s="75"/>
      <c r="L21" s="76"/>
    </row>
    <row r="22" spans="1:12" ht="20.100000000000001" customHeight="1" x14ac:dyDescent="0.25">
      <c r="A22" s="89" t="s">
        <v>8</v>
      </c>
      <c r="B22" s="89"/>
      <c r="C22" s="66" t="s">
        <v>112</v>
      </c>
      <c r="D22" s="67"/>
      <c r="E22" s="68"/>
      <c r="F22" s="69"/>
      <c r="G22" s="11" t="s">
        <v>79</v>
      </c>
      <c r="H22" s="35"/>
      <c r="I22" s="75"/>
      <c r="J22" s="76"/>
      <c r="K22" s="75"/>
      <c r="L22" s="76"/>
    </row>
    <row r="23" spans="1:12" ht="20.100000000000001" customHeight="1" x14ac:dyDescent="0.25">
      <c r="A23" s="89" t="s">
        <v>149</v>
      </c>
      <c r="B23" s="89"/>
      <c r="C23" s="66" t="s">
        <v>150</v>
      </c>
      <c r="D23" s="67"/>
      <c r="E23" s="68"/>
      <c r="F23" s="69"/>
      <c r="G23" s="11" t="s">
        <v>80</v>
      </c>
      <c r="H23" s="35"/>
      <c r="I23" s="75"/>
      <c r="J23" s="76"/>
      <c r="K23" s="75"/>
      <c r="L23" s="76"/>
    </row>
    <row r="24" spans="1:12" ht="20.100000000000001" customHeight="1" x14ac:dyDescent="0.25">
      <c r="A24" s="89" t="str">
        <f>(IF(E7="NATURAL","",E7))</f>
        <v>BLACK</v>
      </c>
      <c r="B24" s="89"/>
      <c r="C24" s="7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BK</v>
      </c>
      <c r="D24" s="74"/>
      <c r="E24" s="68"/>
      <c r="F24" s="69"/>
      <c r="G24" s="11" t="s">
        <v>81</v>
      </c>
      <c r="H24" s="35"/>
      <c r="I24" s="75"/>
      <c r="J24" s="76"/>
      <c r="K24" s="75"/>
      <c r="L24" s="76"/>
    </row>
    <row r="25" spans="1:12" ht="20.100000000000001" customHeight="1" x14ac:dyDescent="0.25">
      <c r="A25" s="89"/>
      <c r="B25" s="89"/>
      <c r="C25" s="6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7"/>
      <c r="E25" s="68"/>
      <c r="F25" s="69"/>
      <c r="G25" s="11" t="s">
        <v>82</v>
      </c>
      <c r="H25" s="35"/>
      <c r="I25" s="75"/>
      <c r="J25" s="76"/>
      <c r="K25" s="75"/>
      <c r="L25" s="76"/>
    </row>
    <row r="26" spans="1:12" ht="20.100000000000001" customHeight="1" x14ac:dyDescent="0.25">
      <c r="A26" s="90" t="s">
        <v>0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2"/>
    </row>
    <row r="27" spans="1:12" ht="20.100000000000001" customHeight="1" x14ac:dyDescent="0.25">
      <c r="A27" s="18"/>
      <c r="B27" s="19" t="s">
        <v>146</v>
      </c>
      <c r="C27" s="19" t="s">
        <v>86</v>
      </c>
      <c r="D27" s="20" t="s">
        <v>84</v>
      </c>
      <c r="E27" s="20" t="s">
        <v>85</v>
      </c>
      <c r="F27" s="20" t="s">
        <v>87</v>
      </c>
      <c r="G27" s="132" t="s">
        <v>103</v>
      </c>
      <c r="H27" s="132"/>
      <c r="I27" s="132" t="s">
        <v>102</v>
      </c>
      <c r="J27" s="132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128"/>
      <c r="H28" s="128"/>
      <c r="I28" s="128"/>
      <c r="J28" s="128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128"/>
      <c r="H29" s="128"/>
      <c r="I29" s="128"/>
      <c r="J29" s="128"/>
      <c r="K29" s="6"/>
      <c r="L29" s="27"/>
    </row>
    <row r="30" spans="1:12" ht="20.100000000000001" customHeight="1" x14ac:dyDescent="0.25">
      <c r="A30" s="70" t="s">
        <v>93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100000000000001" customHeight="1" x14ac:dyDescent="0.25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100000000000001" customHeight="1" x14ac:dyDescent="0.25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100000000000001" customHeight="1" x14ac:dyDescent="0.25">
      <c r="A37" s="84" t="s">
        <v>106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6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44629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44622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162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151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159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152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153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FFF9560-8D77-44BC-9278-D69B9D05B958}"/>
</file>

<file path=customXml/itemProps2.xml><?xml version="1.0" encoding="utf-8"?>
<ds:datastoreItem xmlns:ds="http://schemas.openxmlformats.org/officeDocument/2006/customXml" ds:itemID="{24D46669-D4A4-4B6F-96B2-78DA6A077759}"/>
</file>

<file path=customXml/itemProps3.xml><?xml version="1.0" encoding="utf-8"?>
<ds:datastoreItem xmlns:ds="http://schemas.openxmlformats.org/officeDocument/2006/customXml" ds:itemID="{12E5DD1D-A0F3-4DC1-B10C-95AD0D2C69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2022-02-09T02:28:50Z</cp:lastPrinted>
  <dcterms:created xsi:type="dcterms:W3CDTF">2019-11-27T23:28:06Z</dcterms:created>
  <dcterms:modified xsi:type="dcterms:W3CDTF">2022-02-09T03:22:47Z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