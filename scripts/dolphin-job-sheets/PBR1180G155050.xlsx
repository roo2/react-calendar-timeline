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39800F2-D730-4708-B28A-1BD96600D6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13" i="1" l="1"/>
  <c r="E8" i="1" l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<sst xmlns="http://schemas.openxmlformats.org/spreadsheetml/2006/main" count="303" uniqueCount="201">
  <si>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</si>
  <si>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</si>
  <si>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</si>
  <si>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</si>
  <si>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</si>
  <si>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</si>
  <si>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</si>
  <si>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</si>
  <si>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</si>
  <si>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</si>
  <si>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</si>
  <si>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</si>
  <si>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</si>
  <si>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</si>
  <si>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</si>
  <si>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</si>
  <si>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</si>
  <si>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</si>
  <si>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</si>
  <si>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</si>
  <si>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</si>
  <si>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</si>
  <si>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</si>
  <si>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</si>
  <si>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</si>
  <si>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</si>
  <si>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</si>
  <si>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</si>
  <si>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</si>
  <si>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</si>
  <si>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</si>
  <si>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</si>
  <si>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</si>
  <si>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</si>
  <si>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</si>
  <si>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</si>
  <si>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</si>
  <si>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</si>
  <si>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</si>
  <si>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</si>
  <si>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</si>
  <si>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</si>
  <si>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</si>
  <si>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</si>
  <si>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</si>
  <si>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</si>
  <si>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</si>
  <si>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</si>
  <si>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</si>
  <si>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</si>
  <si>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</si>
  <si>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</si>
  <si>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</si>
  <si>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</si>
  <si>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</si>
  <si>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</si>
  <si>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</si>
  <si>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</si>
  <si>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</si>
  <si>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</si>
  <si>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</si>
  <si>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</si>
  <si>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</si>
  <si>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</si>
  <si>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</si>
  <si>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</si>
  <si>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</si>
  <si>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</si>
  <si>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</si>
  <si>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</si>
  <si>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</si>
  <si>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</si>
  <si>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</si>
  <si>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</si>
  <si>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</si>
  <si>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</si>
  <si>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</si>
  <si>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</si>
  <si>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</si>
  <si>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</si>
  <si>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</si>
  <si>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</si>
  <si>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</si>
  <si>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</si>
  <si>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</si>
  <si>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</si>
  <si>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</si>
  <si>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</si>
  <si>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</si>
  <si>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</si>
  <si>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</si>
  <si>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</si>
  <si>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</si>
  <si>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</si>
  <si>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</si>
  <si>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</si>
  <si>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</si>
  <si>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</si>
  <si>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</si>
  <si>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</si>
  <si>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</si>
  <si>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</si>
  <si>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</si>
  <si>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</si>
  <si>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</si>
  <si>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</si>
  <si>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</si>
  <si>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</si>
  <si>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</si>
  <si>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</si>
  <si>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</si>
  <si>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</si>
  <si>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</si>
  <si>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</si>
  <si>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</si>
  <si>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</si>
  <si>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</si>
  <si>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</si>
  <si>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</si>
  <si>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</si>
  <si>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</si>
  <si>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</si>
  <si>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</si>
  <si>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</si>
  <si>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</si>
  <si>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</si>
  <si>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</si>
  <si>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</si>
  <si>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</si>
  <si>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</si>
  <si>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</si>
  <si>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</si>
  <si>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</si>
  <si>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</si>
  <si>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</si>
  <si>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</si>
  <si>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</si>
  <si>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</si>
  <si>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</si>
  <si>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</si>
  <si>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</si>
  <si>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</si>
  <si>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</si>
  <si>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</si>
  <si>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</si>
  <si>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</si>
  <si>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</si>
  <si>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</si>
  <si>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</si>
  <si>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</si>
  <si>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</si>
  <si>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</si>
  <si>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</si>
  <si>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</si>
  <si>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</si>
  <si>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</si>
  <si>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</si>
  <si>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</si>
  <si>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</si>
  <si>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</si>
  <si>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</si>
  <si>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</si>
  <si>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</si>
  <si>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</si>
  <si>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</si>
  <si>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</si>
  <si>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</si>
  <si>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</si>
  <si>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</si>
  <si>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</si>
  <si>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</si>
  <si>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</si>
  <si>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</si>
  <si>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</si>
  <si>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</si>
  <si>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</si>
  <si>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</si>
  <si>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</si>
  <si>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</si>
  <si>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</si>
  <si>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</si>
  <si>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</si>
  <si>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</si>
  <si>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</si>
  <si>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</si>
  <si>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</si>
  <si>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</si>
  <si>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</si>
  <si>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</si>
  <si>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</si>
  <si>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</si>
  <si>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</si>
  <si>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</si>
  <si>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</si>
  <si>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</si>
  <si>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</si>
  <si>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(800+380)</t>
  </si>
  <si>
    <t>GUSSET</t>
  </si>
  <si>
    <r>
      <t>GOOD SEALS, STRONG SEALS - PLEASE TEST FREQUENTLY 
RUN INLINE ON 65 EXTRUDER -</t>
    </r>
    <r>
      <rPr>
        <b/>
        <u/>
        <sz val="22"/>
        <color theme="1"/>
        <rFont val="Calibri"/>
        <family val="2"/>
        <scheme val="minor"/>
      </rPr>
      <t xml:space="preserve"> </t>
    </r>
    <r>
      <rPr>
        <b/>
        <u/>
        <sz val="22"/>
        <color rgb="FFFF0000"/>
        <rFont val="Calibri"/>
        <family val="2"/>
        <scheme val="minor"/>
      </rPr>
      <t>CHECK GUSSET - NEW SIZE</t>
    </r>
  </si>
  <si>
    <t>EXECUTIVE DISTRIBUTORS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</si>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</sst>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7" xfId="0" applyFont="1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7" fillId="5" borderId="1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PBR1180G155050</v>
      </c>
      <c r="C1" s="113"/>
      <c r="D1" s="114"/>
      <c r="E1" s="15" t="s">
        <v>56</v>
      </c>
      <c r="F1" s="94" t="s">
        <v>199</v>
      </c>
      <c r="G1" s="94"/>
      <c r="H1" s="95"/>
      <c r="I1" s="15" t="s">
        <v>180</v>
      </c>
      <c r="J1" s="134">
        <f ca="1">TODAY()</f>
        <v>45575</v>
      </c>
      <c r="K1" s="134"/>
      <c r="L1" s="135"/>
      <c r="M1" s="29"/>
      <c r="N1" s="15" t="s">
        <v>55</v>
      </c>
      <c r="O1" s="113" t="str">
        <f>B1</f>
        <v>PBR1180G155050</v>
      </c>
      <c r="P1" s="113"/>
      <c r="Q1" s="114"/>
      <c r="R1" s="15" t="s">
        <v>56</v>
      </c>
      <c r="S1" s="113" t="str">
        <f>F1</f>
        <v>EXECUTIVE DISTRIBUTORS</v>
      </c>
      <c r="T1" s="113"/>
      <c r="U1" s="114"/>
      <c r="V1" s="15" t="s">
        <v>180</v>
      </c>
      <c r="W1" s="134">
        <f ca="1">J1</f>
        <v>45575</v>
      </c>
      <c r="X1" s="134"/>
      <c r="Y1" s="135"/>
    </row>
    <row r="2" spans="1:25" ht="20.100000000000001" customHeight="1" x14ac:dyDescent="0.25">
      <c r="A2" s="15" t="s">
        <v>99</v>
      </c>
      <c r="B2" s="113" t="str">
        <f>IF(U10="","",U10)</f>
        <v/>
      </c>
      <c r="C2" s="113"/>
      <c r="D2" s="114"/>
      <c r="E2" s="15" t="s">
        <v>57</v>
      </c>
      <c r="F2" s="94">
        <v>948399</v>
      </c>
      <c r="G2" s="94"/>
      <c r="H2" s="95"/>
      <c r="I2" s="15" t="s">
        <v>58</v>
      </c>
      <c r="J2" s="93">
        <v>45541</v>
      </c>
      <c r="K2" s="94"/>
      <c r="L2" s="95"/>
      <c r="M2" s="29"/>
      <c r="N2" s="15" t="s">
        <v>99</v>
      </c>
      <c r="O2" s="113" t="str">
        <f>IF(B2="","",B2)</f>
        <v/>
      </c>
      <c r="P2" s="113"/>
      <c r="Q2" s="114"/>
      <c r="R2" s="15" t="s">
        <v>57</v>
      </c>
      <c r="S2" s="113">
        <f>IF(F2="","",F2)</f>
        <v>948399</v>
      </c>
      <c r="T2" s="113"/>
      <c r="U2" s="114"/>
      <c r="V2" s="15" t="s">
        <v>58</v>
      </c>
      <c r="W2" s="136">
        <f>J2</f>
        <v>45541</v>
      </c>
      <c r="X2" s="113"/>
      <c r="Y2" s="114"/>
    </row>
    <row r="3" spans="1:25" ht="20.100000000000001" customHeight="1" x14ac:dyDescent="0.25">
      <c r="A3" s="125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29"/>
      <c r="N3" s="125" t="str">
        <f>A3</f>
        <v>GOOD SEALS, STRONG SEALS - PLEASE TEST FREQUENTLY 
RUN INLINE ON 65 EXTRUDER - CHECK GUSSET - NEW SIZE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10</v>
      </c>
      <c r="P7" s="95"/>
      <c r="Q7" s="15" t="str">
        <f>IF(ISNUMBER(SEARCH("roll",O8,1)),"Per Roll","Per Carton")</f>
        <v>Per Roll</v>
      </c>
      <c r="R7" s="94">
        <v>100</v>
      </c>
      <c r="S7" s="95"/>
      <c r="T7" s="15" t="str">
        <f>IF(ISNUMBER(SEARCH("bag",O8,1)),"Total Bags","Total Sheets")</f>
        <v>Total Bags</v>
      </c>
      <c r="U7" s="113">
        <f>R7*O7</f>
        <v>1000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1180</v>
      </c>
      <c r="C8" s="106"/>
      <c r="D8" s="60" t="s">
        <v>197</v>
      </c>
      <c r="E8" s="146" t="str">
        <f>IF(O8="Centrefold Roll",B8*2,IF(X9="","None",X9))</f>
        <v>(800+380)</v>
      </c>
      <c r="F8" s="147"/>
      <c r="G8" s="16" t="s">
        <v>51</v>
      </c>
      <c r="H8" s="103">
        <f>(IF(V9&lt;30,"30",V9))</f>
        <v>50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7"/>
    </row>
    <row r="9" spans="1:25" ht="20.100000000000001" customHeight="1" x14ac:dyDescent="0.3">
      <c r="A9" s="20" t="s">
        <v>47</v>
      </c>
      <c r="B9" s="111" t="s">
        <v>194</v>
      </c>
      <c r="C9" s="112"/>
      <c r="D9" s="151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195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1180</v>
      </c>
      <c r="S9" s="22" t="s">
        <v>77</v>
      </c>
      <c r="T9" s="30">
        <v>1550</v>
      </c>
      <c r="U9" s="22" t="s">
        <v>77</v>
      </c>
      <c r="V9" s="30">
        <v>50</v>
      </c>
      <c r="W9" s="21"/>
      <c r="X9" s="100" t="s">
        <v>196</v>
      </c>
      <c r="Y9" s="101"/>
    </row>
    <row r="10" spans="1:25" ht="20.100000000000001" customHeight="1" x14ac:dyDescent="0.25">
      <c r="A10" s="15" t="s">
        <v>50</v>
      </c>
      <c r="B10" s="94">
        <v>10</v>
      </c>
      <c r="C10" s="95"/>
      <c r="D10" s="48" t="s">
        <v>133</v>
      </c>
      <c r="E10" s="115">
        <f>IF(ISNUMBER(SEARCH("sheet",O8,1)),((R9*T9*H8/540000)*U7/2000*1.3),((R9*T9*H8/540000)*U7/1000*1.08))</f>
        <v>182.9</v>
      </c>
      <c r="F10" s="116"/>
      <c r="G10" s="15" t="s">
        <v>52</v>
      </c>
      <c r="H10" s="119">
        <f>IF(ISNUMBER(SEARCH("sheet",O8,1)),(U7*T9/2000*1.08),(U7*T9/1000*1.08))</f>
        <v>1674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18.29</v>
      </c>
      <c r="F11" s="118"/>
      <c r="G11" s="15" t="s">
        <v>14</v>
      </c>
      <c r="H11" s="117">
        <f>H10/B10</f>
        <v>167.4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48" t="s">
        <v>70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50"/>
    </row>
    <row r="13" spans="1:25" ht="20.100000000000001" customHeight="1" x14ac:dyDescent="0.25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10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5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30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52"/>
      <c r="Y16" s="153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30</v>
      </c>
      <c r="V17" s="95"/>
      <c r="W17" s="15" t="str">
        <f>IF(ISNUMBER(SEARCH("roll",O8,1)),"Total Rolls","Total Ctns")</f>
        <v>Total Rolls</v>
      </c>
      <c r="X17" s="152"/>
      <c r="Y17" s="153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52"/>
      <c r="Y18" s="153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3" t="s">
        <v>86</v>
      </c>
      <c r="H23" s="34"/>
      <c r="I23" s="62"/>
      <c r="J23" s="63"/>
      <c r="K23" s="62"/>
      <c r="L23" s="63"/>
      <c r="M23" s="29"/>
      <c r="N23" s="15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55" t="s">
        <v>131</v>
      </c>
      <c r="H26" s="155"/>
      <c r="I26" s="155" t="s">
        <v>130</v>
      </c>
      <c r="J26" s="155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 t="s">
        <v>200</v>
      </c>
      <c r="C27" s="7"/>
      <c r="D27" s="156">
        <v>84</v>
      </c>
      <c r="E27" s="157">
        <v>6.6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45606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45596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A24ED9-A985-4CD5-9CB7-2DD409431317}"/>
</file>

<file path=customXml/itemProps2.xml><?xml version="1.0" encoding="utf-8"?>
<ds:datastoreItem xmlns:ds="http://schemas.openxmlformats.org/officeDocument/2006/customXml" ds:itemID="{809DB459-E6AC-4D76-BA14-8E8973A75740}"/>
</file>

<file path=customXml/itemProps3.xml><?xml version="1.0" encoding="utf-8"?>
<ds:datastoreItem xmlns:ds="http://schemas.openxmlformats.org/officeDocument/2006/customXml" ds:itemID="{33FE8E42-F0D6-4A25-9698-140D346EF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2024-08-16T02:24:20Z</cp:lastPrinted>
  <dcterms:created xsi:type="dcterms:W3CDTF">2019-11-27T23:28:06Z</dcterms:created>
  <dcterms:modified xsi:type="dcterms:W3CDTF">2024-10-10T01:38:35Z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