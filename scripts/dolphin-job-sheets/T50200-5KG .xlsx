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8EAAEB9-6A24-476B-B394-C00B51CD42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B1" i="1" s="1"/>
  <c r="A24" i="1" l="1"/>
  <c r="C24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<sst xmlns="http://schemas.openxmlformats.org/spreadsheetml/2006/main" count="226" uniqueCount="168">
  <si>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</si>
  <si>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</si>
  <si>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</si>
  <si>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</si>
  <si>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</si>
  <si>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</si>
  <si>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</si>
  <si>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</si>
  <si>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</si>
  <si>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</si>
  <si>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</si>
  <si>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</si>
  <si>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</si>
  <si>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</si>
  <si>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</si>
  <si>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</si>
  <si>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</si>
  <si>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</si>
  <si>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</si>
  <si>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</si>
  <si>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</si>
  <si>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</si>
  <si>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</si>
  <si>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</si>
  <si>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</si>
  <si>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</si>
  <si>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</si>
  <si>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</si>
  <si>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</si>
  <si>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</si>
  <si>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</si>
  <si>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</si>
  <si>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</si>
  <si>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</si>
  <si>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</si>
  <si>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</si>
  <si>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</si>
  <si>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</si>
  <si>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</si>
  <si>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</si>
  <si>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</si>
  <si>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</si>
  <si>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</si>
  <si>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</si>
  <si>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</si>
  <si>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</si>
  <si>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</si>
  <si>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</si>
  <si>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</si>
  <si>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</si>
  <si>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</si>
  <si>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</si>
  <si>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</si>
  <si>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</si>
  <si>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</si>
  <si>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</si>
  <si>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</si>
  <si>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</si>
  <si>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</si>
  <si>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</si>
  <si>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</si>
  <si>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</si>
  <si>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</si>
  <si>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</si>
  <si>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</si>
  <si>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</si>
  <si>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</si>
  <si>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</si>
  <si>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</si>
  <si>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</si>
  <si>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</si>
  <si>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</si>
  <si>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</si>
  <si>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</si>
  <si>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</si>
  <si>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</si>
  <si>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</si>
  <si>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</si>
  <si>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</si>
  <si>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</si>
  <si>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</si>
  <si>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</si>
  <si>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</si>
  <si>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</si>
  <si>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</si>
  <si>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</si>
  <si>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</si>
  <si>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</si>
  <si>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</si>
  <si>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</si>
  <si>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</si>
  <si>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</si>
  <si>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</si>
  <si>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</si>
  <si>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</si>
  <si>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</si>
  <si>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</si>
  <si>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</si>
  <si>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</si>
  <si>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</si>
  <si>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</si>
  <si>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</si>
  <si>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</si>
  <si>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</si>
  <si>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</si>
  <si>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</si>
  <si>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</si>
  <si>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</si>
  <si>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</si>
  <si>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</si>
  <si>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</si>
  <si>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</si>
  <si>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</si>
  <si>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</si>
  <si>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</si>
  <si>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</si>
  <si>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</si>
  <si>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</si>
  <si>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</si>
  <si>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</si>
  <si>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</si>
  <si>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</si>
  <si>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</si>
  <si>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</si>
  <si>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</si>
  <si>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</si>
  <si>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</si>
  <si>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</si>
  <si>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</si>
  <si>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</si>
  <si>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</si>
  <si>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</si>
  <si>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</si>
  <si>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</si>
  <si>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</si>
  <si>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</si>
  <si>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</si>
  <si>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</si>
  <si>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</si>
  <si>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</si>
  <si>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</si>
  <si>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</si>
  <si>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</si>
  <si>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</si>
  <si>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</si>
  <si>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</si>
  <si>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</si>
  <si>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</si>
  <si>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</si>
  <si>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</si>
  <si>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</si>
  <si>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</si>
  <si>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</si>
  <si>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</si>
  <si>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</si>
  <si>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</si>
  <si>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</si>
  <si>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</si>
  <si>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</si>
  <si>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</si>
  <si>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</si>
  <si>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</si>
  <si>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</si>
  <si>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NEW ITEM - MUST ENSURE TUBE OPENS EASILY</t>
  </si>
  <si>
    <t>RUN @190UM</t>
  </si>
  <si>
    <t xml:space="preserve">ZONE RV </t>
  </si>
  <si>
    <t>ANTIBLOCK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</si>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</sst>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8" sqref="F28"/>
    </sheetView>
  </sheetViews>
  <sheetFormatPr defaultRowHeight="15" x14ac:dyDescent="0.25"/>
  <sheetData>
    <row r="1" spans="1:14" ht="20.100000000000001" customHeight="1" x14ac:dyDescent="0.25">
      <c r="A1" s="10" t="s">
        <v>53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T50200FALSE</v>
      </c>
      <c r="C1" s="100"/>
      <c r="D1" s="101"/>
      <c r="E1" s="10" t="s">
        <v>54</v>
      </c>
      <c r="F1" s="45" t="s">
        <v>165</v>
      </c>
      <c r="G1" s="45"/>
      <c r="H1" s="46"/>
      <c r="I1" s="10" t="s">
        <v>146</v>
      </c>
      <c r="J1" s="111">
        <f ca="1">TODAY()</f>
        <v>45427</v>
      </c>
      <c r="K1" s="111"/>
      <c r="L1" s="112"/>
    </row>
    <row r="2" spans="1:14" ht="20.100000000000001" customHeight="1" x14ac:dyDescent="0.25">
      <c r="A2" s="10" t="s">
        <v>93</v>
      </c>
      <c r="B2" s="91" t="str">
        <f>IF(B7="Tube",(ROUNDUP(E11,0)&amp;"KG"),(ROUNDUP(H11,0)&amp;"M"))</f>
        <v>3KG</v>
      </c>
      <c r="C2" s="91"/>
      <c r="D2" s="92"/>
      <c r="E2" s="10" t="s">
        <v>55</v>
      </c>
      <c r="F2" s="45">
        <v>947796</v>
      </c>
      <c r="G2" s="45"/>
      <c r="H2" s="46"/>
      <c r="I2" s="10" t="s">
        <v>56</v>
      </c>
      <c r="J2" s="113">
        <v>45434</v>
      </c>
      <c r="K2" s="45"/>
      <c r="L2" s="46"/>
    </row>
    <row r="3" spans="1:14" ht="20.100000000000001" customHeight="1" x14ac:dyDescent="0.25">
      <c r="A3" s="102" t="s">
        <v>163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156</v>
      </c>
      <c r="B7" s="45" t="s">
        <v>157</v>
      </c>
      <c r="C7" s="46"/>
      <c r="D7" s="10" t="s">
        <v>46</v>
      </c>
      <c r="E7" s="44" t="s">
        <v>130</v>
      </c>
      <c r="F7" s="44"/>
      <c r="G7" s="44"/>
      <c r="H7" s="44"/>
      <c r="I7" s="44"/>
      <c r="J7" s="95" t="s">
        <v>144</v>
      </c>
      <c r="K7" s="95"/>
      <c r="L7" s="76"/>
    </row>
    <row r="8" spans="1:14" ht="20.100000000000001" customHeight="1" x14ac:dyDescent="0.25">
      <c r="A8" s="11" t="s">
        <v>13</v>
      </c>
      <c r="B8" s="67">
        <v>50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49</v>
      </c>
      <c r="H8" s="67">
        <v>200</v>
      </c>
      <c r="I8" s="68"/>
      <c r="J8" s="10" t="s">
        <v>51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45</v>
      </c>
      <c r="B9" s="83" t="s">
        <v>162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45</v>
      </c>
      <c r="H9" s="83" t="s">
        <v>164</v>
      </c>
      <c r="I9" s="84"/>
      <c r="J9" s="10" t="s">
        <v>52</v>
      </c>
      <c r="K9" s="45" t="s">
        <v>27</v>
      </c>
      <c r="L9" s="46"/>
    </row>
    <row r="10" spans="1:14" ht="20.100000000000001" customHeight="1" x14ac:dyDescent="0.25">
      <c r="A10" s="10" t="s">
        <v>48</v>
      </c>
      <c r="B10" s="45">
        <v>15</v>
      </c>
      <c r="C10" s="46"/>
      <c r="D10" s="35" t="s">
        <v>103</v>
      </c>
      <c r="E10" s="87">
        <f>E11*B10</f>
        <v>45</v>
      </c>
      <c r="F10" s="88"/>
      <c r="G10" s="10" t="s">
        <v>50</v>
      </c>
      <c r="H10" s="91">
        <f>H11*B10</f>
        <v>2430</v>
      </c>
      <c r="I10" s="92"/>
      <c r="J10" s="10" t="s">
        <v>38</v>
      </c>
      <c r="K10" s="45" t="s">
        <v>41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104</v>
      </c>
      <c r="E11" s="89">
        <v>3</v>
      </c>
      <c r="F11" s="90"/>
      <c r="G11" s="41" t="s">
        <v>12</v>
      </c>
      <c r="H11" s="93">
        <f>E11*540000/B8/H8</f>
        <v>162</v>
      </c>
      <c r="I11" s="94"/>
      <c r="J11" s="41" t="s">
        <v>47</v>
      </c>
      <c r="K11" s="98" t="s">
        <v>41</v>
      </c>
      <c r="L11" s="99"/>
      <c r="N11"/>
    </row>
    <row r="12" spans="1:14" ht="20.100000000000001" customHeight="1" x14ac:dyDescent="0.25">
      <c r="A12" s="60"/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58</v>
      </c>
      <c r="B13" s="45" t="s">
        <v>41</v>
      </c>
      <c r="C13" s="45"/>
      <c r="D13" s="46"/>
      <c r="E13" s="13" t="s">
        <v>59</v>
      </c>
      <c r="F13" s="45" t="s">
        <v>41</v>
      </c>
      <c r="G13" s="45"/>
      <c r="H13" s="46"/>
      <c r="I13" s="10" t="s">
        <v>60</v>
      </c>
      <c r="J13" s="45" t="s">
        <v>41</v>
      </c>
      <c r="K13" s="45"/>
      <c r="L13" s="46"/>
    </row>
    <row r="14" spans="1:14" ht="20.100000000000001" customHeight="1" x14ac:dyDescent="0.3">
      <c r="A14" s="11" t="s">
        <v>57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69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70</v>
      </c>
      <c r="B16" s="45" t="s">
        <v>74</v>
      </c>
      <c r="C16" s="45"/>
      <c r="D16" s="46"/>
      <c r="E16" s="10" t="s">
        <v>71</v>
      </c>
      <c r="F16" s="100">
        <f>B10</f>
        <v>15</v>
      </c>
      <c r="G16" s="100"/>
      <c r="H16" s="101"/>
      <c r="I16" s="10" t="s">
        <v>73</v>
      </c>
      <c r="J16" s="45"/>
      <c r="K16" s="45"/>
      <c r="L16" s="46"/>
    </row>
    <row r="17" spans="1:12" ht="20.100000000000001" customHeight="1" x14ac:dyDescent="0.25">
      <c r="A17" s="72" t="s">
        <v>147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110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114</v>
      </c>
      <c r="D19" s="57"/>
      <c r="E19" s="58"/>
      <c r="F19" s="59"/>
      <c r="G19" s="9" t="s">
        <v>75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113</v>
      </c>
      <c r="D20" s="57"/>
      <c r="E20" s="58"/>
      <c r="F20" s="59"/>
      <c r="G20" s="9" t="s">
        <v>76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112</v>
      </c>
      <c r="D21" s="57"/>
      <c r="E21" s="58"/>
      <c r="F21" s="59"/>
      <c r="G21" s="9" t="s">
        <v>77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111</v>
      </c>
      <c r="D22" s="57"/>
      <c r="E22" s="58"/>
      <c r="F22" s="59"/>
      <c r="G22" s="9" t="s">
        <v>78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148</v>
      </c>
      <c r="B23" s="77"/>
      <c r="C23" s="56" t="s">
        <v>149</v>
      </c>
      <c r="D23" s="57"/>
      <c r="E23" s="58"/>
      <c r="F23" s="59"/>
      <c r="G23" s="9" t="s">
        <v>79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80</v>
      </c>
      <c r="H24" s="30"/>
      <c r="I24" s="65"/>
      <c r="J24" s="66"/>
      <c r="K24" s="65"/>
      <c r="L24" s="66"/>
    </row>
    <row r="25" spans="1:12" ht="20.100000000000001" customHeight="1" x14ac:dyDescent="0.25">
      <c r="A25" s="77" t="s">
        <v>166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9" t="s">
        <v>81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145</v>
      </c>
      <c r="C27" s="15" t="s">
        <v>85</v>
      </c>
      <c r="D27" s="16" t="s">
        <v>83</v>
      </c>
      <c r="E27" s="16" t="s">
        <v>84</v>
      </c>
      <c r="F27" s="16" t="s">
        <v>86</v>
      </c>
      <c r="G27" s="118" t="s">
        <v>102</v>
      </c>
      <c r="H27" s="118"/>
      <c r="I27" s="118" t="s">
        <v>101</v>
      </c>
      <c r="J27" s="118"/>
      <c r="K27" s="16" t="s">
        <v>87</v>
      </c>
      <c r="L27" s="16" t="s">
        <v>88</v>
      </c>
    </row>
    <row r="28" spans="1:12" ht="20.100000000000001" customHeight="1" x14ac:dyDescent="0.25">
      <c r="A28" s="15" t="s">
        <v>89</v>
      </c>
      <c r="B28" s="6" t="s">
        <v>167</v>
      </c>
      <c r="C28" s="6"/>
      <c r="D28" s="121">
        <v>14.9</v>
      </c>
      <c r="E28" s="120">
        <v>4.2</v>
      </c>
      <c r="F28" s="122">
        <v>9.6000000000000002E-2</v>
      </c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90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92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99</v>
      </c>
      <c r="B31" s="23"/>
      <c r="C31" s="21"/>
      <c r="D31" s="18" t="s">
        <v>85</v>
      </c>
      <c r="E31" s="24"/>
      <c r="F31" s="21"/>
      <c r="G31" s="20" t="s">
        <v>91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98</v>
      </c>
      <c r="B32" s="23"/>
      <c r="C32" s="21"/>
      <c r="D32" s="18" t="s">
        <v>96</v>
      </c>
      <c r="E32" s="24"/>
      <c r="F32" s="28"/>
      <c r="G32" s="18" t="s">
        <v>91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97</v>
      </c>
      <c r="B33" s="29"/>
      <c r="C33" s="27"/>
      <c r="D33" s="19" t="s">
        <v>82</v>
      </c>
      <c r="E33" s="25"/>
      <c r="F33" s="27"/>
      <c r="G33" s="19" t="s">
        <v>95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105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11</v>
      </c>
      <c r="B38" s="1" t="s">
        <v>18</v>
      </c>
      <c r="C38" s="15" t="s">
        <v>26</v>
      </c>
      <c r="D38" s="16" t="s">
        <v>104</v>
      </c>
      <c r="E38" s="16" t="s">
        <v>12</v>
      </c>
      <c r="F38" s="16" t="s">
        <v>13</v>
      </c>
      <c r="G38" s="16" t="s">
        <v>49</v>
      </c>
      <c r="H38" s="17" t="s">
        <v>14</v>
      </c>
      <c r="I38" s="17" t="s">
        <v>15</v>
      </c>
      <c r="J38" s="16" t="s">
        <v>16</v>
      </c>
      <c r="K38" s="16" t="s">
        <v>17</v>
      </c>
      <c r="L38" s="16" t="s">
        <v>19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11</v>
      </c>
      <c r="B45" s="15" t="s">
        <v>18</v>
      </c>
      <c r="C45" s="16" t="s">
        <v>104</v>
      </c>
      <c r="D45" s="16" t="s">
        <v>12</v>
      </c>
      <c r="E45" s="16" t="s">
        <v>13</v>
      </c>
      <c r="F45" s="16" t="s">
        <v>49</v>
      </c>
      <c r="G45" s="17" t="s">
        <v>14</v>
      </c>
      <c r="H45" s="17" t="s">
        <v>15</v>
      </c>
      <c r="I45" s="16" t="s">
        <v>26</v>
      </c>
      <c r="J45" s="16" t="s">
        <v>16</v>
      </c>
      <c r="K45" s="16" t="s">
        <v>17</v>
      </c>
      <c r="L45" s="16" t="s">
        <v>19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2">
    <dataValidation type="whole" operator="greaterThan" allowBlank="1" showInputMessage="1" showErrorMessage="1" sqref="H8:I8" xr:uid="{00000000-0002-0000-0000-000000000000}">
      <formula1>30</formula1>
    </dataValidation>
    <dataValidation allowBlank="1" showInputMessage="1" sqref="A3:L5" xr:uid="{3C6EBA10-310E-4F98-B0DE-5C2CF567FAE6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45458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45448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117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118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119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141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132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161</v>
      </c>
      <c r="T19" s="1"/>
      <c r="V19" s="1"/>
    </row>
    <row r="20" spans="1:23" x14ac:dyDescent="0.25">
      <c r="A20" s="40" t="s">
        <v>123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133</v>
      </c>
      <c r="T20" s="1"/>
      <c r="V20" s="1"/>
    </row>
    <row r="21" spans="1:23" x14ac:dyDescent="0.25">
      <c r="A21" s="40" t="s">
        <v>124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134</v>
      </c>
      <c r="T21" s="1"/>
      <c r="V21" s="1"/>
      <c r="W21" s="2"/>
    </row>
    <row r="22" spans="1:23" x14ac:dyDescent="0.25">
      <c r="A22" s="40" t="s">
        <v>125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126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109</v>
      </c>
      <c r="T23" s="1"/>
      <c r="V23" s="1"/>
      <c r="W23" s="2"/>
    </row>
    <row r="24" spans="1:23" x14ac:dyDescent="0.25">
      <c r="A24" s="40" t="s">
        <v>127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128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129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108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156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25</v>
      </c>
      <c r="U30" s="1"/>
      <c r="V30" s="1"/>
    </row>
    <row r="31" spans="1:23" x14ac:dyDescent="0.25">
      <c r="A31" s="5" t="s">
        <v>157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135</v>
      </c>
      <c r="U31" s="1"/>
      <c r="V31" s="1"/>
    </row>
    <row r="32" spans="1:23" x14ac:dyDescent="0.25">
      <c r="A32" s="5" t="s">
        <v>158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159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136</v>
      </c>
      <c r="U36" s="1"/>
      <c r="V36" s="1"/>
    </row>
    <row r="37" spans="1:22" x14ac:dyDescent="0.25">
      <c r="A37" s="5" t="s">
        <v>31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137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35</v>
      </c>
      <c r="U38" s="1"/>
      <c r="V38" s="1"/>
    </row>
    <row r="39" spans="1:22" x14ac:dyDescent="0.25">
      <c r="A39" s="38" t="s">
        <v>44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41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23</v>
      </c>
    </row>
    <row r="41" spans="1:22" x14ac:dyDescent="0.25">
      <c r="A41" s="5" t="s">
        <v>39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32</v>
      </c>
    </row>
    <row r="42" spans="1:22" x14ac:dyDescent="0.25">
      <c r="A42" s="5" t="s">
        <v>40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34</v>
      </c>
    </row>
    <row r="43" spans="1:22" x14ac:dyDescent="0.25">
      <c r="A43" s="5" t="s">
        <v>42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138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94</v>
      </c>
    </row>
    <row r="46" spans="1:22" x14ac:dyDescent="0.25">
      <c r="A46" s="5" t="s">
        <v>41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35</v>
      </c>
    </row>
    <row r="47" spans="1:22" x14ac:dyDescent="0.25">
      <c r="A47" s="5" t="s">
        <v>63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29</v>
      </c>
    </row>
    <row r="48" spans="1:22" x14ac:dyDescent="0.25">
      <c r="A48" s="5" t="s">
        <v>62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139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151</v>
      </c>
    </row>
    <row r="50" spans="1:20" x14ac:dyDescent="0.25">
      <c r="A50" s="38" t="s">
        <v>66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152</v>
      </c>
    </row>
    <row r="51" spans="1:20" x14ac:dyDescent="0.25">
      <c r="A51" s="5" t="s">
        <v>41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140</v>
      </c>
    </row>
    <row r="53" spans="1:20" x14ac:dyDescent="0.25">
      <c r="A53" s="5" t="s">
        <v>67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28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20</v>
      </c>
    </row>
    <row r="55" spans="1:20" x14ac:dyDescent="0.25">
      <c r="A55" s="38" t="s">
        <v>59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41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24</v>
      </c>
    </row>
    <row r="57" spans="1:20" x14ac:dyDescent="0.25">
      <c r="A57" s="5" t="s">
        <v>64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33</v>
      </c>
      <c r="O57" s="1"/>
      <c r="P57" s="1"/>
      <c r="Q57" s="1"/>
      <c r="R57" s="1"/>
      <c r="S57" s="1"/>
      <c r="T57" s="1"/>
    </row>
    <row r="58" spans="1:20" x14ac:dyDescent="0.25">
      <c r="A58" s="5" t="s">
        <v>65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30</v>
      </c>
    </row>
    <row r="59" spans="1:20" x14ac:dyDescent="0.25">
      <c r="A59" s="36"/>
    </row>
    <row r="60" spans="1:20" x14ac:dyDescent="0.25">
      <c r="A60" s="37" t="s">
        <v>60</v>
      </c>
      <c r="O60" s="1"/>
      <c r="Q60" s="1"/>
      <c r="R60" s="3"/>
      <c r="S60" s="1"/>
    </row>
    <row r="61" spans="1:20" x14ac:dyDescent="0.25">
      <c r="A61" s="36" t="s">
        <v>41</v>
      </c>
      <c r="O61" s="1"/>
      <c r="Q61" s="1"/>
      <c r="R61" s="1"/>
      <c r="S61" s="1"/>
    </row>
    <row r="62" spans="1:20" x14ac:dyDescent="0.25">
      <c r="A62" s="39" t="s">
        <v>143</v>
      </c>
      <c r="O62" s="1"/>
      <c r="Q62" s="1"/>
      <c r="R62" s="1"/>
      <c r="S62" s="1"/>
    </row>
    <row r="63" spans="1:20" x14ac:dyDescent="0.25">
      <c r="A63" s="40" t="s">
        <v>122</v>
      </c>
      <c r="O63" s="1"/>
      <c r="Q63" s="1"/>
      <c r="R63" s="1"/>
      <c r="S63" s="1"/>
      <c r="T63" s="1"/>
    </row>
    <row r="64" spans="1:20" x14ac:dyDescent="0.25">
      <c r="A64" s="40" t="s">
        <v>115</v>
      </c>
      <c r="O64" s="1"/>
      <c r="Q64" s="1"/>
      <c r="R64" s="1"/>
      <c r="S64" s="1"/>
      <c r="T64" s="1"/>
    </row>
    <row r="65" spans="1:20" x14ac:dyDescent="0.25">
      <c r="A65" s="40" t="s">
        <v>116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117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120</v>
      </c>
      <c r="N69" s="4"/>
    </row>
    <row r="70" spans="1:20" x14ac:dyDescent="0.25">
      <c r="A70" s="40" t="s">
        <v>141</v>
      </c>
    </row>
    <row r="71" spans="1:20" x14ac:dyDescent="0.25">
      <c r="A71" s="40" t="s">
        <v>121</v>
      </c>
    </row>
    <row r="72" spans="1:20" x14ac:dyDescent="0.25">
      <c r="A72" s="40" t="s">
        <v>119</v>
      </c>
    </row>
    <row r="73" spans="1:20" x14ac:dyDescent="0.25">
      <c r="A73" s="40" t="s">
        <v>120</v>
      </c>
    </row>
    <row r="74" spans="1:20" x14ac:dyDescent="0.25">
      <c r="A74" s="40" t="s">
        <v>141</v>
      </c>
    </row>
    <row r="75" spans="1:20" x14ac:dyDescent="0.25">
      <c r="A75" s="40" t="s">
        <v>121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947E0D-481F-4614-A8A3-B41CF3FC22F8}"/>
</file>

<file path=customXml/itemProps2.xml><?xml version="1.0" encoding="utf-8"?>
<ds:datastoreItem xmlns:ds="http://schemas.openxmlformats.org/officeDocument/2006/customXml" ds:itemID="{BD4D09BD-7814-46AF-A6BA-84B31EA6E32C}"/>
</file>

<file path=customXml/itemProps3.xml><?xml version="1.0" encoding="utf-8"?>
<ds:datastoreItem xmlns:ds="http://schemas.openxmlformats.org/officeDocument/2006/customXml" ds:itemID="{FB8798EC-5CD6-42A1-B9C4-E55386FFF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2024-05-01T01:15:35Z</cp:lastPrinted>
  <dcterms:created xsi:type="dcterms:W3CDTF">2019-11-27T23:28:06Z</dcterms:created>
  <dcterms:modified xsi:type="dcterms:W3CDTF">2024-05-15T05:28:33Z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