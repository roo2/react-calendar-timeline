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37A5D4B-C327-4BB9-BC30-FD6EFCF61ACA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<sst xmlns="http://schemas.openxmlformats.org/spreadsheetml/2006/main" count="307" uniqueCount="204">
  <si>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</si>
  <si>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</si>
  <si>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</si>
  <si>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</si>
  <si>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</si>
  <si>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</si>
  <si>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</si>
  <si>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</si>
  <si>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</si>
  <si>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</si>
  <si>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</si>
  <si>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</si>
  <si>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</si>
  <si>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</si>
  <si>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</si>
  <si>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</si>
  <si>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</si>
  <si>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</si>
  <si>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</si>
  <si>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</si>
  <si>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</si>
  <si>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</si>
  <si>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</si>
  <si>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</si>
  <si>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</si>
  <si>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</si>
  <si>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</si>
  <si>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</si>
  <si>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</si>
  <si>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</si>
  <si>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</si>
  <si>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</si>
  <si>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</si>
  <si>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</si>
  <si>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</si>
  <si>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</si>
  <si>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</si>
  <si>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</si>
  <si>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</si>
  <si>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</si>
  <si>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</si>
  <si>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</si>
  <si>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</si>
  <si>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</si>
  <si>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</si>
  <si>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</si>
  <si>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</si>
  <si>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</si>
  <si>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</si>
  <si>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</si>
  <si>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</si>
  <si>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</si>
  <si>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</si>
  <si>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</si>
  <si>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</si>
  <si>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</si>
  <si>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</si>
  <si>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</si>
  <si>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</si>
  <si>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</si>
  <si>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</si>
  <si>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</si>
  <si>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</si>
  <si>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</si>
  <si>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</si>
  <si>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</si>
  <si>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</si>
  <si>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</si>
  <si>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</si>
  <si>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</si>
  <si>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</si>
  <si>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</si>
  <si>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</si>
  <si>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</si>
  <si>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</si>
  <si>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</si>
  <si>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</si>
  <si>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</si>
  <si>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</si>
  <si>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</si>
  <si>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</si>
  <si>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</si>
  <si>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</si>
  <si>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</si>
  <si>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</si>
  <si>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</si>
  <si>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</si>
  <si>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</si>
  <si>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</si>
  <si>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</si>
  <si>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</si>
  <si>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</si>
  <si>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</si>
  <si>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</si>
  <si>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</si>
  <si>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</si>
  <si>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</si>
  <si>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</si>
  <si>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</si>
  <si>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</si>
  <si>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</si>
  <si>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</si>
  <si>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</si>
  <si>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</si>
  <si>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</si>
  <si>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</si>
  <si>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</si>
  <si>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</si>
  <si>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</si>
  <si>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</si>
  <si>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</si>
  <si>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</si>
  <si>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</si>
  <si>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</si>
  <si>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</si>
  <si>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</si>
  <si>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</si>
  <si>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</si>
  <si>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</si>
  <si>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</si>
  <si>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</si>
  <si>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</si>
  <si>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</si>
  <si>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</si>
  <si>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</si>
  <si>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</si>
  <si>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</si>
  <si>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</si>
  <si>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</si>
  <si>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</si>
  <si>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</si>
  <si>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</si>
  <si>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</si>
  <si>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</si>
  <si>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</si>
  <si>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</si>
  <si>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</si>
  <si>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</si>
  <si>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</si>
  <si>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</si>
  <si>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</si>
  <si>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</si>
  <si>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</si>
  <si>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</si>
  <si>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</si>
  <si>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</si>
  <si>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</si>
  <si>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</si>
  <si>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</si>
  <si>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</si>
  <si>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</si>
  <si>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</si>
  <si>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</si>
  <si>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</si>
  <si>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</si>
  <si>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</si>
  <si>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</si>
  <si>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</si>
  <si>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</si>
  <si>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</si>
  <si>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</si>
  <si>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</si>
  <si>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</si>
  <si>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</si>
  <si>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</si>
  <si>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</si>
  <si>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</si>
  <si>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</si>
  <si>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</si>
  <si>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</si>
  <si>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</si>
  <si>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</si>
  <si>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</si>
  <si>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</si>
  <si>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</si>
  <si>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</si>
  <si>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</si>
  <si>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</si>
  <si>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</si>
  <si>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</si>
  <si>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</si>
  <si>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</si>
  <si>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</si>
  <si>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</si>
  <si>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</si>
  <si>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</si>
  <si>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</si>
  <si>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</si>
  <si>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</si>
  <si>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</si>
  <si>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</si>
  <si>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</si>
  <si>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</si>
  <si>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</si>
  <si>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</si>
  <si>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CORROSION INHIBITOR</t>
  </si>
  <si>
    <t>UV</t>
  </si>
  <si>
    <t>"DAYWALK" LOGO</t>
  </si>
  <si>
    <t>DAYWALK</t>
  </si>
  <si>
    <t>PERF</t>
  </si>
  <si>
    <t>12-PVCI300770200UM</t>
  </si>
  <si>
    <r>
      <t>SHRINK FILM - MUST HAVE UV AND CORROSION INHIBITO</t>
    </r>
    <r>
      <rPr>
        <b/>
        <sz val="18"/>
        <color rgb="FFFF0000"/>
        <rFont val="Calibri"/>
        <family val="2"/>
        <scheme val="minor"/>
      </rPr>
      <t xml:space="preserve">R   .                          NOT UNDER 200UM                                                                                    </t>
    </r>
  </si>
  <si>
    <t>RE-RUN 943270</t>
  </si>
  <si>
    <t>NOT 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</si>
</sst>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7" borderId="2" xfId="0" applyFont="1" applyFill="1" applyBorder="1" applyAlignment="1" applyProtection="1">
      <alignment horizontal="center"/>
      <protection locked="0"/>
    </xf>
    <xf numFmtId="0" fontId="13" fillId="7" borderId="5" xfId="0" applyFont="1" applyFill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16" fillId="5" borderId="4" xfId="0" applyNumberFormat="1" applyFont="1" applyFill="1" applyBorder="1" applyAlignment="1" applyProtection="1">
      <alignment horizontal="center"/>
      <protection locked="0"/>
    </xf>
    <xf numFmtId="10" fontId="16" fillId="5" borderId="5" xfId="0" applyNumberFormat="1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7" borderId="2" xfId="0" applyFont="1" applyFill="1" applyBorder="1" applyAlignment="1" applyProtection="1">
      <alignment horizontal="center"/>
      <protection locked="0"/>
    </xf>
    <xf numFmtId="0" fontId="10" fillId="7" borderId="5" xfId="0" applyFont="1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5" fillId="5" borderId="6" xfId="0" applyFont="1" applyFill="1" applyBorder="1" applyAlignment="1" applyProtection="1">
      <alignment horizontal="left"/>
      <protection locked="0"/>
    </xf>
    <xf numFmtId="0" fontId="15" fillId="5" borderId="4" xfId="0" applyFont="1" applyFill="1" applyBorder="1" applyAlignment="1" applyProtection="1">
      <alignment horizontal="left"/>
      <protection locked="0"/>
    </xf>
    <xf numFmtId="0" fontId="15" fillId="5" borderId="5" xfId="0" applyFont="1" applyFill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E8" sqref="AE8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9" t="str">
        <f>O9&amp;R9&amp;IF(X8="G","G","")&amp;IF(O8="Centrefold Roll","("&amp;E8&amp;")","")&amp;T9&amp;V9&amp;C22&amp;C23&amp;C24&amp;O11&amp;R11</f>
        <v>PBR300770200WHCIUVP</v>
      </c>
      <c r="C1" s="99"/>
      <c r="D1" s="100"/>
      <c r="E1" s="16" t="s">
        <v>56</v>
      </c>
      <c r="F1" s="61" t="s">
        <v>198</v>
      </c>
      <c r="G1" s="61"/>
      <c r="H1" s="62"/>
      <c r="I1" s="16" t="s">
        <v>180</v>
      </c>
      <c r="J1" s="110">
        <f ca="1">TODAY()</f>
        <v>44875</v>
      </c>
      <c r="K1" s="110"/>
      <c r="L1" s="111"/>
      <c r="M1" s="30"/>
      <c r="N1" s="16" t="s">
        <v>55</v>
      </c>
      <c r="O1" s="99" t="str">
        <f>B1</f>
        <v>PBR300770200WHCIUVP</v>
      </c>
      <c r="P1" s="99"/>
      <c r="Q1" s="100"/>
      <c r="R1" s="16" t="s">
        <v>56</v>
      </c>
      <c r="S1" s="99" t="str">
        <f>F1</f>
        <v>DAYWALK</v>
      </c>
      <c r="T1" s="99"/>
      <c r="U1" s="100"/>
      <c r="V1" s="16" t="s">
        <v>180</v>
      </c>
      <c r="W1" s="110">
        <f ca="1">J1</f>
        <v>44875</v>
      </c>
      <c r="X1" s="110"/>
      <c r="Y1" s="111"/>
    </row>
    <row r="2" spans="1:25" ht="20.149999999999999" customHeight="1" x14ac:dyDescent="0.8">
      <c r="A2" s="16" t="s">
        <v>99</v>
      </c>
      <c r="B2" s="99" t="str">
        <f>IF(U10="","",U10)</f>
        <v>12-PVCI300770200UM</v>
      </c>
      <c r="C2" s="99"/>
      <c r="D2" s="100"/>
      <c r="E2" s="16" t="s">
        <v>57</v>
      </c>
      <c r="F2" s="61" t="s">
        <v>202</v>
      </c>
      <c r="G2" s="61"/>
      <c r="H2" s="62"/>
      <c r="I2" s="16" t="s">
        <v>58</v>
      </c>
      <c r="J2" s="120" t="s">
        <v>192</v>
      </c>
      <c r="K2" s="120"/>
      <c r="L2" s="121"/>
      <c r="M2" s="30"/>
      <c r="N2" s="16" t="s">
        <v>99</v>
      </c>
      <c r="O2" s="99" t="str">
        <f>IF(B2="","",B2)</f>
        <v>12-PVCI300770200UM</v>
      </c>
      <c r="P2" s="99"/>
      <c r="Q2" s="100"/>
      <c r="R2" s="16" t="s">
        <v>57</v>
      </c>
      <c r="S2" s="99" t="str">
        <f>IF(F2="","",F2)</f>
        <v>RE-RUN 943270</v>
      </c>
      <c r="T2" s="99"/>
      <c r="U2" s="100"/>
      <c r="V2" s="16" t="s">
        <v>58</v>
      </c>
      <c r="W2" s="112" t="str">
        <f>J2</f>
        <v>ASAP</v>
      </c>
      <c r="X2" s="99"/>
      <c r="Y2" s="100"/>
    </row>
    <row r="3" spans="1:25" ht="20.149999999999999" customHeight="1" x14ac:dyDescent="0.75">
      <c r="A3" s="101" t="s">
        <v>201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  <c r="M3" s="30"/>
      <c r="N3" s="101" t="str">
        <f>A3</f>
        <v xml:space="preserve">SHRINK FILM - MUST HAVE UV AND CORROSION INHIBITOR   .                          NOT UNDER 200UM                                                                                    </v>
      </c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3"/>
    </row>
    <row r="4" spans="1:25" ht="20.149999999999999" customHeight="1" x14ac:dyDescent="0.75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6"/>
      <c r="M4" s="30"/>
      <c r="N4" s="104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6"/>
    </row>
    <row r="5" spans="1:25" ht="20.149999999999999" customHeight="1" x14ac:dyDescent="0.7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  <c r="M5" s="30"/>
      <c r="N5" s="107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9"/>
    </row>
    <row r="6" spans="1:25" ht="20.149999999999999" customHeight="1" x14ac:dyDescent="0.75">
      <c r="A6" s="134" t="s">
        <v>1</v>
      </c>
      <c r="B6" s="135"/>
      <c r="C6" s="135"/>
      <c r="D6" s="135"/>
      <c r="E6" s="135"/>
      <c r="F6" s="135"/>
      <c r="G6" s="135"/>
      <c r="H6" s="135"/>
      <c r="I6" s="135"/>
      <c r="J6" s="80"/>
      <c r="K6" s="80"/>
      <c r="L6" s="81"/>
      <c r="M6" s="30"/>
      <c r="N6" s="115" t="s">
        <v>1</v>
      </c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7"/>
    </row>
    <row r="7" spans="1:25" ht="20.149999999999999" customHeight="1" x14ac:dyDescent="0.9">
      <c r="A7" s="16" t="s">
        <v>48</v>
      </c>
      <c r="B7" s="97" t="s">
        <v>154</v>
      </c>
      <c r="C7" s="97"/>
      <c r="D7" s="97"/>
      <c r="E7" s="97"/>
      <c r="F7" s="97"/>
      <c r="G7" s="97"/>
      <c r="H7" s="97"/>
      <c r="I7" s="98"/>
      <c r="J7" s="91" t="s">
        <v>178</v>
      </c>
      <c r="K7" s="91"/>
      <c r="L7" s="92"/>
      <c r="M7" s="30"/>
      <c r="N7" s="16" t="str">
        <f>IF(ISNUMBER(SEARCH("roll",O8,1)),"No. Rolls","No. Cartons")</f>
        <v>No. Rolls</v>
      </c>
      <c r="O7" s="61">
        <v>10</v>
      </c>
      <c r="P7" s="62"/>
      <c r="Q7" s="16" t="str">
        <f>IF(ISNUMBER(SEARCH("roll",O8,1)),"Per Roll","Per Carton")</f>
        <v>Per Roll</v>
      </c>
      <c r="R7" s="61">
        <v>110</v>
      </c>
      <c r="S7" s="62"/>
      <c r="T7" s="16" t="str">
        <f>IF(ISNUMBER(SEARCH("bag",O8,1)),"Total Bags","Total Sheets")</f>
        <v>Total Bags</v>
      </c>
      <c r="U7" s="99">
        <f>R7*O7</f>
        <v>1100</v>
      </c>
      <c r="V7" s="100"/>
      <c r="W7" s="16" t="s">
        <v>101</v>
      </c>
      <c r="X7" s="61" t="s">
        <v>22</v>
      </c>
      <c r="Y7" s="62"/>
    </row>
    <row r="8" spans="1:25" ht="20.149999999999999" customHeight="1" x14ac:dyDescent="0.8">
      <c r="A8" s="17" t="s">
        <v>15</v>
      </c>
      <c r="B8" s="118">
        <f>R9</f>
        <v>300</v>
      </c>
      <c r="C8" s="119"/>
      <c r="D8" s="20" t="str">
        <f>IF(ISNUMBER(SEARCH("bag",#REF!,1)),"Gusset","Centrefold")</f>
        <v>Centrefold</v>
      </c>
      <c r="E8" s="118" t="str">
        <f>IF(O8="Centrefold Roll",B8*2,IF(X9="","None",X9))</f>
        <v>None</v>
      </c>
      <c r="F8" s="119"/>
      <c r="G8" s="17" t="s">
        <v>51</v>
      </c>
      <c r="H8" s="118">
        <f>(IF(V9&lt;30,"30",V9))</f>
        <v>200</v>
      </c>
      <c r="I8" s="119"/>
      <c r="J8" s="16" t="s">
        <v>53</v>
      </c>
      <c r="K8" s="99" t="str">
        <f>IF(X8="None","Layflat Tube",IF(X8="","Layflat Tube",IF(X8="CF","Layflat Tube",IF(X8="G","Gusset Tube",IF(X9="","Layflat Tube",)))))</f>
        <v>Layflat Tube</v>
      </c>
      <c r="L8" s="100"/>
      <c r="M8" s="30"/>
      <c r="N8" s="18" t="s">
        <v>53</v>
      </c>
      <c r="O8" s="128" t="s">
        <v>164</v>
      </c>
      <c r="P8" s="129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13" t="str">
        <f>IF(AND(W8="Gusset",X9=""), "None",IF(AND(W8="Centrefold",X9=""),"None",IF(W8="Gusset","G",IF(W8="Centrefold","CF"))))</f>
        <v>None</v>
      </c>
      <c r="Y8" s="114"/>
    </row>
    <row r="9" spans="1:25" ht="20.149999999999999" customHeight="1" x14ac:dyDescent="0.9">
      <c r="A9" s="21" t="s">
        <v>47</v>
      </c>
      <c r="B9" s="136" t="s">
        <v>194</v>
      </c>
      <c r="C9" s="137"/>
      <c r="D9" s="96" t="str">
        <f>IF(K10="Middle","RUN 2 UP",IF(AND(O8="Centrefold Roll",B8=380),"RUN 2 UP",""))</f>
        <v/>
      </c>
      <c r="E9" s="97"/>
      <c r="F9" s="98"/>
      <c r="G9" s="21" t="s">
        <v>47</v>
      </c>
      <c r="H9" s="136" t="s">
        <v>203</v>
      </c>
      <c r="I9" s="137"/>
      <c r="J9" s="16" t="s">
        <v>54</v>
      </c>
      <c r="K9" s="61" t="s">
        <v>29</v>
      </c>
      <c r="L9" s="62"/>
      <c r="M9" s="30"/>
      <c r="N9" s="22"/>
      <c r="O9" s="144" t="str">
        <f>IF(O8="Poly Bag","PB",IF(O8="Poly Bag Roll","PBR",IF(O8="Centrefold Roll","CFR",IF(O8="Sheet","S",IF(O8="Sheet Roll","SR")))))</f>
        <v>PBR</v>
      </c>
      <c r="P9" s="145"/>
      <c r="Q9" s="22"/>
      <c r="R9" s="31">
        <v>300</v>
      </c>
      <c r="S9" s="23" t="s">
        <v>77</v>
      </c>
      <c r="T9" s="31">
        <v>770</v>
      </c>
      <c r="U9" s="23" t="s">
        <v>77</v>
      </c>
      <c r="V9" s="31">
        <v>200</v>
      </c>
      <c r="W9" s="22"/>
      <c r="X9" s="126"/>
      <c r="Y9" s="127"/>
    </row>
    <row r="10" spans="1:25" ht="20.149999999999999" customHeight="1" x14ac:dyDescent="0.8">
      <c r="A10" s="16" t="s">
        <v>50</v>
      </c>
      <c r="B10" s="61">
        <v>14</v>
      </c>
      <c r="C10" s="62"/>
      <c r="D10" s="49" t="s">
        <v>133</v>
      </c>
      <c r="E10" s="138">
        <f>IF(ISNUMBER(SEARCH("sheet",O8,1)),((R9*T9*H8/540000)*U7/2000*1.3),((R9*T9*H8/540000)*U7/1000*1.08))</f>
        <v>101.64000000000001</v>
      </c>
      <c r="F10" s="139"/>
      <c r="G10" s="16" t="s">
        <v>52</v>
      </c>
      <c r="H10" s="142">
        <f>IF(ISNUMBER(SEARCH("sheet",O8,1)),(U7*T9/2000*1.08),(U7*T9/1000*1.08))</f>
        <v>914.7600000000001</v>
      </c>
      <c r="I10" s="143"/>
      <c r="J10" s="16" t="s">
        <v>40</v>
      </c>
      <c r="K10" s="61" t="s">
        <v>43</v>
      </c>
      <c r="L10" s="62"/>
      <c r="M10" s="30"/>
      <c r="N10" s="18" t="s">
        <v>140</v>
      </c>
      <c r="O10" s="128" t="s">
        <v>43</v>
      </c>
      <c r="P10" s="129"/>
      <c r="Q10" s="18" t="s">
        <v>49</v>
      </c>
      <c r="R10" s="113" t="str">
        <f>IF(K11="NONE","None",IF(K11="INLINE","Yes",IF(K11="OUT OF LINE","Yes")))</f>
        <v>Yes</v>
      </c>
      <c r="S10" s="113"/>
      <c r="T10" s="18" t="s">
        <v>99</v>
      </c>
      <c r="U10" s="122" t="s">
        <v>200</v>
      </c>
      <c r="V10" s="122"/>
      <c r="W10" s="122"/>
      <c r="X10" s="122"/>
      <c r="Y10" s="123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9" t="str">
        <f>IF(AND(O8="Centrefold Roll",D9="RUN 2 UP"),B10*2,IF(ISNUMBER(SEARCH("sheet",O8,1)),B10*2,""))</f>
        <v/>
      </c>
      <c r="C11" s="100"/>
      <c r="D11" s="16" t="s">
        <v>134</v>
      </c>
      <c r="E11" s="140">
        <f>E10/B10</f>
        <v>7.2600000000000007</v>
      </c>
      <c r="F11" s="141"/>
      <c r="G11" s="16" t="s">
        <v>14</v>
      </c>
      <c r="H11" s="140">
        <f>H10/B10</f>
        <v>65.34</v>
      </c>
      <c r="I11" s="141"/>
      <c r="J11" s="16" t="s">
        <v>49</v>
      </c>
      <c r="K11" s="61" t="s">
        <v>63</v>
      </c>
      <c r="L11" s="62"/>
      <c r="M11" s="30"/>
      <c r="N11" s="17"/>
      <c r="O11" s="118" t="str">
        <f>IF(O10="NONE","","V")</f>
        <v/>
      </c>
      <c r="P11" s="119"/>
      <c r="Q11" s="17"/>
      <c r="R11" s="118" t="str">
        <f>IF(R10="None","","P")</f>
        <v>P</v>
      </c>
      <c r="S11" s="118"/>
      <c r="T11" s="17"/>
      <c r="U11" s="124"/>
      <c r="V11" s="124"/>
      <c r="W11" s="124"/>
      <c r="X11" s="124"/>
      <c r="Y11" s="125"/>
    </row>
    <row r="12" spans="1:25" ht="20.149999999999999" customHeight="1" x14ac:dyDescent="0.75">
      <c r="A12" s="132" t="s">
        <v>12</v>
      </c>
      <c r="B12" s="133"/>
      <c r="C12" s="133"/>
      <c r="D12" s="133"/>
      <c r="E12" s="66"/>
      <c r="F12" s="66"/>
      <c r="G12" s="66"/>
      <c r="H12" s="66"/>
      <c r="I12" s="66"/>
      <c r="J12" s="66"/>
      <c r="K12" s="66"/>
      <c r="L12" s="67"/>
      <c r="M12" s="30"/>
      <c r="N12" s="93" t="s">
        <v>70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5"/>
    </row>
    <row r="13" spans="1:25" ht="20.149999999999999" customHeight="1" x14ac:dyDescent="0.8">
      <c r="A13" s="16" t="s">
        <v>67</v>
      </c>
      <c r="B13" s="130" t="s">
        <v>69</v>
      </c>
      <c r="C13" s="130"/>
      <c r="D13" s="131"/>
      <c r="E13" s="24" t="s">
        <v>60</v>
      </c>
      <c r="F13" s="130" t="s">
        <v>65</v>
      </c>
      <c r="G13" s="130"/>
      <c r="H13" s="131"/>
      <c r="I13" s="16" t="s">
        <v>61</v>
      </c>
      <c r="J13" s="61" t="s">
        <v>176</v>
      </c>
      <c r="K13" s="61"/>
      <c r="L13" s="62"/>
      <c r="M13" s="30"/>
      <c r="N13" s="16" t="s">
        <v>71</v>
      </c>
      <c r="O13" s="32" t="s">
        <v>56</v>
      </c>
      <c r="P13" s="16" t="s">
        <v>72</v>
      </c>
      <c r="Q13" s="25">
        <f>O7</f>
        <v>10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 t="s">
        <v>197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90" t="s">
        <v>107</v>
      </c>
      <c r="O15" s="91"/>
      <c r="P15" s="92"/>
      <c r="Q15" s="90" t="s">
        <v>106</v>
      </c>
      <c r="R15" s="91"/>
      <c r="S15" s="92"/>
      <c r="T15" s="90" t="s">
        <v>117</v>
      </c>
      <c r="U15" s="91"/>
      <c r="V15" s="92"/>
      <c r="W15" s="90" t="s">
        <v>116</v>
      </c>
      <c r="X15" s="91"/>
      <c r="Y15" s="92"/>
    </row>
    <row r="16" spans="1:25" ht="20.149999999999999" customHeight="1" x14ac:dyDescent="0.8">
      <c r="A16" s="90" t="s">
        <v>2</v>
      </c>
      <c r="B16" s="92"/>
      <c r="C16" s="90" t="s">
        <v>141</v>
      </c>
      <c r="D16" s="92"/>
      <c r="E16" s="90" t="s">
        <v>3</v>
      </c>
      <c r="F16" s="92"/>
      <c r="G16" s="90" t="s">
        <v>4</v>
      </c>
      <c r="H16" s="92"/>
      <c r="I16" s="90" t="s">
        <v>10</v>
      </c>
      <c r="J16" s="92"/>
      <c r="K16" s="91" t="s">
        <v>11</v>
      </c>
      <c r="L16" s="92"/>
      <c r="M16" s="30"/>
      <c r="N16" s="16" t="s">
        <v>27</v>
      </c>
      <c r="O16" s="61"/>
      <c r="P16" s="62"/>
      <c r="Q16" s="16" t="s">
        <v>104</v>
      </c>
      <c r="R16" s="61" t="s">
        <v>30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51"/>
      <c r="J17" s="152"/>
      <c r="K17" s="151"/>
      <c r="L17" s="152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30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51"/>
      <c r="J18" s="152"/>
      <c r="K18" s="151"/>
      <c r="L18" s="152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51"/>
      <c r="J19" s="152"/>
      <c r="K19" s="151"/>
      <c r="L19" s="152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51"/>
      <c r="J20" s="152"/>
      <c r="K20" s="151"/>
      <c r="L20" s="152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51"/>
      <c r="J21" s="152"/>
      <c r="K21" s="151"/>
      <c r="L21" s="152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>WHITE</v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7"/>
      <c r="E22" s="83">
        <v>0.04</v>
      </c>
      <c r="F22" s="84"/>
      <c r="G22" s="34" t="s">
        <v>85</v>
      </c>
      <c r="H22" s="35"/>
      <c r="I22" s="151"/>
      <c r="J22" s="152"/>
      <c r="K22" s="151"/>
      <c r="L22" s="152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46" t="s">
        <v>195</v>
      </c>
      <c r="B23" s="146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CI</v>
      </c>
      <c r="D23" s="87"/>
      <c r="E23" s="88">
        <v>0.03</v>
      </c>
      <c r="F23" s="89"/>
      <c r="G23" s="34" t="s">
        <v>86</v>
      </c>
      <c r="H23" s="35"/>
      <c r="I23" s="151"/>
      <c r="J23" s="152"/>
      <c r="K23" s="151"/>
      <c r="L23" s="152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7" t="s">
        <v>196</v>
      </c>
      <c r="B24" s="148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UV</v>
      </c>
      <c r="D24" s="87"/>
      <c r="E24" s="88">
        <v>0.02</v>
      </c>
      <c r="F24" s="89"/>
      <c r="G24" s="34" t="s">
        <v>87</v>
      </c>
      <c r="H24" s="35"/>
      <c r="I24" s="151"/>
      <c r="J24" s="152"/>
      <c r="K24" s="151"/>
      <c r="L24" s="152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 t="s">
        <v>199</v>
      </c>
      <c r="P25" s="36"/>
      <c r="Q25" s="10">
        <v>21</v>
      </c>
      <c r="R25" s="10">
        <v>10</v>
      </c>
      <c r="S25" s="10"/>
      <c r="T25" s="10">
        <v>9</v>
      </c>
      <c r="U25" s="10"/>
      <c r="V25" s="10">
        <v>3</v>
      </c>
      <c r="W25" s="10">
        <v>220</v>
      </c>
      <c r="X25" s="10">
        <v>220</v>
      </c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50"/>
      <c r="H27" s="150"/>
      <c r="I27" s="150"/>
      <c r="J27" s="150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50"/>
      <c r="H28" s="150"/>
      <c r="I28" s="150"/>
      <c r="J28" s="150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32" t="s">
        <v>98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4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5" t="s">
        <v>135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44905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44896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DFE842C-175D-4E3D-ADE5-755D3F0EEECD}"/>
</file>

<file path=customXml/itemProps2.xml><?xml version="1.0" encoding="utf-8"?>
<ds:datastoreItem xmlns:ds="http://schemas.openxmlformats.org/officeDocument/2006/customXml" ds:itemID="{36EB376C-A638-4FD8-B5CB-066695DE9870}"/>
</file>

<file path=customXml/itemProps3.xml><?xml version="1.0" encoding="utf-8"?>
<ds:datastoreItem xmlns:ds="http://schemas.openxmlformats.org/officeDocument/2006/customXml" ds:itemID="{4E8DFD59-2A7A-4359-9C49-E0561216F2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2022-11-10T00:16:55Z</cp:lastPrinted>
  <dcterms:created xsi:type="dcterms:W3CDTF">2019-11-27T23:28:06Z</dcterms:created>
  <dcterms:modified xsi:type="dcterms:W3CDTF">2022-11-10T02:42:39Z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