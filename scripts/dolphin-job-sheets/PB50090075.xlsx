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6DA4C626-8173-49FC-ADD5-61DE8181C9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<sst xmlns="http://schemas.openxmlformats.org/spreadsheetml/2006/main" count="303" uniqueCount="199">
  <si>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</si>
  <si>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</si>
  <si>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</si>
  <si>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</si>
  <si>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</si>
  <si>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</si>
  <si>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</si>
  <si>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</si>
  <si>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</si>
  <si>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</si>
  <si>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</si>
  <si>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</si>
  <si>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</si>
  <si>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</si>
  <si>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</si>
  <si>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</si>
  <si>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</si>
  <si>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</si>
  <si>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</si>
  <si>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</si>
  <si>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</si>
  <si>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</si>
  <si>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</si>
  <si>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</si>
  <si>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</si>
  <si>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</si>
  <si>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</si>
  <si>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</si>
  <si>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</si>
  <si>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</si>
  <si>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</si>
  <si>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</si>
  <si>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</si>
  <si>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</si>
  <si>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</si>
  <si>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</si>
  <si>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</si>
  <si>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</si>
  <si>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</si>
  <si>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</si>
  <si>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</si>
  <si>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</si>
  <si>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</si>
  <si>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</si>
  <si>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</si>
  <si>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</si>
  <si>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</si>
  <si>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</si>
  <si>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</si>
  <si>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</si>
  <si>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</si>
  <si>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</si>
  <si>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</si>
  <si>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</si>
  <si>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</si>
  <si>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</si>
  <si>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</si>
  <si>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</si>
  <si>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</si>
  <si>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</si>
  <si>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</si>
  <si>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</si>
  <si>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</si>
  <si>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</si>
  <si>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</si>
  <si>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</si>
  <si>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</si>
  <si>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</si>
  <si>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</si>
  <si>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</si>
  <si>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</si>
  <si>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</si>
  <si>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</si>
  <si>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</si>
  <si>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</si>
  <si>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</si>
  <si>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</si>
  <si>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</si>
  <si>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</si>
  <si>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</si>
  <si>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</si>
  <si>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</si>
  <si>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</si>
  <si>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</si>
  <si>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</si>
  <si>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</si>
  <si>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</si>
  <si>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</si>
  <si>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</si>
  <si>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</si>
  <si>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</si>
  <si>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</si>
  <si>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</si>
  <si>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</si>
  <si>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</si>
  <si>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</si>
  <si>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</si>
  <si>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</si>
  <si>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</si>
  <si>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</si>
  <si>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</si>
  <si>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</si>
  <si>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</si>
  <si>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</si>
  <si>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</si>
  <si>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</si>
  <si>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</si>
  <si>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</si>
  <si>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</si>
  <si>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</si>
  <si>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</si>
  <si>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</si>
  <si>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</si>
  <si>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</si>
  <si>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</si>
  <si>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</si>
  <si>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</si>
  <si>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</si>
  <si>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</si>
  <si>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</si>
  <si>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</si>
  <si>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</si>
  <si>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</si>
  <si>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</si>
  <si>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</si>
  <si>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</si>
  <si>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</si>
  <si>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</si>
  <si>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</si>
  <si>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</si>
  <si>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</si>
  <si>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</si>
  <si>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</si>
  <si>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</si>
  <si>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</si>
  <si>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</si>
  <si>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</si>
  <si>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</si>
  <si>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</si>
  <si>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</si>
  <si>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</si>
  <si>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</si>
  <si>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</si>
  <si>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</si>
  <si>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</si>
  <si>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</si>
  <si>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</si>
  <si>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</si>
  <si>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</si>
  <si>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</si>
  <si>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</si>
  <si>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</si>
  <si>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</si>
  <si>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</si>
  <si>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</si>
  <si>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</si>
  <si>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</si>
  <si>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</si>
  <si>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</si>
  <si>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</si>
  <si>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</si>
  <si>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</si>
  <si>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</si>
  <si>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</si>
  <si>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</si>
  <si>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</si>
  <si>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</si>
  <si>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</si>
  <si>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</si>
  <si>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</si>
  <si>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</si>
  <si>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</si>
  <si>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</si>
  <si>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</si>
  <si>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</si>
  <si>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</si>
  <si>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</si>
  <si>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</si>
  <si>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</si>
  <si>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</si>
  <si>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</si>
  <si>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</si>
  <si>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</si>
  <si>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</si>
  <si>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</si>
  <si>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</si>
  <si>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</si>
  <si>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</si>
  <si>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</si>
  <si>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</si>
  <si>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</si>
  <si>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</si>
  <si>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</si>
  <si>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</si>
  <si>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</si>
  <si>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MUST HAVE GOODS SEALS - NO LEAKS</t>
  </si>
  <si>
    <t xml:space="preserve">LIMAX </t>
  </si>
  <si>
    <t>SMART CRETE FLOORS</t>
  </si>
  <si>
    <t>RUN AT 70um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</si>
</sst>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PB50090075</v>
      </c>
      <c r="C1" s="122"/>
      <c r="D1" s="123"/>
      <c r="E1" s="12" t="s">
        <v>57</v>
      </c>
      <c r="F1" s="133" t="s">
        <v>197</v>
      </c>
      <c r="G1" s="133"/>
      <c r="H1" s="134"/>
      <c r="I1" s="13" t="s">
        <v>181</v>
      </c>
      <c r="J1" s="95">
        <f ca="1">TODAY()</f>
        <v>44131</v>
      </c>
      <c r="K1" s="95"/>
      <c r="L1" s="96"/>
      <c r="M1" s="34"/>
      <c r="N1" s="12" t="s">
        <v>56</v>
      </c>
      <c r="O1" s="122" t="str">
        <f>B1</f>
        <v>PB50090075</v>
      </c>
      <c r="P1" s="122"/>
      <c r="Q1" s="123"/>
      <c r="R1" s="12" t="s">
        <v>57</v>
      </c>
      <c r="S1" s="122" t="str">
        <f>F1</f>
        <v>SMART CRETE FLOORS</v>
      </c>
      <c r="T1" s="122"/>
      <c r="U1" s="123"/>
      <c r="V1" s="12" t="s">
        <v>181</v>
      </c>
      <c r="W1" s="95">
        <f ca="1">J1</f>
        <v>44131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938794</v>
      </c>
      <c r="G2" s="98"/>
      <c r="H2" s="99"/>
      <c r="I2" s="12" t="s">
        <v>59</v>
      </c>
      <c r="J2" s="97">
        <v>44167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938794</v>
      </c>
      <c r="T2" s="122"/>
      <c r="U2" s="123"/>
      <c r="V2" s="12" t="s">
        <v>59</v>
      </c>
      <c r="W2" s="135">
        <f>J2</f>
        <v>44167</v>
      </c>
      <c r="X2" s="122"/>
      <c r="Y2" s="123"/>
    </row>
    <row r="3" spans="1:28" ht="20.100000000000001" customHeight="1" x14ac:dyDescent="0.25">
      <c r="A3" s="124" t="s">
        <v>195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MUST HAVE GOODS SEALS - NO LEAKS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33</v>
      </c>
      <c r="P7" s="99"/>
      <c r="Q7" s="12" t="str">
        <f>IF(ISNUMBER(SEARCH("roll",O8,1)),"Per Roll","Per Carton")</f>
        <v>Per Carton</v>
      </c>
      <c r="R7" s="98">
        <v>150</v>
      </c>
      <c r="S7" s="99"/>
      <c r="T7" s="12" t="str">
        <f>IF(ISNUMBER(SEARCH("bag",O8,1)),"Total Bags","Total Sheets")</f>
        <v>Total Bags</v>
      </c>
      <c r="U7" s="122">
        <f>R7*O7</f>
        <v>4950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500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75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198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500</v>
      </c>
      <c r="S9" s="20" t="s">
        <v>78</v>
      </c>
      <c r="T9" s="35">
        <v>900</v>
      </c>
      <c r="U9" s="20" t="s">
        <v>78</v>
      </c>
      <c r="V9" s="35">
        <v>75</v>
      </c>
      <c r="W9" s="19"/>
      <c r="X9" s="151"/>
      <c r="Y9" s="152"/>
    </row>
    <row r="10" spans="1:28" ht="20.100000000000001" customHeight="1" x14ac:dyDescent="0.25">
      <c r="A10" s="12" t="s">
        <v>51</v>
      </c>
      <c r="B10" s="98">
        <v>10</v>
      </c>
      <c r="C10" s="99"/>
      <c r="D10" s="54" t="s">
        <v>134</v>
      </c>
      <c r="E10" s="112">
        <f>IF(ISNUMBER(SEARCH("sheet",O8,1)),((R9*T9*H8/540000)*U7/2000*1.3),((R9*T9*H8/540000)*U7/1000*1.08))</f>
        <v>334.125</v>
      </c>
      <c r="F10" s="113"/>
      <c r="G10" s="12" t="s">
        <v>53</v>
      </c>
      <c r="H10" s="116">
        <f>IF(ISNUMBER(SEARCH("sheet",O8,1)),(U7*T9/2000*1.08),(U7*T9/1000*1.08))</f>
        <v>4811.4000000000005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33.412500000000001</v>
      </c>
      <c r="F11" s="115"/>
      <c r="G11" s="12" t="s">
        <v>15</v>
      </c>
      <c r="H11" s="114">
        <f>H10/B10</f>
        <v>481.14000000000004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33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180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196</v>
      </c>
      <c r="P25" s="39"/>
      <c r="Q25" s="10">
        <v>24</v>
      </c>
      <c r="R25" s="10"/>
      <c r="S25" s="10"/>
      <c r="T25" s="10"/>
      <c r="U25" s="10"/>
      <c r="V25" s="10"/>
      <c r="W25" s="10">
        <v>17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44162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44152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AAB36A2-3412-4C19-86F8-730A3AD7B1B4}"/>
</file>

<file path=customXml/itemProps2.xml><?xml version="1.0" encoding="utf-8"?>
<ds:datastoreItem xmlns:ds="http://schemas.openxmlformats.org/officeDocument/2006/customXml" ds:itemID="{B3FD98B3-6AAD-434A-96BF-A9ECCEB997BC}"/>
</file>

<file path=customXml/itemProps3.xml><?xml version="1.0" encoding="utf-8"?>
<ds:datastoreItem xmlns:ds="http://schemas.openxmlformats.org/officeDocument/2006/customXml" ds:itemID="{3836D1A5-30FA-432A-B986-7F7EA2118B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2020-10-27T00:44:51Z</cp:lastPrinted>
  <dcterms:created xsi:type="dcterms:W3CDTF">2019-11-27T23:28:06Z</dcterms:created>
  <dcterms:modified xsi:type="dcterms:W3CDTF">2020-10-27T00:49:15Z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