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77921C1-E3AF-419B-BA02-51A48EB2D2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<sst xmlns="http://schemas.openxmlformats.org/spreadsheetml/2006/main" count="301" uniqueCount="199">
  <si>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</si>
  <si>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</si>
  <si>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</si>
  <si>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</si>
  <si>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</si>
  <si>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</si>
  <si>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</si>
  <si>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</si>
  <si>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</si>
  <si>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</si>
  <si>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</si>
  <si>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</si>
  <si>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</si>
  <si>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</si>
  <si>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</si>
  <si>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</si>
  <si>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</si>
  <si>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</si>
  <si>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</si>
  <si>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</si>
  <si>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</si>
  <si>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</si>
  <si>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</si>
  <si>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</si>
  <si>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</si>
  <si>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</si>
  <si>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</si>
  <si>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</si>
  <si>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</si>
  <si>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</si>
  <si>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</si>
  <si>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</si>
  <si>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</si>
  <si>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</si>
  <si>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</si>
  <si>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</si>
  <si>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</si>
  <si>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</si>
  <si>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</si>
  <si>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</si>
  <si>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</si>
  <si>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</si>
  <si>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</si>
  <si>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</si>
  <si>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</si>
  <si>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</si>
  <si>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</si>
  <si>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</si>
  <si>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</si>
  <si>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</si>
  <si>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</si>
  <si>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</si>
  <si>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</si>
  <si>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</si>
  <si>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</si>
  <si>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</si>
  <si>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</si>
  <si>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</si>
  <si>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</si>
  <si>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</si>
  <si>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</si>
  <si>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</si>
  <si>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</si>
  <si>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</si>
  <si>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</si>
  <si>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</si>
  <si>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</si>
  <si>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</si>
  <si>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</si>
  <si>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</si>
  <si>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</si>
  <si>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</si>
  <si>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</si>
  <si>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</si>
  <si>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</si>
  <si>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</si>
  <si>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</si>
  <si>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</si>
  <si>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</si>
  <si>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</si>
  <si>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</si>
  <si>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</si>
  <si>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</si>
  <si>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</si>
  <si>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</si>
  <si>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</si>
  <si>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</si>
  <si>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</si>
  <si>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</si>
  <si>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</si>
  <si>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</si>
  <si>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</si>
  <si>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</si>
  <si>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</si>
  <si>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</si>
  <si>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</si>
  <si>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</si>
  <si>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</si>
  <si>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</si>
  <si>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</si>
  <si>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</si>
  <si>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</si>
  <si>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</si>
  <si>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</si>
  <si>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</si>
  <si>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</si>
  <si>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</si>
  <si>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</si>
  <si>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</si>
  <si>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</si>
  <si>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</si>
  <si>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</si>
  <si>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</si>
  <si>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</si>
  <si>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</si>
  <si>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</si>
  <si>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</si>
  <si>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</si>
  <si>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</si>
  <si>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</si>
  <si>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</si>
  <si>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</si>
  <si>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</si>
  <si>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</si>
  <si>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</si>
  <si>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</si>
  <si>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</si>
  <si>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</si>
  <si>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</si>
  <si>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</si>
  <si>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</si>
  <si>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</si>
  <si>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</si>
  <si>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</si>
  <si>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</si>
  <si>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</si>
  <si>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</si>
  <si>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</si>
  <si>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</si>
  <si>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</si>
  <si>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</si>
  <si>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</si>
  <si>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</si>
  <si>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</si>
  <si>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</si>
  <si>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</si>
  <si>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</si>
  <si>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</si>
  <si>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</si>
  <si>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</si>
  <si>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</si>
  <si>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</si>
  <si>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</si>
  <si>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</si>
  <si>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</si>
  <si>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</si>
  <si>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</si>
  <si>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</si>
  <si>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</si>
  <si>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</si>
  <si>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</si>
  <si>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</si>
  <si>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</si>
  <si>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</si>
  <si>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</si>
  <si>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</si>
  <si>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</si>
  <si>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</si>
  <si>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</si>
  <si>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</si>
  <si>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</si>
  <si>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</si>
  <si>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</si>
  <si>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</si>
  <si>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</si>
  <si>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</si>
  <si>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</si>
  <si>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</si>
  <si>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</si>
  <si>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</si>
  <si>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</si>
  <si>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</si>
  <si>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</si>
  <si>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</si>
  <si>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</si>
  <si>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</si>
  <si>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</si>
  <si>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</si>
  <si>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</si>
  <si>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</si>
  <si>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</si>
  <si>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</si>
  <si>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</si>
  <si>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</si>
  <si>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</si>
  <si>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RUN AT 70UM</t>
  </si>
  <si>
    <t>LIVE CORALS</t>
  </si>
  <si>
    <r>
      <t xml:space="preserve">NEW ITEM - </t>
    </r>
    <r>
      <rPr>
        <b/>
        <u/>
        <sz val="16"/>
        <color rgb="FFFF0000"/>
        <rFont val="Calibri"/>
        <family val="2"/>
        <scheme val="minor"/>
      </rPr>
      <t xml:space="preserve">VIRGIN FILM - NO SPLITTING AS PER CUSTOMER REQUIREMENT  </t>
    </r>
    <r>
      <rPr>
        <b/>
        <sz val="16"/>
        <color theme="1"/>
        <rFont val="Calibri"/>
        <family val="2"/>
        <scheme val="minor"/>
      </rPr>
      <t xml:space="preserve">                              MUST BE WATER TIGHT - CHECK SEALS - NEAT ROLLS</t>
    </r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</si>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</sst>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Border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Y25" sqref="Y2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4" t="str">
        <f>O9&amp;R9&amp;IF(X8="G","G","")&amp;IF(O8="Centrefold Roll","("&amp;E8&amp;")","")&amp;T9&amp;V9&amp;C22&amp;C23&amp;C24&amp;O11&amp;R11</f>
        <v>PBR460920100</v>
      </c>
      <c r="C1" s="124"/>
      <c r="D1" s="125"/>
      <c r="E1" s="12" t="s">
        <v>57</v>
      </c>
      <c r="F1" s="135" t="s">
        <v>196</v>
      </c>
      <c r="G1" s="135"/>
      <c r="H1" s="136"/>
      <c r="I1" s="13" t="s">
        <v>181</v>
      </c>
      <c r="J1" s="146">
        <f ca="1">TODAY()</f>
        <v>44348</v>
      </c>
      <c r="K1" s="146"/>
      <c r="L1" s="147"/>
      <c r="M1" s="34"/>
      <c r="N1" s="12" t="s">
        <v>56</v>
      </c>
      <c r="O1" s="124" t="str">
        <f>B1</f>
        <v>PBR460920100</v>
      </c>
      <c r="P1" s="124"/>
      <c r="Q1" s="125"/>
      <c r="R1" s="12" t="s">
        <v>57</v>
      </c>
      <c r="S1" s="124" t="str">
        <f>F1</f>
        <v>LIVE CORALS</v>
      </c>
      <c r="T1" s="124"/>
      <c r="U1" s="125"/>
      <c r="V1" s="12" t="s">
        <v>181</v>
      </c>
      <c r="W1" s="146">
        <f ca="1">J1</f>
        <v>44348</v>
      </c>
      <c r="X1" s="146"/>
      <c r="Y1" s="147"/>
    </row>
    <row r="2" spans="1:28" ht="20.100000000000001" customHeight="1" x14ac:dyDescent="0.25">
      <c r="A2" s="12" t="s">
        <v>100</v>
      </c>
      <c r="B2" s="124" t="str">
        <f>IF(U10="","",U10)</f>
        <v/>
      </c>
      <c r="C2" s="124"/>
      <c r="D2" s="125"/>
      <c r="E2" s="12" t="s">
        <v>58</v>
      </c>
      <c r="F2" s="73">
        <v>940223</v>
      </c>
      <c r="G2" s="73"/>
      <c r="H2" s="74"/>
      <c r="I2" s="12" t="s">
        <v>59</v>
      </c>
      <c r="J2" s="149">
        <v>44348</v>
      </c>
      <c r="K2" s="73"/>
      <c r="L2" s="74"/>
      <c r="M2" s="34"/>
      <c r="N2" s="12" t="s">
        <v>100</v>
      </c>
      <c r="O2" s="124" t="str">
        <f>IF(B2="","",B2)</f>
        <v/>
      </c>
      <c r="P2" s="124"/>
      <c r="Q2" s="125"/>
      <c r="R2" s="12" t="s">
        <v>58</v>
      </c>
      <c r="S2" s="124">
        <f>IF(F2="","",F2)</f>
        <v>940223</v>
      </c>
      <c r="T2" s="124"/>
      <c r="U2" s="125"/>
      <c r="V2" s="12" t="s">
        <v>59</v>
      </c>
      <c r="W2" s="148">
        <f>J2</f>
        <v>44348</v>
      </c>
      <c r="X2" s="124"/>
      <c r="Y2" s="125"/>
    </row>
    <row r="3" spans="1:28" ht="20.100000000000001" customHeight="1" x14ac:dyDescent="0.25">
      <c r="A3" s="126" t="s">
        <v>197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  <c r="M3" s="34"/>
      <c r="N3" s="137" t="str">
        <f>A3</f>
        <v>NEW ITEM - VIRGIN FILM - NO SPLITTING AS PER CUSTOMER REQUIREMENT                                MUST BE WATER TIGHT - CHECK SEALS - NEAT ROLLS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8" ht="20.100000000000001" customHeight="1" x14ac:dyDescent="0.25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1"/>
      <c r="M4" s="34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8" ht="20.100000000000001" customHeight="1" x14ac:dyDescent="0.25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4"/>
      <c r="M5" s="34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8" ht="20.100000000000001" customHeight="1" x14ac:dyDescent="0.25">
      <c r="A6" s="151" t="s">
        <v>2</v>
      </c>
      <c r="B6" s="152"/>
      <c r="C6" s="152"/>
      <c r="D6" s="152"/>
      <c r="E6" s="152"/>
      <c r="F6" s="152"/>
      <c r="G6" s="152"/>
      <c r="H6" s="152"/>
      <c r="I6" s="15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Rolls</v>
      </c>
      <c r="O7" s="73">
        <v>20</v>
      </c>
      <c r="P7" s="74"/>
      <c r="Q7" s="12" t="str">
        <f>IF(ISNUMBER(SEARCH("roll",O8,1)),"Per Roll","Per Carton")</f>
        <v>Per Roll</v>
      </c>
      <c r="R7" s="73">
        <v>250</v>
      </c>
      <c r="S7" s="74"/>
      <c r="T7" s="12" t="str">
        <f>IF(ISNUMBER(SEARCH("bag",O8,1)),"Total Bags","Total Sheets")</f>
        <v>Total Bags</v>
      </c>
      <c r="U7" s="124">
        <f>R7*O7</f>
        <v>5000</v>
      </c>
      <c r="V7" s="125"/>
      <c r="W7" s="12" t="s">
        <v>102</v>
      </c>
      <c r="X7" s="73" t="s">
        <v>31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460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100</v>
      </c>
      <c r="I8" s="112"/>
      <c r="J8" s="12" t="s">
        <v>54</v>
      </c>
      <c r="K8" s="124" t="str">
        <f>IF(X8="None","Layflat Tube",IF(X8="","Layflat Tube",IF(X8="CF","Layflat Tube",IF(X8="G","Gusset Tube",IF(X9="","Layflat Tube",)))))</f>
        <v>Layflat Tube</v>
      </c>
      <c r="L8" s="125"/>
      <c r="M8" s="34"/>
      <c r="N8" s="16" t="s">
        <v>54</v>
      </c>
      <c r="O8" s="113" t="s">
        <v>165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53" t="s">
        <v>193</v>
      </c>
      <c r="C9" s="154"/>
      <c r="D9" s="161" t="str">
        <f>IF(K10="Middle","RUN 2 UP",IF(AND(O8="Centrefold Roll",B8=380),"RUN 2 UP",""))</f>
        <v/>
      </c>
      <c r="E9" s="115"/>
      <c r="F9" s="116"/>
      <c r="G9" s="18" t="s">
        <v>48</v>
      </c>
      <c r="H9" s="153" t="s">
        <v>195</v>
      </c>
      <c r="I9" s="154"/>
      <c r="J9" s="12" t="s">
        <v>55</v>
      </c>
      <c r="K9" s="73" t="s">
        <v>34</v>
      </c>
      <c r="L9" s="74"/>
      <c r="M9" s="34"/>
      <c r="N9" s="19"/>
      <c r="O9" s="117" t="str">
        <f>IF(O8="Poly Bag","PB",IF(O8="Poly Bag Roll","PBR",IF(O8="Centrefold Roll","CFR",IF(O8="Sheet","S",IF(O8="Sheet Roll","SR")))))</f>
        <v>PBR</v>
      </c>
      <c r="P9" s="118"/>
      <c r="Q9" s="19"/>
      <c r="R9" s="35">
        <v>460</v>
      </c>
      <c r="S9" s="20" t="s">
        <v>78</v>
      </c>
      <c r="T9" s="35">
        <v>920</v>
      </c>
      <c r="U9" s="20" t="s">
        <v>78</v>
      </c>
      <c r="V9" s="35">
        <v>100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20</v>
      </c>
      <c r="C10" s="74"/>
      <c r="D10" s="54" t="s">
        <v>134</v>
      </c>
      <c r="E10" s="155">
        <f>IF(ISNUMBER(SEARCH("sheet",O8,1)),((R9*T9*H8/540000)*U7/2000*1.3),((R9*T9*H8/540000)*U7/1000*1.08))</f>
        <v>423.20000000000005</v>
      </c>
      <c r="F10" s="156"/>
      <c r="G10" s="12" t="s">
        <v>53</v>
      </c>
      <c r="H10" s="159">
        <f>IF(ISNUMBER(SEARCH("sheet",O8,1)),(U7*T9/2000*1.08),(U7*T9/1000*1.08))</f>
        <v>4968</v>
      </c>
      <c r="I10" s="16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20"/>
      <c r="Y10" s="121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4" t="str">
        <f>IF(AND(O8="Centrefold Roll",D9="RUN 2 UP"),B10*2,IF(ISNUMBER(SEARCH("sheet",O8,1)),B10*2,""))</f>
        <v/>
      </c>
      <c r="C11" s="125"/>
      <c r="D11" s="12" t="s">
        <v>135</v>
      </c>
      <c r="E11" s="157">
        <f>E10/B10</f>
        <v>21.160000000000004</v>
      </c>
      <c r="F11" s="158"/>
      <c r="G11" s="12" t="s">
        <v>15</v>
      </c>
      <c r="H11" s="157">
        <f>H10/B10</f>
        <v>248.4</v>
      </c>
      <c r="I11" s="15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2"/>
      <c r="V11" s="122"/>
      <c r="W11" s="122"/>
      <c r="X11" s="122"/>
      <c r="Y11" s="123"/>
    </row>
    <row r="12" spans="1:28" ht="20.100000000000001" customHeight="1" x14ac:dyDescent="0.25">
      <c r="A12" s="15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20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/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65" t="s">
        <v>4</v>
      </c>
      <c r="F16" s="165"/>
      <c r="G16" s="165" t="s">
        <v>5</v>
      </c>
      <c r="H16" s="16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/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/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Rolls</v>
      </c>
      <c r="U17" s="73" t="s">
        <v>23</v>
      </c>
      <c r="V17" s="74"/>
      <c r="W17" s="12" t="str">
        <f>IF(ISNUMBER(SEARCH("roll",O8,1)),"Total Rolls","Total Ctns")</f>
        <v>Total Rolls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/>
      <c r="P18" s="74"/>
      <c r="Q18" s="12" t="s">
        <v>106</v>
      </c>
      <c r="R18" s="73" t="s">
        <v>23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66"/>
      <c r="B23" s="16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67"/>
      <c r="B24" s="16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198</v>
      </c>
      <c r="P25" s="39"/>
      <c r="Q25" s="10">
        <v>24</v>
      </c>
      <c r="R25" s="10">
        <v>9</v>
      </c>
      <c r="S25" s="10"/>
      <c r="T25" s="10">
        <v>10</v>
      </c>
      <c r="U25" s="10"/>
      <c r="V25" s="10">
        <v>3</v>
      </c>
      <c r="W25" s="10">
        <v>175</v>
      </c>
      <c r="X25" s="10">
        <v>175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62" t="s">
        <v>136</v>
      </c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44378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44369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8174B71-9C2D-4875-9A0D-9B6F95D6464A}"/>
</file>

<file path=customXml/itemProps2.xml><?xml version="1.0" encoding="utf-8"?>
<ds:datastoreItem xmlns:ds="http://schemas.openxmlformats.org/officeDocument/2006/customXml" ds:itemID="{9803BF65-C8FB-4F14-AACD-054DB42B9128}"/>
</file>

<file path=customXml/itemProps3.xml><?xml version="1.0" encoding="utf-8"?>
<ds:datastoreItem xmlns:ds="http://schemas.openxmlformats.org/officeDocument/2006/customXml" ds:itemID="{FDBD69E2-2AD5-4CC1-BD69-3B0A055B77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2021-05-11T01:13:55Z</cp:lastPrinted>
  <dcterms:created xsi:type="dcterms:W3CDTF">2019-11-27T23:28:06Z</dcterms:created>
  <dcterms:modified xsi:type="dcterms:W3CDTF">2021-05-31T21:43:00Z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