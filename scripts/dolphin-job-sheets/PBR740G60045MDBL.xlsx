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E581E21-389B-4E1E-AF94-ADCC5067F0E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<sst xmlns="http://schemas.openxmlformats.org/spreadsheetml/2006/main" count="303" uniqueCount="200">
  <si>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</si>
  <si>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</si>
  <si>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</si>
  <si>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</si>
  <si>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</si>
  <si>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</si>
  <si>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</si>
  <si>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</si>
  <si>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</si>
  <si>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</si>
  <si>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</si>
  <si>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</si>
  <si>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</si>
  <si>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</si>
  <si>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</si>
  <si>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</si>
  <si>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</si>
  <si>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</si>
  <si>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</si>
  <si>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</si>
  <si>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</si>
  <si>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</si>
  <si>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</si>
  <si>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</si>
  <si>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</si>
  <si>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</si>
  <si>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</si>
  <si>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</si>
  <si>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</si>
  <si>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</si>
  <si>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</si>
  <si>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</si>
  <si>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</si>
  <si>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</si>
  <si>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</si>
  <si>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</si>
  <si>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</si>
  <si>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</si>
  <si>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</si>
  <si>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</si>
  <si>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</si>
  <si>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</si>
  <si>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</si>
  <si>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</si>
  <si>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</si>
  <si>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</si>
  <si>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</si>
  <si>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</si>
  <si>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</si>
  <si>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</si>
  <si>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</si>
  <si>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</si>
  <si>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</si>
  <si>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</si>
  <si>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</si>
  <si>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</si>
  <si>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</si>
  <si>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</si>
  <si>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</si>
  <si>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</si>
  <si>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</si>
  <si>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</si>
  <si>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</si>
  <si>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</si>
  <si>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</si>
  <si>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</si>
  <si>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</si>
  <si>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</si>
  <si>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</si>
  <si>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</si>
  <si>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</si>
  <si>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</si>
  <si>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</si>
  <si>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</si>
  <si>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</si>
  <si>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</si>
  <si>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</si>
  <si>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</si>
  <si>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</si>
  <si>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</si>
  <si>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</si>
  <si>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</si>
  <si>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</si>
  <si>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</si>
  <si>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</si>
  <si>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</si>
  <si>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</si>
  <si>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</si>
  <si>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</si>
  <si>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</si>
  <si>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</si>
  <si>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</si>
  <si>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</si>
  <si>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</si>
  <si>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</si>
  <si>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</si>
  <si>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</si>
  <si>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</si>
  <si>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</si>
  <si>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</si>
  <si>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</si>
  <si>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</si>
  <si>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</si>
  <si>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</si>
  <si>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</si>
  <si>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</si>
  <si>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</si>
  <si>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</si>
  <si>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</si>
  <si>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</si>
  <si>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</si>
  <si>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</si>
  <si>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</si>
  <si>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</si>
  <si>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</si>
  <si>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</si>
  <si>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</si>
  <si>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</si>
  <si>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</si>
  <si>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</si>
  <si>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</si>
  <si>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</si>
  <si>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</si>
  <si>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</si>
  <si>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</si>
  <si>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</si>
  <si>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</si>
  <si>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</si>
  <si>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</si>
  <si>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</si>
  <si>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</si>
  <si>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</si>
  <si>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</si>
  <si>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</si>
  <si>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</si>
  <si>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</si>
  <si>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</si>
  <si>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</si>
  <si>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</si>
  <si>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</si>
  <si>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</si>
  <si>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</si>
  <si>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</si>
  <si>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</si>
  <si>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</si>
  <si>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</si>
  <si>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</si>
  <si>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</si>
  <si>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</si>
  <si>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</si>
  <si>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</si>
  <si>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</si>
  <si>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</si>
  <si>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</si>
  <si>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</si>
  <si>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</si>
  <si>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</si>
  <si>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</si>
  <si>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</si>
  <si>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</si>
  <si>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</si>
  <si>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</si>
  <si>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</si>
  <si>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</si>
  <si>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</si>
  <si>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</si>
  <si>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</si>
  <si>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</si>
  <si>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</si>
  <si>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</si>
  <si>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</si>
  <si>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</si>
  <si>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</si>
  <si>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</si>
  <si>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</si>
  <si>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</si>
  <si>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</si>
  <si>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</si>
  <si>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</si>
  <si>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</si>
  <si>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</si>
  <si>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</si>
  <si>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</si>
  <si>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</si>
  <si>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</si>
  <si>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</si>
  <si>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</si>
  <si>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</si>
  <si>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</si>
  <si>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</si>
  <si>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</si>
  <si>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</si>
  <si>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</si>
  <si>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</si>
  <si>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</si>
  <si>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KILCOY GLOBAL FOODS</t>
  </si>
  <si>
    <t>COMMERCIAL SAMPLE</t>
  </si>
  <si>
    <t>(400+170)</t>
  </si>
  <si>
    <t>STRONG BLUE TINT -  PERF INLINE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</si>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</sst>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24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5" fillId="5" borderId="2" xfId="0" applyFont="1" applyFill="1" applyBorder="1" applyAlignment="1" applyProtection="1">
      <alignment horizontal="center"/>
      <protection locked="0"/>
    </xf>
    <xf numFmtId="0" fontId="15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4.75" x14ac:dyDescent="0.75"/>
  <sheetData>
    <row r="1" spans="1:25" ht="20.100000000000001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PBR740G60045BT</v>
      </c>
      <c r="C1" s="113"/>
      <c r="D1" s="114"/>
      <c r="E1" s="16" t="s">
        <v>56</v>
      </c>
      <c r="F1" s="94" t="s">
        <v>195</v>
      </c>
      <c r="G1" s="94"/>
      <c r="H1" s="95"/>
      <c r="I1" s="16" t="s">
        <v>180</v>
      </c>
      <c r="J1" s="125">
        <f ca="1">TODAY()</f>
        <v>45104</v>
      </c>
      <c r="K1" s="125"/>
      <c r="L1" s="126"/>
      <c r="M1" s="30"/>
      <c r="N1" s="16" t="s">
        <v>55</v>
      </c>
      <c r="O1" s="113" t="str">
        <f>B1</f>
        <v>PBR740G60045BT</v>
      </c>
      <c r="P1" s="113"/>
      <c r="Q1" s="114"/>
      <c r="R1" s="16" t="s">
        <v>56</v>
      </c>
      <c r="S1" s="113" t="str">
        <f>F1</f>
        <v>KILCOY GLOBAL FOODS</v>
      </c>
      <c r="T1" s="113"/>
      <c r="U1" s="114"/>
      <c r="V1" s="16" t="s">
        <v>180</v>
      </c>
      <c r="W1" s="125">
        <f ca="1">J1</f>
        <v>45104</v>
      </c>
      <c r="X1" s="125"/>
      <c r="Y1" s="126"/>
    </row>
    <row r="2" spans="1:25" ht="20.100000000000001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 t="s">
        <v>196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 t="str">
        <f>IF(F2="","",F2)</f>
        <v>COMMERCIAL SAMPLE</v>
      </c>
      <c r="T2" s="113"/>
      <c r="U2" s="114"/>
      <c r="V2" s="16" t="s">
        <v>58</v>
      </c>
      <c r="W2" s="127" t="str">
        <f>J2</f>
        <v>ASAP</v>
      </c>
      <c r="X2" s="113"/>
      <c r="Y2" s="114"/>
    </row>
    <row r="3" spans="1:25" ht="20.100000000000001" customHeight="1" x14ac:dyDescent="0.75">
      <c r="A3" s="146" t="s">
        <v>198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30"/>
      <c r="N3" s="137" t="str">
        <f>A3</f>
        <v>STRONG BLUE TINT - 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75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1"/>
      <c r="M4" s="30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75">
      <c r="A5" s="152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4"/>
      <c r="M5" s="30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9">
      <c r="A7" s="16" t="s">
        <v>48</v>
      </c>
      <c r="B7" s="123" t="s">
        <v>158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2</v>
      </c>
      <c r="P7" s="95"/>
      <c r="Q7" s="16" t="str">
        <f>IF(ISNUMBER(SEARCH("roll",O8,1)),"Per Roll","Per Carton")</f>
        <v>Per Roll</v>
      </c>
      <c r="R7" s="94">
        <v>250</v>
      </c>
      <c r="S7" s="95"/>
      <c r="T7" s="16" t="str">
        <f>IF(ISNUMBER(SEARCH("bag",O8,1)),"Total Bags","Total Sheets")</f>
        <v>Total Bags</v>
      </c>
      <c r="U7" s="113">
        <f>R7*O7</f>
        <v>500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8">
      <c r="A8" s="17" t="s">
        <v>15</v>
      </c>
      <c r="B8" s="103">
        <f>R9</f>
        <v>740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(400+170)</v>
      </c>
      <c r="F8" s="106"/>
      <c r="G8" s="17" t="s">
        <v>51</v>
      </c>
      <c r="H8" s="103">
        <f>(IF(V9&lt;30,"30",V9))</f>
        <v>45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28"/>
    </row>
    <row r="9" spans="1:25" ht="20.100000000000001" customHeight="1" x14ac:dyDescent="0.9">
      <c r="A9" s="21" t="s">
        <v>47</v>
      </c>
      <c r="B9" s="111" t="s">
        <v>194</v>
      </c>
      <c r="C9" s="112"/>
      <c r="D9" s="132" t="str">
        <f>IF(K10="Middle","RUN 2 UP",IF(AND(O8="Centrefold Roll",B8=380),"RUN 2 UP",""))</f>
        <v/>
      </c>
      <c r="E9" s="123"/>
      <c r="F9" s="124"/>
      <c r="G9" s="21" t="s">
        <v>47</v>
      </c>
      <c r="H9" s="155" t="s">
        <v>199</v>
      </c>
      <c r="I9" s="156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740</v>
      </c>
      <c r="S9" s="23" t="s">
        <v>77</v>
      </c>
      <c r="T9" s="31">
        <v>600</v>
      </c>
      <c r="U9" s="23" t="s">
        <v>77</v>
      </c>
      <c r="V9" s="31">
        <v>45</v>
      </c>
      <c r="W9" s="22"/>
      <c r="X9" s="100" t="s">
        <v>197</v>
      </c>
      <c r="Y9" s="101"/>
    </row>
    <row r="10" spans="1:25" ht="20.100000000000001" customHeight="1" x14ac:dyDescent="0.8">
      <c r="A10" s="16" t="s">
        <v>50</v>
      </c>
      <c r="B10" s="94">
        <v>2</v>
      </c>
      <c r="C10" s="95"/>
      <c r="D10" s="49" t="s">
        <v>133</v>
      </c>
      <c r="E10" s="115">
        <f>IF(ISNUMBER(SEARCH("sheet",O8,1)),((R9*T9*H8/540000)*U7/2000*1.3),((R9*T9*H8/540000)*U7/1000*1.08))</f>
        <v>19.98</v>
      </c>
      <c r="F10" s="116"/>
      <c r="G10" s="16" t="s">
        <v>52</v>
      </c>
      <c r="H10" s="119">
        <f>IF(ISNUMBER(SEARCH("sheet",O8,1)),(U7*T9/2000*1.08),(U7*T9/1000*1.08))</f>
        <v>324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9.99</v>
      </c>
      <c r="F11" s="118"/>
      <c r="G11" s="16" t="s">
        <v>14</v>
      </c>
      <c r="H11" s="117">
        <f>H10/B10</f>
        <v>162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29" t="s">
        <v>70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1"/>
    </row>
    <row r="13" spans="1:25" ht="20.100000000000001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35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3"/>
      <c r="Y16" s="134"/>
    </row>
    <row r="17" spans="1:25" ht="20.100000000000001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33"/>
      <c r="Y17" s="134"/>
    </row>
    <row r="18" spans="1:25" ht="20.100000000000001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33"/>
      <c r="Y18" s="134"/>
    </row>
    <row r="19" spans="1:25" ht="20.100000000000001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75">
      <c r="A22" s="78" t="str">
        <f>(IF(B7="NATURAL","",B7))</f>
        <v>BLUE TINT</v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1"/>
      <c r="E22" s="85">
        <v>0.03</v>
      </c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35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36" t="s">
        <v>131</v>
      </c>
      <c r="H26" s="136"/>
      <c r="I26" s="136" t="s">
        <v>130</v>
      </c>
      <c r="J26" s="136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75">
      <c r="N43" s="52"/>
    </row>
    <row r="44" spans="1:25" ht="20.100000000000001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45134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45125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C131454-C5D2-45DD-B18E-648478A38B27}"/>
</file>

<file path=customXml/itemProps2.xml><?xml version="1.0" encoding="utf-8"?>
<ds:datastoreItem xmlns:ds="http://schemas.openxmlformats.org/officeDocument/2006/customXml" ds:itemID="{ACA006B1-622B-4916-9332-3A81DCF1A7E3}"/>
</file>

<file path=customXml/itemProps3.xml><?xml version="1.0" encoding="utf-8"?>
<ds:datastoreItem xmlns:ds="http://schemas.openxmlformats.org/officeDocument/2006/customXml" ds:itemID="{38FDE112-6321-4697-AA56-519B4FC1E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2023-06-23T00:02:35Z</cp:lastPrinted>
  <dcterms:created xsi:type="dcterms:W3CDTF">2019-11-27T23:28:06Z</dcterms:created>
  <dcterms:modified xsi:type="dcterms:W3CDTF">2023-06-27T02:49:59Z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