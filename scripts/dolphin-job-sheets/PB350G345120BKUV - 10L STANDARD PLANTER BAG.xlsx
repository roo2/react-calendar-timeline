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2" documentId="13_ncr:1_{9AA9818F-3D34-4395-9D19-D3BF7D2FE057}" xr6:coauthVersionLast="47" xr6:coauthVersionMax="47" xr10:uidLastSave="{F0D1E801-5AF3-47F0-8BBD-C920D3D37903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<sst xmlns="http://schemas.openxmlformats.org/spreadsheetml/2006/main" count="312" uniqueCount="207">
  <si>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</si>
  <si>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</si>
  <si>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</si>
  <si>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</si>
  <si>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</si>
  <si>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</si>
  <si>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</si>
  <si>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</si>
  <si>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</si>
  <si>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</si>
  <si>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</si>
  <si>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</si>
  <si>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</si>
  <si>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</si>
  <si>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</si>
  <si>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</si>
  <si>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</si>
  <si>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</si>
  <si>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</si>
  <si>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</si>
  <si>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</si>
  <si>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</si>
  <si>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</si>
  <si>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</si>
  <si>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</si>
  <si>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</si>
  <si>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</si>
  <si>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</si>
  <si>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</si>
  <si>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</si>
  <si>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</si>
  <si>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</si>
  <si>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</si>
  <si>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</si>
  <si>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</si>
  <si>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</si>
  <si>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</si>
  <si>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</si>
  <si>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</si>
  <si>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</si>
  <si>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</si>
  <si>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</si>
  <si>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</si>
  <si>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</si>
  <si>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</si>
  <si>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</si>
  <si>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</si>
  <si>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</si>
  <si>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</si>
  <si>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</si>
  <si>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</si>
  <si>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</si>
  <si>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</si>
  <si>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</si>
  <si>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</si>
  <si>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</si>
  <si>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</si>
  <si>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</si>
  <si>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</si>
  <si>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</si>
  <si>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</si>
  <si>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</si>
  <si>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</si>
  <si>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</si>
  <si>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</si>
  <si>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</si>
  <si>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</si>
  <si>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</si>
  <si>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</si>
  <si>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</si>
  <si>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</si>
  <si>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</si>
  <si>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</si>
  <si>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</si>
  <si>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</si>
  <si>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</si>
  <si>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</si>
  <si>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</si>
  <si>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</si>
  <si>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</si>
  <si>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</si>
  <si>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</si>
  <si>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</si>
  <si>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</si>
  <si>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</si>
  <si>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</si>
  <si>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</si>
  <si>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</si>
  <si>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</si>
  <si>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</si>
  <si>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</si>
  <si>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</si>
  <si>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</si>
  <si>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</si>
  <si>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</si>
  <si>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</si>
  <si>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</si>
  <si>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</si>
  <si>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</si>
  <si>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</si>
  <si>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</si>
  <si>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</si>
  <si>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</si>
  <si>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</si>
  <si>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</si>
  <si>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</si>
  <si>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</si>
  <si>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</si>
  <si>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</si>
  <si>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</si>
  <si>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</si>
  <si>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</si>
  <si>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</si>
  <si>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</si>
  <si>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</si>
  <si>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</si>
  <si>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</si>
  <si>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</si>
  <si>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</si>
  <si>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</si>
  <si>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</si>
  <si>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</si>
  <si>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</si>
  <si>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</si>
  <si>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</si>
  <si>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</si>
  <si>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</si>
  <si>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</si>
  <si>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</si>
  <si>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</si>
  <si>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</si>
  <si>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</si>
  <si>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</si>
  <si>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</si>
  <si>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</si>
  <si>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</si>
  <si>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</si>
  <si>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</si>
  <si>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</si>
  <si>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</si>
  <si>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</si>
  <si>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</si>
  <si>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</si>
  <si>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</si>
  <si>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</si>
  <si>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</si>
  <si>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</si>
  <si>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</si>
  <si>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</si>
  <si>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</si>
  <si>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</si>
  <si>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</si>
  <si>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</si>
  <si>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</si>
  <si>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</si>
  <si>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</si>
  <si>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</si>
  <si>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</si>
  <si>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</si>
  <si>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</si>
  <si>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</si>
  <si>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</si>
  <si>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</si>
  <si>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</si>
  <si>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</si>
  <si>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</si>
  <si>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</si>
  <si>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</si>
  <si>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</si>
  <si>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</si>
  <si>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</si>
  <si>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</si>
  <si>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</si>
  <si>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</si>
  <si>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</si>
  <si>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</si>
  <si>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</si>
  <si>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</si>
  <si>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</si>
  <si>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</si>
  <si>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</si>
  <si>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</si>
  <si>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</si>
  <si>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</si>
  <si>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</si>
  <si>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</si>
  <si>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</si>
  <si>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</si>
  <si>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</si>
  <si>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</si>
  <si>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</si>
  <si>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</si>
  <si>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</si>
  <si>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</si>
  <si>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</si>
  <si>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</si>
  <si>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 xml:space="preserve"> +/- 5um</t>
  </si>
  <si>
    <t>ASAP</t>
  </si>
  <si>
    <t>Centrefold Roll</t>
  </si>
  <si>
    <t>130 Meat</t>
  </si>
  <si>
    <t>150 Meat</t>
  </si>
  <si>
    <t>10L STANDARD PLANTER</t>
  </si>
  <si>
    <t>PERF</t>
  </si>
  <si>
    <t>(170+180)</t>
  </si>
  <si>
    <t>130 MEAT CARTONS ONLY - MUST PACK IN BUNDLES OF 50</t>
  </si>
  <si>
    <t>01.08.2023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</si>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</sst>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19" fillId="5" borderId="4" xfId="0" applyFont="1" applyFill="1" applyBorder="1"/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4" t="str">
        <f>O9&amp;R9&amp;IF(X8="G","G","")&amp;IF(O8="Centrefold Roll","("&amp;E8&amp;")","")&amp;T9&amp;V9&amp;C22&amp;C23&amp;C24&amp;O11&amp;R11</f>
        <v>PB350G345120BKUVV</v>
      </c>
      <c r="C1" s="114"/>
      <c r="D1" s="115"/>
      <c r="E1" s="10" t="s">
        <v>57</v>
      </c>
      <c r="F1" s="90" t="s">
        <v>193</v>
      </c>
      <c r="G1" s="90"/>
      <c r="H1" s="91"/>
      <c r="I1" s="11" t="s">
        <v>181</v>
      </c>
      <c r="J1" s="87" t="s">
        <v>205</v>
      </c>
      <c r="K1" s="87"/>
      <c r="L1" s="88"/>
      <c r="M1" s="29"/>
      <c r="N1" s="10" t="s">
        <v>56</v>
      </c>
      <c r="O1" s="114" t="str">
        <f>B1</f>
        <v>PB350G345120BKUVV</v>
      </c>
      <c r="P1" s="114"/>
      <c r="Q1" s="115"/>
      <c r="R1" s="10" t="s">
        <v>57</v>
      </c>
      <c r="S1" s="114" t="str">
        <f>F1</f>
        <v>HT CONCEPTS</v>
      </c>
      <c r="T1" s="114"/>
      <c r="U1" s="115"/>
      <c r="V1" s="10" t="s">
        <v>181</v>
      </c>
      <c r="W1" s="87" t="str">
        <f>J1</f>
        <v>01.08.2023</v>
      </c>
      <c r="X1" s="87"/>
      <c r="Y1" s="88"/>
    </row>
    <row r="2" spans="1:25" ht="20.100000000000001" customHeight="1" x14ac:dyDescent="0.25">
      <c r="A2" s="10" t="s">
        <v>100</v>
      </c>
      <c r="B2" s="114" t="str">
        <f>IF(U10="","",U10)</f>
        <v>10L STANDARD PLANTER</v>
      </c>
      <c r="C2" s="114"/>
      <c r="D2" s="115"/>
      <c r="E2" s="10" t="s">
        <v>58</v>
      </c>
      <c r="F2" s="90">
        <v>950212</v>
      </c>
      <c r="G2" s="90"/>
      <c r="H2" s="91"/>
      <c r="I2" s="10" t="s">
        <v>59</v>
      </c>
      <c r="J2" s="89" t="s">
        <v>197</v>
      </c>
      <c r="K2" s="90"/>
      <c r="L2" s="91"/>
      <c r="M2" s="29"/>
      <c r="N2" s="10" t="s">
        <v>100</v>
      </c>
      <c r="O2" s="114" t="str">
        <f>IF(B2="","",B2)</f>
        <v>10L STANDARD PLANTER</v>
      </c>
      <c r="P2" s="114"/>
      <c r="Q2" s="115"/>
      <c r="R2" s="10" t="s">
        <v>58</v>
      </c>
      <c r="S2" s="114">
        <f>IF(F2="","",F2)</f>
        <v>950212</v>
      </c>
      <c r="T2" s="114"/>
      <c r="U2" s="115"/>
      <c r="V2" s="10" t="s">
        <v>59</v>
      </c>
      <c r="W2" s="125" t="str">
        <f>J2</f>
        <v>ASAP</v>
      </c>
      <c r="X2" s="114"/>
      <c r="Y2" s="115"/>
    </row>
    <row r="3" spans="1:25" ht="20.100000000000001" customHeight="1" x14ac:dyDescent="0.25">
      <c r="A3" s="116" t="s">
        <v>192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29"/>
      <c r="N3" s="116" t="str">
        <f>A3</f>
        <v>SPOT ON FINISH. USE DOLPHIN REMILL, MUST NOT BE BLOCKED.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29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29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00000000000001" customHeight="1" x14ac:dyDescent="0.2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29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00000000000001" customHeight="1" x14ac:dyDescent="0.3">
      <c r="A7" s="10" t="s">
        <v>49</v>
      </c>
      <c r="B7" s="111" t="s">
        <v>177</v>
      </c>
      <c r="C7" s="111"/>
      <c r="D7" s="111"/>
      <c r="E7" s="111"/>
      <c r="F7" s="111"/>
      <c r="G7" s="111"/>
      <c r="H7" s="111"/>
      <c r="I7" s="112"/>
      <c r="J7" s="78" t="s">
        <v>179</v>
      </c>
      <c r="K7" s="78"/>
      <c r="L7" s="76"/>
      <c r="M7" s="29"/>
      <c r="N7" s="10" t="str">
        <f>IF(ISNUMBER(SEARCH("roll",O8,1)),"No. Rolls","No. Cartons")</f>
        <v>No. Cartons</v>
      </c>
      <c r="O7" s="90">
        <v>26</v>
      </c>
      <c r="P7" s="91"/>
      <c r="Q7" s="10" t="str">
        <f>IF(ISNUMBER(SEARCH("roll",O8,1)),"Per Roll","Per Carton")</f>
        <v>Per Carton</v>
      </c>
      <c r="R7" s="90">
        <v>400</v>
      </c>
      <c r="S7" s="91"/>
      <c r="T7" s="10" t="str">
        <f>IF(ISNUMBER(SEARCH("bag",O8,1)),"Total Bags","Total Sheets")</f>
        <v>Total Bags</v>
      </c>
      <c r="U7" s="114">
        <f>R7*O7</f>
        <v>10400</v>
      </c>
      <c r="V7" s="115"/>
      <c r="W7" s="10" t="s">
        <v>102</v>
      </c>
      <c r="X7" s="90" t="s">
        <v>23</v>
      </c>
      <c r="Y7" s="91"/>
    </row>
    <row r="8" spans="1:25" ht="20.100000000000001" customHeight="1" x14ac:dyDescent="0.25">
      <c r="A8" s="12" t="s">
        <v>16</v>
      </c>
      <c r="B8" s="92">
        <f>R9</f>
        <v>350</v>
      </c>
      <c r="C8" s="93"/>
      <c r="D8" s="12" t="str">
        <f>IF(ISNUMBER(SEARCH("bag",O8,1)),"Gusset","Centrefold")</f>
        <v>Gusset</v>
      </c>
      <c r="E8" s="92" t="str">
        <f>IF(O8="Centrefold Roll",B8*2,IF(X9="","None",X9))</f>
        <v>(170+180)</v>
      </c>
      <c r="F8" s="93"/>
      <c r="G8" s="12" t="s">
        <v>52</v>
      </c>
      <c r="H8" s="92">
        <f>(IF(V9&lt;30,"30",V9))</f>
        <v>120</v>
      </c>
      <c r="I8" s="93"/>
      <c r="J8" s="10" t="s">
        <v>54</v>
      </c>
      <c r="K8" s="114" t="str">
        <f>IF(X8="None","Layflat Tube",IF(X8="","Layflat Tube",IF(X8="CF","Layflat Tube",IF(X8="G","Gusset Tube",IF(X9="","Layflat Tube",)))))</f>
        <v>Gusset Tube</v>
      </c>
      <c r="L8" s="115"/>
      <c r="M8" s="29"/>
      <c r="N8" s="13" t="s">
        <v>54</v>
      </c>
      <c r="O8" s="128" t="s">
        <v>164</v>
      </c>
      <c r="P8" s="12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G</v>
      </c>
      <c r="Y8" s="127"/>
    </row>
    <row r="9" spans="1:25" ht="20.100000000000001" customHeight="1" x14ac:dyDescent="0.3">
      <c r="A9" s="16" t="s">
        <v>48</v>
      </c>
      <c r="B9" s="102" t="s">
        <v>195</v>
      </c>
      <c r="C9" s="103"/>
      <c r="D9" s="110" t="str">
        <f>IF(K10="Middle","RUN 2 UP",IF(AND(O8="Centrefold Roll",B8=380),"RUN 2 UP",""))</f>
        <v/>
      </c>
      <c r="E9" s="111"/>
      <c r="F9" s="112"/>
      <c r="G9" s="16" t="s">
        <v>48</v>
      </c>
      <c r="H9" s="102" t="s">
        <v>196</v>
      </c>
      <c r="I9" s="103"/>
      <c r="J9" s="10" t="s">
        <v>55</v>
      </c>
      <c r="K9" s="90" t="s">
        <v>30</v>
      </c>
      <c r="L9" s="91"/>
      <c r="M9" s="29"/>
      <c r="N9" s="17"/>
      <c r="O9" s="130" t="str">
        <f>IF(O8="Poly Bag","PB",IF(O8="Poly Bag Roll","PBR",IF(O8="Centrefold Roll","CFR",IF(O8="Sheet","S",IF(O8="Sheet Roll","SR")))))</f>
        <v>PB</v>
      </c>
      <c r="P9" s="131"/>
      <c r="Q9" s="17"/>
      <c r="R9" s="30">
        <v>350</v>
      </c>
      <c r="S9" s="18" t="s">
        <v>78</v>
      </c>
      <c r="T9" s="30">
        <v>345</v>
      </c>
      <c r="U9" s="18" t="s">
        <v>78</v>
      </c>
      <c r="V9" s="30">
        <v>120</v>
      </c>
      <c r="W9" s="17"/>
      <c r="X9" s="139" t="s">
        <v>203</v>
      </c>
      <c r="Y9" s="140"/>
    </row>
    <row r="10" spans="1:25" ht="20.100000000000001" customHeight="1" x14ac:dyDescent="0.25">
      <c r="A10" s="10" t="s">
        <v>51</v>
      </c>
      <c r="B10" s="90">
        <v>7</v>
      </c>
      <c r="C10" s="91"/>
      <c r="D10" s="47" t="s">
        <v>134</v>
      </c>
      <c r="E10" s="104">
        <f>IF(ISNUMBER(SEARCH("sheet",O8,1)),((R9*T9*H8/540000)*U7/2000*1.3),((R9*T9*H8/540000)*U7/1000*1.08))</f>
        <v>301.39199999999994</v>
      </c>
      <c r="F10" s="105"/>
      <c r="G10" s="10" t="s">
        <v>53</v>
      </c>
      <c r="H10" s="108">
        <f>IF(ISNUMBER(SEARCH("sheet",O8,1)),(U7*T9/2000*1.08),(U7*T9/1000*1.08))</f>
        <v>3875.0400000000004</v>
      </c>
      <c r="I10" s="109"/>
      <c r="J10" s="10" t="s">
        <v>41</v>
      </c>
      <c r="K10" s="90" t="s">
        <v>44</v>
      </c>
      <c r="L10" s="91"/>
      <c r="M10" s="29"/>
      <c r="N10" s="13" t="s">
        <v>141</v>
      </c>
      <c r="O10" s="128" t="s">
        <v>188</v>
      </c>
      <c r="P10" s="129"/>
      <c r="Q10" s="13" t="s">
        <v>50</v>
      </c>
      <c r="R10" s="126" t="str">
        <f>IF(K11="NONE","None",IF(K11="INLINE","Yes",IF(K11="OUT OF LINE","Yes")))</f>
        <v>None</v>
      </c>
      <c r="S10" s="126"/>
      <c r="T10" s="13" t="s">
        <v>100</v>
      </c>
      <c r="U10" s="133" t="s">
        <v>201</v>
      </c>
      <c r="V10" s="133"/>
      <c r="W10" s="133"/>
      <c r="X10" s="133"/>
      <c r="Y10" s="134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0" t="s">
        <v>135</v>
      </c>
      <c r="E11" s="106">
        <f>E10/B10</f>
        <v>43.05599999999999</v>
      </c>
      <c r="F11" s="107"/>
      <c r="G11" s="10" t="s">
        <v>15</v>
      </c>
      <c r="H11" s="106">
        <f>H10/B10</f>
        <v>553.57714285714292</v>
      </c>
      <c r="I11" s="107"/>
      <c r="J11" s="10" t="s">
        <v>50</v>
      </c>
      <c r="K11" s="90" t="s">
        <v>44</v>
      </c>
      <c r="L11" s="91"/>
      <c r="M11" s="29"/>
      <c r="N11" s="12"/>
      <c r="O11" s="92" t="str">
        <f>IF(O10="NONE","","V")</f>
        <v>V</v>
      </c>
      <c r="P11" s="93"/>
      <c r="Q11" s="12"/>
      <c r="R11" s="92" t="str">
        <f>IF(R10="None","","P")</f>
        <v/>
      </c>
      <c r="S11" s="93"/>
      <c r="T11" s="12"/>
      <c r="U11" s="135"/>
      <c r="V11" s="135"/>
      <c r="W11" s="135"/>
      <c r="X11" s="135"/>
      <c r="Y11" s="136"/>
    </row>
    <row r="12" spans="1:25" ht="20.100000000000001" customHeight="1" x14ac:dyDescent="0.25">
      <c r="A12" s="94" t="s">
        <v>13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29"/>
      <c r="N12" s="132" t="s">
        <v>71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00000000000001" customHeight="1" x14ac:dyDescent="0.25">
      <c r="A13" s="10" t="s">
        <v>68</v>
      </c>
      <c r="B13" s="90" t="s">
        <v>44</v>
      </c>
      <c r="C13" s="90"/>
      <c r="D13" s="91"/>
      <c r="E13" s="19" t="s">
        <v>61</v>
      </c>
      <c r="F13" s="90" t="s">
        <v>44</v>
      </c>
      <c r="G13" s="90"/>
      <c r="H13" s="91"/>
      <c r="I13" s="10" t="s">
        <v>62</v>
      </c>
      <c r="J13" s="90" t="s">
        <v>44</v>
      </c>
      <c r="K13" s="90"/>
      <c r="L13" s="91"/>
      <c r="M13" s="29"/>
      <c r="N13" s="10" t="s">
        <v>72</v>
      </c>
      <c r="O13" s="31" t="s">
        <v>77</v>
      </c>
      <c r="P13" s="10" t="s">
        <v>73</v>
      </c>
      <c r="Q13" s="20">
        <f>O7</f>
        <v>26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60" t="s">
        <v>75</v>
      </c>
      <c r="W13" s="59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29"/>
      <c r="N14" s="132" t="s">
        <v>110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00000000000001" customHeight="1" x14ac:dyDescent="0.2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29"/>
      <c r="N15" s="75" t="s">
        <v>108</v>
      </c>
      <c r="O15" s="78"/>
      <c r="P15" s="76"/>
      <c r="Q15" s="75" t="s">
        <v>107</v>
      </c>
      <c r="R15" s="78"/>
      <c r="S15" s="76"/>
      <c r="T15" s="75" t="s">
        <v>118</v>
      </c>
      <c r="U15" s="78"/>
      <c r="V15" s="76"/>
      <c r="W15" s="75" t="s">
        <v>117</v>
      </c>
      <c r="X15" s="78"/>
      <c r="Y15" s="76"/>
    </row>
    <row r="16" spans="1:25" ht="20.100000000000001" customHeight="1" x14ac:dyDescent="0.25">
      <c r="A16" s="75" t="s">
        <v>3</v>
      </c>
      <c r="B16" s="76"/>
      <c r="C16" s="75" t="s">
        <v>142</v>
      </c>
      <c r="D16" s="76"/>
      <c r="E16" s="79" t="s">
        <v>4</v>
      </c>
      <c r="F16" s="79"/>
      <c r="G16" s="79" t="s">
        <v>5</v>
      </c>
      <c r="H16" s="79"/>
      <c r="I16" s="78" t="s">
        <v>11</v>
      </c>
      <c r="J16" s="76"/>
      <c r="K16" s="78" t="s">
        <v>12</v>
      </c>
      <c r="L16" s="76"/>
      <c r="M16" s="29"/>
      <c r="N16" s="10" t="s">
        <v>28</v>
      </c>
      <c r="O16" s="90" t="s">
        <v>199</v>
      </c>
      <c r="P16" s="91"/>
      <c r="Q16" s="10" t="s">
        <v>105</v>
      </c>
      <c r="R16" s="90" t="s">
        <v>23</v>
      </c>
      <c r="S16" s="91"/>
      <c r="T16" s="11" t="s">
        <v>103</v>
      </c>
      <c r="U16" s="90" t="s">
        <v>31</v>
      </c>
      <c r="V16" s="91"/>
      <c r="W16" s="10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7" t="s">
        <v>6</v>
      </c>
      <c r="B17" s="77"/>
      <c r="C17" s="80" t="s">
        <v>147</v>
      </c>
      <c r="D17" s="81"/>
      <c r="E17" s="85"/>
      <c r="F17" s="86"/>
      <c r="G17" s="48" t="s">
        <v>81</v>
      </c>
      <c r="H17" s="32"/>
      <c r="I17" s="85"/>
      <c r="J17" s="86"/>
      <c r="K17" s="85"/>
      <c r="L17" s="86"/>
      <c r="M17" s="29"/>
      <c r="N17" s="10" t="s">
        <v>26</v>
      </c>
      <c r="O17" s="90" t="s">
        <v>37</v>
      </c>
      <c r="P17" s="91"/>
      <c r="Q17" s="10" t="s">
        <v>104</v>
      </c>
      <c r="R17" s="90" t="s">
        <v>31</v>
      </c>
      <c r="S17" s="91"/>
      <c r="T17" s="11" t="str">
        <f>IF(ISNUMBER(SEARCH("roll",O8,1)),"Part Rolls","Part Ctns")</f>
        <v>Part Ctns</v>
      </c>
      <c r="U17" s="90" t="s">
        <v>31</v>
      </c>
      <c r="V17" s="91"/>
      <c r="W17" s="10" t="str">
        <f>IF(ISNUMBER(SEARCH("roll",O8,1)),"Total Rolls","Total Ctns")</f>
        <v>Total Ctns</v>
      </c>
      <c r="X17" s="142"/>
      <c r="Y17" s="143"/>
    </row>
    <row r="18" spans="1:25" ht="20.100000000000001" customHeight="1" x14ac:dyDescent="0.25">
      <c r="A18" s="77" t="s">
        <v>7</v>
      </c>
      <c r="B18" s="77"/>
      <c r="C18" s="80" t="s">
        <v>146</v>
      </c>
      <c r="D18" s="81"/>
      <c r="E18" s="85"/>
      <c r="F18" s="86"/>
      <c r="G18" s="48" t="s">
        <v>82</v>
      </c>
      <c r="H18" s="32"/>
      <c r="I18" s="85"/>
      <c r="J18" s="86"/>
      <c r="K18" s="85"/>
      <c r="L18" s="86"/>
      <c r="M18" s="29"/>
      <c r="N18" s="10" t="s">
        <v>101</v>
      </c>
      <c r="O18" s="90" t="s">
        <v>185</v>
      </c>
      <c r="P18" s="91"/>
      <c r="Q18" s="10" t="s">
        <v>106</v>
      </c>
      <c r="R18" s="90" t="s">
        <v>31</v>
      </c>
      <c r="S18" s="91"/>
      <c r="T18" s="21" t="s">
        <v>27</v>
      </c>
      <c r="U18" s="90" t="s">
        <v>36</v>
      </c>
      <c r="V18" s="91"/>
      <c r="W18" s="10" t="s">
        <v>109</v>
      </c>
      <c r="X18" s="142"/>
      <c r="Y18" s="143"/>
    </row>
    <row r="19" spans="1:25" ht="20.100000000000001" customHeight="1" x14ac:dyDescent="0.25">
      <c r="A19" s="77" t="s">
        <v>8</v>
      </c>
      <c r="B19" s="77"/>
      <c r="C19" s="80" t="s">
        <v>145</v>
      </c>
      <c r="D19" s="81"/>
      <c r="E19" s="85"/>
      <c r="F19" s="86"/>
      <c r="G19" s="48" t="s">
        <v>83</v>
      </c>
      <c r="H19" s="32"/>
      <c r="I19" s="85"/>
      <c r="J19" s="86"/>
      <c r="K19" s="85"/>
      <c r="L19" s="86"/>
      <c r="M19" s="29"/>
      <c r="N19" s="144" t="s">
        <v>204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00000000000001" customHeight="1" x14ac:dyDescent="0.25">
      <c r="A20" s="77" t="s">
        <v>9</v>
      </c>
      <c r="B20" s="77"/>
      <c r="C20" s="80" t="s">
        <v>144</v>
      </c>
      <c r="D20" s="81"/>
      <c r="E20" s="85"/>
      <c r="F20" s="86"/>
      <c r="G20" s="48" t="s">
        <v>84</v>
      </c>
      <c r="H20" s="32"/>
      <c r="I20" s="85"/>
      <c r="J20" s="86"/>
      <c r="K20" s="85"/>
      <c r="L20" s="86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00000000000001" customHeight="1" x14ac:dyDescent="0.25">
      <c r="A21" s="77" t="s">
        <v>10</v>
      </c>
      <c r="B21" s="77"/>
      <c r="C21" s="80" t="s">
        <v>143</v>
      </c>
      <c r="D21" s="81"/>
      <c r="E21" s="85"/>
      <c r="F21" s="86"/>
      <c r="G21" s="48" t="s">
        <v>85</v>
      </c>
      <c r="H21" s="32"/>
      <c r="I21" s="85"/>
      <c r="J21" s="86"/>
      <c r="K21" s="85"/>
      <c r="L21" s="86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00000000000001" customHeight="1" x14ac:dyDescent="0.25">
      <c r="A22" s="77" t="str">
        <f>(IF(B7="NATURAL","",B7))</f>
        <v>BLACK</v>
      </c>
      <c r="B22" s="77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1"/>
      <c r="E22" s="85"/>
      <c r="F22" s="86"/>
      <c r="G22" s="48" t="s">
        <v>86</v>
      </c>
      <c r="H22" s="32"/>
      <c r="I22" s="85"/>
      <c r="J22" s="86"/>
      <c r="K22" s="85"/>
      <c r="L22" s="86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00000000000001" customHeight="1" x14ac:dyDescent="0.25">
      <c r="A23" s="82" t="s">
        <v>194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1"/>
      <c r="E23" s="85"/>
      <c r="F23" s="86"/>
      <c r="G23" s="48" t="s">
        <v>87</v>
      </c>
      <c r="H23" s="32"/>
      <c r="I23" s="85"/>
      <c r="J23" s="86"/>
      <c r="K23" s="85"/>
      <c r="L23" s="86"/>
      <c r="M23" s="29"/>
      <c r="N23" s="132" t="s">
        <v>133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48" t="s">
        <v>88</v>
      </c>
      <c r="H24" s="32"/>
      <c r="I24" s="85"/>
      <c r="J24" s="86"/>
      <c r="K24" s="85"/>
      <c r="L24" s="86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29"/>
      <c r="N25" s="22" t="s">
        <v>96</v>
      </c>
      <c r="O25" s="9" t="s">
        <v>202</v>
      </c>
      <c r="P25" s="34"/>
      <c r="Q25" s="9">
        <v>21</v>
      </c>
      <c r="R25" s="9"/>
      <c r="S25" s="9">
        <v>1</v>
      </c>
      <c r="T25" s="9">
        <v>11</v>
      </c>
      <c r="U25" s="9"/>
      <c r="V25" s="9">
        <v>3.2</v>
      </c>
      <c r="W25" s="9">
        <v>220</v>
      </c>
      <c r="X25" s="9">
        <v>220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1" t="s">
        <v>132</v>
      </c>
      <c r="H26" s="141"/>
      <c r="I26" s="141" t="s">
        <v>131</v>
      </c>
      <c r="J26" s="141"/>
      <c r="K26" s="24" t="s">
        <v>94</v>
      </c>
      <c r="L26" s="24" t="s">
        <v>95</v>
      </c>
      <c r="M26" s="29"/>
      <c r="N26" s="113" t="s">
        <v>137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00000000000001" customHeight="1" x14ac:dyDescent="0.25">
      <c r="A27" s="22" t="s">
        <v>96</v>
      </c>
      <c r="B27" s="7" t="s">
        <v>206</v>
      </c>
      <c r="C27" s="7"/>
      <c r="D27" s="9">
        <v>43.6</v>
      </c>
      <c r="E27" s="61">
        <v>2.4</v>
      </c>
      <c r="F27" s="7"/>
      <c r="G27" s="62"/>
      <c r="H27" s="62"/>
      <c r="I27" s="62"/>
      <c r="J27" s="62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62"/>
      <c r="H28" s="62"/>
      <c r="I28" s="62"/>
      <c r="J28" s="62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4" t="s">
        <v>99</v>
      </c>
      <c r="B29" s="95"/>
      <c r="C29" s="95"/>
      <c r="D29" s="95"/>
      <c r="E29" s="95"/>
      <c r="F29" s="137"/>
      <c r="G29" s="137"/>
      <c r="H29" s="137"/>
      <c r="I29" s="137"/>
      <c r="J29" s="137"/>
      <c r="K29" s="95"/>
      <c r="L29" s="13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3" t="s">
        <v>116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72" t="s">
        <v>136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198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199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200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653CFBE-9511-4338-A86A-EA4411C7AA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6EFB83-E0BC-4659-A525-D36BB5FA5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01AFE0-2A79-4FA5-AE5F-BFEC2C86D3A0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2025-06-20T01:27:58Z</cp:lastPrinted>
  <dcterms:created xsi:type="dcterms:W3CDTF">2019-11-27T23:28:06Z</dcterms:created>
  <dcterms:modified xsi:type="dcterms:W3CDTF">2026-04-16T05:34:23Z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