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6376888-FCDE-4D21-92B5-9C345E8D24A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<sst xmlns="http://schemas.openxmlformats.org/spreadsheetml/2006/main" count="305" uniqueCount="201">
  <si>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</si>
  <si>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</si>
  <si>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</si>
  <si>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</si>
  <si>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</si>
  <si>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</si>
  <si>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</si>
  <si>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</si>
  <si>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</si>
  <si>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</si>
  <si>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</si>
  <si>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</si>
  <si>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</si>
  <si>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</si>
  <si>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</si>
  <si>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</si>
  <si>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</si>
  <si>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</si>
  <si>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</si>
  <si>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</si>
  <si>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</si>
  <si>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</si>
  <si>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</si>
  <si>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</si>
  <si>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</si>
  <si>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</si>
  <si>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</si>
  <si>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</si>
  <si>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</si>
  <si>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</si>
  <si>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</si>
  <si>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</si>
  <si>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</si>
  <si>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</si>
  <si>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</si>
  <si>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</si>
  <si>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</si>
  <si>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</si>
  <si>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</si>
  <si>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</si>
  <si>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</si>
  <si>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</si>
  <si>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</si>
  <si>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</si>
  <si>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</si>
  <si>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</si>
  <si>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</si>
  <si>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</si>
  <si>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</si>
  <si>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</si>
  <si>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</si>
  <si>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</si>
  <si>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</si>
  <si>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</si>
  <si>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</si>
  <si>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</si>
  <si>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</si>
  <si>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</si>
  <si>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</si>
  <si>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</si>
  <si>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</si>
  <si>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</si>
  <si>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</si>
  <si>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</si>
  <si>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</si>
  <si>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</si>
  <si>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</si>
  <si>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</si>
  <si>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</si>
  <si>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</si>
  <si>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</si>
  <si>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</si>
  <si>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</si>
  <si>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</si>
  <si>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</si>
  <si>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</si>
  <si>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</si>
  <si>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</si>
  <si>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</si>
  <si>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</si>
  <si>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</si>
  <si>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</si>
  <si>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</si>
  <si>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</si>
  <si>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</si>
  <si>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</si>
  <si>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</si>
  <si>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</si>
  <si>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</si>
  <si>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</si>
  <si>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</si>
  <si>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</si>
  <si>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</si>
  <si>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</si>
  <si>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</si>
  <si>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</si>
  <si>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</si>
  <si>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</si>
  <si>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</si>
  <si>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</si>
  <si>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</si>
  <si>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</si>
  <si>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</si>
  <si>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</si>
  <si>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</si>
  <si>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</si>
  <si>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</si>
  <si>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</si>
  <si>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</si>
  <si>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</si>
  <si>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</si>
  <si>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</si>
  <si>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</si>
  <si>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</si>
  <si>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</si>
  <si>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</si>
  <si>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</si>
  <si>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</si>
  <si>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</si>
  <si>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</si>
  <si>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</si>
  <si>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</si>
  <si>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</si>
  <si>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</si>
  <si>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</si>
  <si>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</si>
  <si>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</si>
  <si>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</si>
  <si>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</si>
  <si>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</si>
  <si>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</si>
  <si>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</si>
  <si>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</si>
  <si>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</si>
  <si>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</si>
  <si>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</si>
  <si>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</si>
  <si>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</si>
  <si>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</si>
  <si>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</si>
  <si>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</si>
  <si>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</si>
  <si>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</si>
  <si>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</si>
  <si>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</si>
  <si>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</si>
  <si>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</si>
  <si>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</si>
  <si>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</si>
  <si>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</si>
  <si>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</si>
  <si>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</si>
  <si>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</si>
  <si>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</si>
  <si>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</si>
  <si>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</si>
  <si>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</si>
  <si>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</si>
  <si>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</si>
  <si>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</si>
  <si>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</si>
  <si>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</si>
  <si>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</si>
  <si>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</si>
  <si>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</si>
  <si>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</si>
  <si>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</si>
  <si>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</si>
  <si>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</si>
  <si>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</si>
  <si>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</si>
  <si>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</si>
  <si>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</si>
  <si>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</si>
  <si>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</si>
  <si>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</si>
  <si>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</si>
  <si>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</si>
  <si>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</si>
  <si>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</si>
  <si>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</si>
  <si>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</si>
  <si>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</si>
  <si>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</si>
  <si>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</si>
  <si>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</si>
  <si>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</si>
  <si>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</si>
  <si>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</si>
  <si>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</si>
  <si>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</si>
  <si>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</si>
  <si>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</si>
  <si>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</si>
  <si>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GRUNSKES</t>
  </si>
  <si>
    <t xml:space="preserve"> +0mm/- 5mm</t>
  </si>
  <si>
    <t xml:space="preserve">LIMAXB </t>
  </si>
  <si>
    <t>RUN AT 65 - 70um</t>
  </si>
  <si>
    <t>GRUNSKES SUPER ICE</t>
  </si>
  <si>
    <t>PRINTED RED AND BLACK - GRUNSKES SUPER ICE LOGO</t>
  </si>
  <si>
    <t>WIDTH NOT OVER 290MM - MUST HAVE WATER TIGHT SEALS. PLEASE CHECK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</si>
</sst>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8" ht="20.100000000000001" customHeight="1" x14ac:dyDescent="0.8">
      <c r="A1" s="12" t="s">
        <v>56</v>
      </c>
      <c r="B1" s="122" t="str">
        <f>O9&amp;R9&amp;IF(X8="G","G","")&amp;IF(O8="Centrefold Roll","("&amp;E8&amp;")","")&amp;T9&amp;V9&amp;C22&amp;C23&amp;C24&amp;O11&amp;R11</f>
        <v>PB29057070P</v>
      </c>
      <c r="C1" s="122"/>
      <c r="D1" s="123"/>
      <c r="E1" s="12" t="s">
        <v>57</v>
      </c>
      <c r="F1" s="133" t="s">
        <v>194</v>
      </c>
      <c r="G1" s="133"/>
      <c r="H1" s="134"/>
      <c r="I1" s="13" t="s">
        <v>181</v>
      </c>
      <c r="J1" s="95">
        <f ca="1">TODAY()</f>
        <v>44713</v>
      </c>
      <c r="K1" s="95"/>
      <c r="L1" s="96"/>
      <c r="M1" s="34"/>
      <c r="N1" s="12" t="s">
        <v>56</v>
      </c>
      <c r="O1" s="122" t="str">
        <f>B1</f>
        <v>PB29057070P</v>
      </c>
      <c r="P1" s="122"/>
      <c r="Q1" s="123"/>
      <c r="R1" s="12" t="s">
        <v>57</v>
      </c>
      <c r="S1" s="122" t="str">
        <f>F1</f>
        <v>GRUNSKES</v>
      </c>
      <c r="T1" s="122"/>
      <c r="U1" s="123"/>
      <c r="V1" s="12" t="s">
        <v>181</v>
      </c>
      <c r="W1" s="95">
        <f ca="1">J1</f>
        <v>44713</v>
      </c>
      <c r="X1" s="95"/>
      <c r="Y1" s="96"/>
    </row>
    <row r="2" spans="1:28" ht="20.100000000000001" customHeight="1" x14ac:dyDescent="0.8">
      <c r="A2" s="12" t="s">
        <v>100</v>
      </c>
      <c r="B2" s="122" t="str">
        <f>IF(U10="","",U10)</f>
        <v>GRUNSKES SUPER ICE</v>
      </c>
      <c r="C2" s="122"/>
      <c r="D2" s="123"/>
      <c r="E2" s="12" t="s">
        <v>58</v>
      </c>
      <c r="F2" s="98">
        <v>937842</v>
      </c>
      <c r="G2" s="98"/>
      <c r="H2" s="99"/>
      <c r="I2" s="12" t="s">
        <v>59</v>
      </c>
      <c r="J2" s="97">
        <v>44063</v>
      </c>
      <c r="K2" s="98"/>
      <c r="L2" s="99"/>
      <c r="M2" s="34"/>
      <c r="N2" s="12" t="s">
        <v>100</v>
      </c>
      <c r="O2" s="122" t="str">
        <f>IF(B2="","",B2)</f>
        <v>GRUNSKES SUPER ICE</v>
      </c>
      <c r="P2" s="122"/>
      <c r="Q2" s="123"/>
      <c r="R2" s="12" t="s">
        <v>58</v>
      </c>
      <c r="S2" s="122">
        <f>IF(F2="","",F2)</f>
        <v>937842</v>
      </c>
      <c r="T2" s="122"/>
      <c r="U2" s="123"/>
      <c r="V2" s="12" t="s">
        <v>59</v>
      </c>
      <c r="W2" s="135">
        <f>J2</f>
        <v>44063</v>
      </c>
      <c r="X2" s="122"/>
      <c r="Y2" s="123"/>
    </row>
    <row r="3" spans="1:28" ht="20.100000000000001" customHeight="1" x14ac:dyDescent="0.75">
      <c r="A3" s="124" t="s">
        <v>200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WIDTH NOT OVER 290MM - MUST HAVE WATER TIGHT SEALS.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7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7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7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9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30000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8">
      <c r="A8" s="15" t="s">
        <v>16</v>
      </c>
      <c r="B8" s="100">
        <f>R9</f>
        <v>290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70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9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290</v>
      </c>
      <c r="S9" s="20" t="s">
        <v>78</v>
      </c>
      <c r="T9" s="35">
        <v>570</v>
      </c>
      <c r="U9" s="20" t="s">
        <v>78</v>
      </c>
      <c r="V9" s="35">
        <v>70</v>
      </c>
      <c r="W9" s="19"/>
      <c r="X9" s="151"/>
      <c r="Y9" s="152"/>
    </row>
    <row r="10" spans="1:28" ht="20.100000000000001" customHeight="1" x14ac:dyDescent="0.8">
      <c r="A10" s="12" t="s">
        <v>51</v>
      </c>
      <c r="B10" s="98">
        <v>30</v>
      </c>
      <c r="C10" s="99"/>
      <c r="D10" s="54" t="s">
        <v>134</v>
      </c>
      <c r="E10" s="112">
        <f>IF(ISNUMBER(SEARCH("sheet",O8,1)),((R9*T9*H8/540000)*U7/2000*1.3),((R9*T9*H8/540000)*U7/1000*1.08))</f>
        <v>694.2600000000001</v>
      </c>
      <c r="F10" s="113"/>
      <c r="G10" s="12" t="s">
        <v>53</v>
      </c>
      <c r="H10" s="116">
        <f>IF(ISNUMBER(SEARCH("sheet",O8,1)),(U7*T9/2000*1.08),(U7*T9/1000*1.08))</f>
        <v>18468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198</v>
      </c>
      <c r="V10" s="143"/>
      <c r="W10" s="143"/>
      <c r="X10" s="143"/>
      <c r="Y10" s="144"/>
    </row>
    <row r="11" spans="1:28" ht="20.100000000000001" customHeight="1" x14ac:dyDescent="0.8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23.142000000000003</v>
      </c>
      <c r="F11" s="115"/>
      <c r="G11" s="12" t="s">
        <v>15</v>
      </c>
      <c r="H11" s="114">
        <f>H10/B10</f>
        <v>615.6</v>
      </c>
      <c r="I11" s="115"/>
      <c r="J11" s="12" t="s">
        <v>50</v>
      </c>
      <c r="K11" s="98" t="s">
        <v>64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7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8">
      <c r="A13" s="12" t="s">
        <v>68</v>
      </c>
      <c r="B13" s="98" t="s">
        <v>69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151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9">
      <c r="A14" s="15" t="s">
        <v>60</v>
      </c>
      <c r="B14" s="119" t="s">
        <v>199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7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8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8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8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7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7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7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7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7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7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7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24</v>
      </c>
      <c r="R25" s="10"/>
      <c r="S25" s="10"/>
      <c r="T25" s="10"/>
      <c r="U25" s="10"/>
      <c r="V25" s="10"/>
      <c r="W25" s="10">
        <v>16</v>
      </c>
      <c r="X25" s="10">
        <v>13</v>
      </c>
      <c r="Y25" s="10"/>
    </row>
    <row r="26" spans="1:25" ht="20.100000000000001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7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7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7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7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7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7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7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75">
      <c r="N43" s="59"/>
    </row>
    <row r="44" spans="1:25" ht="20.100000000000001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44743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44734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3E4D67B-FB5A-4CC3-8A7F-D40C51E39C0D}"/>
</file>

<file path=customXml/itemProps2.xml><?xml version="1.0" encoding="utf-8"?>
<ds:datastoreItem xmlns:ds="http://schemas.openxmlformats.org/officeDocument/2006/customXml" ds:itemID="{DB2C6A85-D614-424B-B0B2-065CC859021E}"/>
</file>

<file path=customXml/itemProps3.xml><?xml version="1.0" encoding="utf-8"?>
<ds:datastoreItem xmlns:ds="http://schemas.openxmlformats.org/officeDocument/2006/customXml" ds:itemID="{E0886750-74DA-4551-9453-550D5EABFD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2020-07-20T04:40:01Z</cp:lastPrinted>
  <dcterms:created xsi:type="dcterms:W3CDTF">2019-11-27T23:28:06Z</dcterms:created>
  <dcterms:modified xsi:type="dcterms:W3CDTF">2022-06-01T04:09:20Z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