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7E9DA28-7E61-4807-9D96-52BB64AC9A70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<sst xmlns="http://schemas.openxmlformats.org/spreadsheetml/2006/main" count="304" uniqueCount="199">
  <si>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</si>
  <si>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</si>
  <si>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</si>
  <si>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</si>
  <si>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</si>
  <si>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</si>
  <si>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</si>
  <si>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</si>
  <si>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</si>
  <si>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</si>
  <si>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</si>
  <si>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</si>
  <si>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</si>
  <si>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</si>
  <si>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</si>
  <si>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</si>
  <si>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</si>
  <si>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</si>
  <si>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</si>
  <si>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</si>
  <si>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</si>
  <si>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</si>
  <si>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</si>
  <si>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</si>
  <si>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</si>
  <si>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</si>
  <si>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</si>
  <si>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</si>
  <si>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</si>
  <si>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</si>
  <si>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</si>
  <si>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</si>
  <si>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</si>
  <si>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</si>
  <si>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</si>
  <si>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</si>
  <si>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</si>
  <si>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</si>
  <si>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</si>
  <si>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</si>
  <si>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</si>
  <si>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</si>
  <si>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</si>
  <si>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</si>
  <si>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</si>
  <si>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</si>
  <si>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</si>
  <si>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</si>
  <si>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</si>
  <si>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</si>
  <si>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</si>
  <si>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</si>
  <si>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</si>
  <si>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</si>
  <si>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</si>
  <si>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</si>
  <si>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</si>
  <si>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</si>
  <si>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</si>
  <si>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</si>
  <si>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</si>
  <si>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</si>
  <si>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</si>
  <si>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</si>
  <si>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</si>
  <si>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</si>
  <si>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</si>
  <si>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</si>
  <si>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</si>
  <si>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</si>
  <si>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</si>
  <si>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</si>
  <si>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</si>
  <si>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</si>
  <si>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</si>
  <si>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</si>
  <si>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</si>
  <si>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</si>
  <si>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</si>
  <si>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</si>
  <si>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</si>
  <si>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</si>
  <si>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</si>
  <si>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</si>
  <si>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</si>
  <si>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</si>
  <si>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</si>
  <si>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</si>
  <si>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</si>
  <si>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</si>
  <si>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</si>
  <si>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</si>
  <si>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</si>
  <si>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</si>
  <si>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</si>
  <si>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</si>
  <si>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</si>
  <si>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</si>
  <si>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</si>
  <si>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</si>
  <si>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</si>
  <si>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</si>
  <si>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</si>
  <si>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</si>
  <si>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</si>
  <si>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</si>
  <si>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</si>
  <si>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</si>
  <si>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</si>
  <si>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</si>
  <si>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</si>
  <si>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</si>
  <si>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</si>
  <si>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</si>
  <si>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</si>
  <si>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</si>
  <si>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</si>
  <si>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</si>
  <si>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</si>
  <si>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</si>
  <si>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</si>
  <si>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</si>
  <si>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</si>
  <si>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</si>
  <si>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</si>
  <si>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</si>
  <si>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</si>
  <si>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</si>
  <si>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</si>
  <si>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</si>
  <si>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</si>
  <si>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</si>
  <si>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</si>
  <si>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</si>
  <si>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</si>
  <si>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</si>
  <si>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</si>
  <si>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</si>
  <si>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</si>
  <si>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</si>
  <si>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</si>
  <si>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</si>
  <si>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</si>
  <si>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</si>
  <si>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</si>
  <si>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</si>
  <si>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</si>
  <si>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</si>
  <si>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</si>
  <si>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</si>
  <si>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</si>
  <si>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</si>
  <si>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</si>
  <si>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</si>
  <si>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</si>
  <si>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</si>
  <si>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</si>
  <si>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</si>
  <si>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</si>
  <si>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</si>
  <si>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</si>
  <si>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</si>
  <si>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</si>
  <si>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</si>
  <si>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</si>
  <si>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</si>
  <si>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</si>
  <si>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</si>
  <si>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</si>
  <si>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</si>
  <si>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</si>
  <si>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</si>
  <si>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</si>
  <si>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</si>
  <si>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</si>
  <si>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</si>
  <si>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</si>
  <si>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</si>
  <si>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</si>
  <si>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</si>
  <si>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</si>
  <si>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</si>
  <si>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</si>
  <si>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</si>
  <si>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</si>
  <si>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</si>
  <si>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</si>
  <si>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</si>
  <si>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</si>
  <si>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</si>
  <si>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</si>
  <si>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</si>
  <si>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</si>
  <si>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</si>
  <si>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GROUP LINEN</t>
  </si>
  <si>
    <t xml:space="preserve"> +/- 10mm</t>
  </si>
  <si>
    <t>ANTISTATIC</t>
  </si>
  <si>
    <t>SMALL BAG</t>
  </si>
  <si>
    <t>RUN AT 25 - 30um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</si>
</sst>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I22" sqref="I22:J22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PB25543025AS</v>
      </c>
      <c r="C1" s="122"/>
      <c r="D1" s="123"/>
      <c r="E1" s="12" t="s">
        <v>57</v>
      </c>
      <c r="F1" s="133" t="s">
        <v>194</v>
      </c>
      <c r="G1" s="133"/>
      <c r="H1" s="134"/>
      <c r="I1" s="13" t="s">
        <v>181</v>
      </c>
      <c r="J1" s="95">
        <f ca="1">TODAY()</f>
        <v>44075</v>
      </c>
      <c r="K1" s="95"/>
      <c r="L1" s="96"/>
      <c r="M1" s="34"/>
      <c r="N1" s="12" t="s">
        <v>56</v>
      </c>
      <c r="O1" s="122" t="str">
        <f>B1</f>
        <v>PB25543025AS</v>
      </c>
      <c r="P1" s="122"/>
      <c r="Q1" s="123"/>
      <c r="R1" s="12" t="s">
        <v>57</v>
      </c>
      <c r="S1" s="122" t="str">
        <f>F1</f>
        <v>GROUP LINEN</v>
      </c>
      <c r="T1" s="122"/>
      <c r="U1" s="123"/>
      <c r="V1" s="12" t="s">
        <v>181</v>
      </c>
      <c r="W1" s="95">
        <f ca="1">J1</f>
        <v>44075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SMALL BAG</v>
      </c>
      <c r="C2" s="122"/>
      <c r="D2" s="123"/>
      <c r="E2" s="12" t="s">
        <v>58</v>
      </c>
      <c r="F2" s="98">
        <v>938277</v>
      </c>
      <c r="G2" s="98"/>
      <c r="H2" s="99"/>
      <c r="I2" s="12" t="s">
        <v>59</v>
      </c>
      <c r="J2" s="97">
        <v>44105</v>
      </c>
      <c r="K2" s="98"/>
      <c r="L2" s="99"/>
      <c r="M2" s="34"/>
      <c r="N2" s="12" t="s">
        <v>100</v>
      </c>
      <c r="O2" s="122" t="str">
        <f>IF(B2="","",B2)</f>
        <v>SMALL BAG</v>
      </c>
      <c r="P2" s="122"/>
      <c r="Q2" s="123"/>
      <c r="R2" s="12" t="s">
        <v>58</v>
      </c>
      <c r="S2" s="122">
        <f>IF(F2="","",F2)</f>
        <v>938277</v>
      </c>
      <c r="T2" s="122"/>
      <c r="U2" s="123"/>
      <c r="V2" s="12" t="s">
        <v>59</v>
      </c>
      <c r="W2" s="135">
        <f>J2</f>
        <v>44105</v>
      </c>
      <c r="X2" s="122"/>
      <c r="Y2" s="123"/>
    </row>
    <row r="3" spans="1:28" ht="20.0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5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5000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255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 t="str">
        <f>(IF(V9&lt;30,"30",V9))</f>
        <v>30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198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255</v>
      </c>
      <c r="S9" s="20" t="s">
        <v>78</v>
      </c>
      <c r="T9" s="35">
        <v>430</v>
      </c>
      <c r="U9" s="20" t="s">
        <v>78</v>
      </c>
      <c r="V9" s="35">
        <v>25</v>
      </c>
      <c r="W9" s="19"/>
      <c r="X9" s="151"/>
      <c r="Y9" s="152"/>
    </row>
    <row r="10" spans="1:28" ht="20.05" customHeight="1" x14ac:dyDescent="0.3">
      <c r="A10" s="12" t="s">
        <v>51</v>
      </c>
      <c r="B10" s="98">
        <v>2</v>
      </c>
      <c r="C10" s="99"/>
      <c r="D10" s="54" t="s">
        <v>134</v>
      </c>
      <c r="E10" s="112">
        <f>IF(ISNUMBER(SEARCH("sheet",O8,1)),((R9*T9*H8/540000)*U7/2000*1.3),((R9*T9*H8/540000)*U7/1000*1.08))</f>
        <v>32.895000000000003</v>
      </c>
      <c r="F10" s="113"/>
      <c r="G10" s="12" t="s">
        <v>53</v>
      </c>
      <c r="H10" s="116">
        <f>IF(ISNUMBER(SEARCH("sheet",O8,1)),(U7*T9/2000*1.08),(U7*T9/1000*1.08))</f>
        <v>2322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197</v>
      </c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16.447500000000002</v>
      </c>
      <c r="F11" s="115"/>
      <c r="G11" s="12" t="s">
        <v>15</v>
      </c>
      <c r="H11" s="114">
        <f>H10/B10</f>
        <v>1161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 t="s">
        <v>38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60"/>
      <c r="Y16" s="94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158"/>
      <c r="J17" s="159"/>
      <c r="K17" s="158"/>
      <c r="L17" s="159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60"/>
      <c r="Y17" s="94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158"/>
      <c r="J18" s="159"/>
      <c r="K18" s="158"/>
      <c r="L18" s="159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60"/>
      <c r="Y18" s="94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158"/>
      <c r="J19" s="159"/>
      <c r="K19" s="158"/>
      <c r="L19" s="159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158"/>
      <c r="J20" s="159"/>
      <c r="K20" s="158"/>
      <c r="L20" s="159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158"/>
      <c r="J21" s="159"/>
      <c r="K21" s="158"/>
      <c r="L21" s="159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05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158"/>
      <c r="J22" s="159"/>
      <c r="K22" s="158"/>
      <c r="L22" s="159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05" customHeight="1" x14ac:dyDescent="0.3">
      <c r="A23" s="90" t="s">
        <v>196</v>
      </c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89"/>
      <c r="E23" s="153">
        <v>0.01</v>
      </c>
      <c r="F23" s="94"/>
      <c r="G23" s="56" t="s">
        <v>87</v>
      </c>
      <c r="H23" s="37"/>
      <c r="I23" s="158"/>
      <c r="J23" s="159"/>
      <c r="K23" s="158"/>
      <c r="L23" s="159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158"/>
      <c r="J24" s="159"/>
      <c r="K24" s="158"/>
      <c r="L24" s="159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44105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44096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8490924-8636-428B-893B-7D5875109469}"/>
</file>

<file path=customXml/itemProps2.xml><?xml version="1.0" encoding="utf-8"?>
<ds:datastoreItem xmlns:ds="http://schemas.openxmlformats.org/officeDocument/2006/customXml" ds:itemID="{7CFC3935-F24D-4ABA-9ACF-E9FCFE506BC5}"/>
</file>

<file path=customXml/itemProps3.xml><?xml version="1.0" encoding="utf-8"?>
<ds:datastoreItem xmlns:ds="http://schemas.openxmlformats.org/officeDocument/2006/customXml" ds:itemID="{17679C08-8927-4B58-AFF5-FD1BCA7A82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2020-09-01T02:11:21Z</cp:lastPrinted>
  <dcterms:created xsi:type="dcterms:W3CDTF">2019-11-27T23:28:06Z</dcterms:created>
  <dcterms:modified xsi:type="dcterms:W3CDTF">2020-09-01T02:13:22Z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