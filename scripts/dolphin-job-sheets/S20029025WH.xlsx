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51FE269-BD95-4AC5-831B-DD19008507F8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W16" i="1" l="1"/>
  <c r="U13" i="1"/>
  <c r="T17" i="1" l="1"/>
  <c r="K8" i="1"/>
  <c r="T7" i="1"/>
  <c r="Q7" i="1"/>
  <c r="N7" i="1"/>
  <c r="W17" i="1"/>
  <c r="O11" i="1"/>
  <c r="C24" i="1" l="1"/>
  <c r="C23" i="1"/>
  <c r="R10" i="1" l="1"/>
  <c r="R11" i="1" s="1"/>
  <c r="Q13" i="1" l="1"/>
  <c r="U7" i="1" l="1"/>
  <c r="H10" i="1" s="1"/>
  <c r="H11" i="1" s="1"/>
  <c r="H8" i="1" l="1"/>
  <c r="E10" i="1" s="1"/>
  <c r="E11" i="1" s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<sst xmlns="http://schemas.openxmlformats.org/spreadsheetml/2006/main" count="309" uniqueCount="199">
  <si>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</si>
  <si>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</si>
  <si>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</si>
  <si>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</si>
  <si>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</si>
  <si>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</si>
  <si>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</si>
  <si>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</si>
  <si>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</si>
  <si>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</si>
  <si>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</si>
  <si>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</si>
  <si>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</si>
  <si>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</si>
  <si>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</si>
  <si>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</si>
  <si>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</si>
  <si>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</si>
  <si>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</si>
  <si>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</si>
  <si>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</si>
  <si>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</si>
  <si>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</si>
  <si>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</si>
  <si>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</si>
  <si>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</si>
  <si>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</si>
  <si>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</si>
  <si>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</si>
  <si>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</si>
  <si>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</si>
  <si>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</si>
  <si>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</si>
  <si>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</si>
  <si>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</si>
  <si>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</si>
  <si>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</si>
  <si>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</si>
  <si>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</si>
  <si>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</si>
  <si>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</si>
  <si>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</si>
  <si>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</si>
  <si>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</si>
  <si>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</si>
  <si>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</si>
  <si>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</si>
  <si>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</si>
  <si>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</si>
  <si>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</si>
  <si>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</si>
  <si>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</si>
  <si>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</si>
  <si>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</si>
  <si>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</si>
  <si>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</si>
  <si>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</si>
  <si>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</si>
  <si>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</si>
  <si>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</si>
  <si>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</si>
  <si>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</si>
  <si>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</si>
  <si>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</si>
  <si>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</si>
  <si>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</si>
  <si>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</si>
  <si>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</si>
  <si>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</si>
  <si>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</si>
  <si>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</si>
  <si>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</si>
  <si>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</si>
  <si>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</si>
  <si>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</si>
  <si>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</si>
  <si>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</si>
  <si>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</si>
  <si>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</si>
  <si>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</si>
  <si>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</si>
  <si>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</si>
  <si>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</si>
  <si>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</si>
  <si>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</si>
  <si>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</si>
  <si>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</si>
  <si>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</si>
  <si>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</si>
  <si>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</si>
  <si>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</si>
  <si>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</si>
  <si>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</si>
  <si>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</si>
  <si>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</si>
  <si>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</si>
  <si>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</si>
  <si>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</si>
  <si>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</si>
  <si>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</si>
  <si>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</si>
  <si>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</si>
  <si>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</si>
  <si>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</si>
  <si>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</si>
  <si>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</si>
  <si>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</si>
  <si>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</si>
  <si>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</si>
  <si>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</si>
  <si>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</si>
  <si>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</si>
  <si>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</si>
  <si>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</si>
  <si>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</si>
  <si>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</si>
  <si>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</si>
  <si>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</si>
  <si>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</si>
  <si>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</si>
  <si>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</si>
  <si>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</si>
  <si>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</si>
  <si>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</si>
  <si>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</si>
  <si>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</si>
  <si>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</si>
  <si>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</si>
  <si>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</si>
  <si>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</si>
  <si>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</si>
  <si>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</si>
  <si>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</si>
  <si>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</si>
  <si>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</si>
  <si>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</si>
  <si>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</si>
  <si>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</si>
  <si>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</si>
  <si>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</si>
  <si>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</si>
  <si>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</si>
  <si>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</si>
  <si>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</si>
  <si>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</si>
  <si>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</si>
  <si>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</si>
  <si>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</si>
  <si>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</si>
  <si>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</si>
  <si>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</si>
  <si>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</si>
  <si>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</si>
  <si>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</si>
  <si>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</si>
  <si>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</si>
  <si>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</si>
  <si>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</si>
  <si>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</si>
  <si>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</si>
  <si>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</si>
  <si>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</si>
  <si>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</si>
  <si>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</si>
  <si>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</si>
  <si>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</si>
  <si>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</si>
  <si>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</si>
  <si>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</si>
  <si>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</si>
  <si>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</si>
  <si>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</si>
  <si>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</si>
  <si>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</si>
  <si>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</si>
  <si>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</si>
  <si>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</si>
  <si>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</si>
  <si>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</si>
  <si>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 xml:space="preserve"> +/- 5mm</t>
  </si>
  <si>
    <t>EXTRUSION SPECS</t>
  </si>
  <si>
    <t>Extruder</t>
  </si>
  <si>
    <t>Created</t>
  </si>
  <si>
    <t xml:space="preserve"> +/- 5um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</si>
  <si>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</si>
  <si>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</si>
  <si>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</si>
  <si>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</si>
  <si>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</si>
  <si>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</si>
  <si>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</si>
  <si>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</si>
  <si>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</si>
  <si>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</si>
  <si>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</si>
  <si>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</si>
  <si>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SUPAFIN</t>
  </si>
  <si>
    <t>MUST BE BY DUE DATE - CUSTOMER IS URGENT</t>
  </si>
  <si>
    <t>12.01.2023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</si>
</sst>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FF4747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S20029025WH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182</v>
      </c>
      <c r="J1" s="84">
        <f ca="1">TODAY()</f>
        <v>44873</v>
      </c>
      <c r="K1" s="84"/>
      <c r="L1" s="85"/>
      <c r="M1" s="31"/>
      <c r="N1" s="11" t="s">
        <v>56</v>
      </c>
      <c r="O1" s="111" t="str">
        <f>B1</f>
        <v>S20029025WH</v>
      </c>
      <c r="P1" s="111"/>
      <c r="Q1" s="112"/>
      <c r="R1" s="11" t="s">
        <v>57</v>
      </c>
      <c r="S1" s="111" t="str">
        <f>F1</f>
        <v>SUPAFIN</v>
      </c>
      <c r="T1" s="111"/>
      <c r="U1" s="112"/>
      <c r="V1" s="11" t="s">
        <v>182</v>
      </c>
      <c r="W1" s="84">
        <f ca="1">J1</f>
        <v>44873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944596</v>
      </c>
      <c r="G2" s="87"/>
      <c r="H2" s="88"/>
      <c r="I2" s="11" t="s">
        <v>59</v>
      </c>
      <c r="J2" s="86" t="s">
        <v>198</v>
      </c>
      <c r="K2" s="87"/>
      <c r="L2" s="88"/>
      <c r="M2" s="31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944596</v>
      </c>
      <c r="T2" s="111"/>
      <c r="U2" s="112"/>
      <c r="V2" s="11" t="s">
        <v>59</v>
      </c>
      <c r="W2" s="122" t="str">
        <f>J2</f>
        <v>12.01.2023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1"/>
      <c r="N3" s="113" t="s">
        <v>197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1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1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31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155</v>
      </c>
      <c r="C7" s="108"/>
      <c r="D7" s="108"/>
      <c r="E7" s="108"/>
      <c r="F7" s="108"/>
      <c r="G7" s="108"/>
      <c r="H7" s="108"/>
      <c r="I7" s="109"/>
      <c r="J7" s="76" t="s">
        <v>180</v>
      </c>
      <c r="K7" s="76"/>
      <c r="L7" s="74"/>
      <c r="M7" s="31"/>
      <c r="N7" s="11" t="str">
        <f>IF(ISNUMBER(SEARCH("roll",O8,1)),"No. Rolls","No. Cartons")</f>
        <v>No. Cartons</v>
      </c>
      <c r="O7" s="87">
        <v>20</v>
      </c>
      <c r="P7" s="88"/>
      <c r="Q7" s="11" t="str">
        <f>IF(ISNUMBER(SEARCH("roll",O8,1)),"Per Roll","Per Carton")</f>
        <v>Per Carton</v>
      </c>
      <c r="R7" s="87">
        <v>5000</v>
      </c>
      <c r="S7" s="88"/>
      <c r="T7" s="11" t="str">
        <f>IF(ISNUMBER(SEARCH("bag",O8,1)),"Total Bags","Total Sheets")</f>
        <v>Total Sheets</v>
      </c>
      <c r="U7" s="111">
        <f>R7*O7</f>
        <v>100000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200</v>
      </c>
      <c r="C8" s="90"/>
      <c r="D8" s="16" t="str">
        <f>IF(ISNUMBER(SEARCH("bag",#REF!,1)),"Gusset","Centrefold")</f>
        <v>Centrefold</v>
      </c>
      <c r="E8" s="89" t="str">
        <f>IF(O8="Centrefold Roll",B8*2,IF(X9="","None",X9))</f>
        <v>None</v>
      </c>
      <c r="F8" s="90"/>
      <c r="G8" s="13" t="s">
        <v>52</v>
      </c>
      <c r="H8" s="89" t="str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31"/>
      <c r="N8" s="14" t="s">
        <v>54</v>
      </c>
      <c r="O8" s="125" t="s">
        <v>166</v>
      </c>
      <c r="P8" s="126"/>
      <c r="Q8" s="14" t="s">
        <v>191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Centrefold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7" t="s">
        <v>48</v>
      </c>
      <c r="B9" s="99" t="s">
        <v>179</v>
      </c>
      <c r="C9" s="100"/>
      <c r="D9" s="107" t="str">
        <f>IF(K10="Middle","RUN 2 UP",IF(AND(O8="Centrefold Roll",B8=380),"RUN 2 UP",""))</f>
        <v/>
      </c>
      <c r="E9" s="108"/>
      <c r="F9" s="109"/>
      <c r="G9" s="17" t="s">
        <v>48</v>
      </c>
      <c r="H9" s="99" t="s">
        <v>183</v>
      </c>
      <c r="I9" s="100"/>
      <c r="J9" s="11" t="s">
        <v>55</v>
      </c>
      <c r="K9" s="87" t="s">
        <v>30</v>
      </c>
      <c r="L9" s="88"/>
      <c r="M9" s="31"/>
      <c r="N9" s="18"/>
      <c r="O9" s="127" t="str">
        <f>IF(O8="Poly Bag","PB",IF(O8="Poly Bag Roll","PBR",IF(O8="Centrefold Roll","CFR",IF(O8="Sheet","S",IF(O8="Sheet Roll","SR")))))</f>
        <v>S</v>
      </c>
      <c r="P9" s="128"/>
      <c r="Q9" s="18"/>
      <c r="R9" s="32">
        <v>200</v>
      </c>
      <c r="S9" s="19" t="s">
        <v>78</v>
      </c>
      <c r="T9" s="32">
        <v>290</v>
      </c>
      <c r="U9" s="19" t="s">
        <v>78</v>
      </c>
      <c r="V9" s="32">
        <v>25</v>
      </c>
      <c r="W9" s="18"/>
      <c r="X9" s="136"/>
      <c r="Y9" s="137"/>
    </row>
    <row r="10" spans="1:25" ht="20.149999999999999" customHeight="1" x14ac:dyDescent="0.8">
      <c r="A10" s="11" t="s">
        <v>51</v>
      </c>
      <c r="B10" s="87">
        <v>12</v>
      </c>
      <c r="C10" s="88"/>
      <c r="D10" s="49" t="s">
        <v>134</v>
      </c>
      <c r="E10" s="101">
        <f>IF(ISNUMBER(SEARCH("sheet",O8,1)),((R9*T9*H8/540000)*U7/2000*1.3),((R9*T9*H8/540000)*U7/1000*1.08))</f>
        <v>209.44444444444446</v>
      </c>
      <c r="F10" s="102"/>
      <c r="G10" s="11" t="s">
        <v>53</v>
      </c>
      <c r="H10" s="105">
        <f>IF(ISNUMBER(SEARCH("sheet",O8,1)),(U7*T9/2000*1.08),(U7*T9/1000*1.08))</f>
        <v>15660.000000000002</v>
      </c>
      <c r="I10" s="106"/>
      <c r="J10" s="11" t="s">
        <v>41</v>
      </c>
      <c r="K10" s="87" t="s">
        <v>43</v>
      </c>
      <c r="L10" s="88"/>
      <c r="M10" s="31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>Sheet Rolls</v>
      </c>
      <c r="B11" s="111">
        <f>IF(AND(O8="Centrefold Roll",D9="RUN 2 UP"),B10*2,IF(ISNUMBER(SEARCH("sheet",O8,1)),B10*2,""))</f>
        <v>24</v>
      </c>
      <c r="C11" s="112"/>
      <c r="D11" s="11" t="s">
        <v>135</v>
      </c>
      <c r="E11" s="103">
        <f>E10/B10</f>
        <v>17.453703703703706</v>
      </c>
      <c r="F11" s="104"/>
      <c r="G11" s="11" t="s">
        <v>15</v>
      </c>
      <c r="H11" s="103">
        <f>H10/B10</f>
        <v>1305.0000000000002</v>
      </c>
      <c r="I11" s="104"/>
      <c r="J11" s="11" t="s">
        <v>50</v>
      </c>
      <c r="K11" s="87" t="s">
        <v>44</v>
      </c>
      <c r="L11" s="88"/>
      <c r="M11" s="31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89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31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20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31"/>
      <c r="N13" s="11" t="s">
        <v>72</v>
      </c>
      <c r="O13" s="33" t="s">
        <v>77</v>
      </c>
      <c r="P13" s="11" t="s">
        <v>73</v>
      </c>
      <c r="Q13" s="21">
        <f>O7</f>
        <v>20</v>
      </c>
      <c r="R13" s="11" t="s">
        <v>74</v>
      </c>
      <c r="S13" s="33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3" t="str">
        <f>IF(AND((O17="LOOSE"),(NOT(O18="BUNDLE"))),"",IF(AND((O17="LINED"),(NOT(O18="BUNDLE"))),"",(IF(R7&lt;=500,"50",IF(R7&gt;500,"100")))))</f>
        <v/>
      </c>
      <c r="X13" s="11" t="s">
        <v>76</v>
      </c>
      <c r="Y13" s="34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31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31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3" t="s">
        <v>4</v>
      </c>
      <c r="F16" s="74"/>
      <c r="G16" s="73" t="s">
        <v>5</v>
      </c>
      <c r="H16" s="74"/>
      <c r="I16" s="73" t="s">
        <v>11</v>
      </c>
      <c r="J16" s="74"/>
      <c r="K16" s="76" t="s">
        <v>12</v>
      </c>
      <c r="L16" s="74"/>
      <c r="M16" s="31"/>
      <c r="N16" s="11" t="s">
        <v>28</v>
      </c>
      <c r="O16" s="87" t="s">
        <v>38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Sheets</v>
      </c>
      <c r="X16" s="141"/>
      <c r="Y16" s="142"/>
    </row>
    <row r="17" spans="1:25" ht="20.149999999999999" customHeight="1" x14ac:dyDescent="0.8">
      <c r="A17" s="75" t="s">
        <v>6</v>
      </c>
      <c r="B17" s="75"/>
      <c r="C17" s="77" t="s">
        <v>147</v>
      </c>
      <c r="D17" s="78"/>
      <c r="E17" s="82"/>
      <c r="F17" s="83"/>
      <c r="G17" s="30" t="s">
        <v>81</v>
      </c>
      <c r="H17" s="34"/>
      <c r="I17" s="139"/>
      <c r="J17" s="140"/>
      <c r="K17" s="139"/>
      <c r="L17" s="140"/>
      <c r="M17" s="31"/>
      <c r="N17" s="11" t="s">
        <v>26</v>
      </c>
      <c r="O17" s="87" t="s">
        <v>37</v>
      </c>
      <c r="P17" s="88"/>
      <c r="Q17" s="11" t="s">
        <v>104</v>
      </c>
      <c r="R17" s="87" t="s">
        <v>23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1"/>
      <c r="Y17" s="142"/>
    </row>
    <row r="18" spans="1:25" ht="20.149999999999999" customHeight="1" x14ac:dyDescent="0.8">
      <c r="A18" s="75" t="s">
        <v>7</v>
      </c>
      <c r="B18" s="75"/>
      <c r="C18" s="77" t="s">
        <v>146</v>
      </c>
      <c r="D18" s="78"/>
      <c r="E18" s="82"/>
      <c r="F18" s="83"/>
      <c r="G18" s="30" t="s">
        <v>82</v>
      </c>
      <c r="H18" s="34"/>
      <c r="I18" s="139"/>
      <c r="J18" s="140"/>
      <c r="K18" s="139"/>
      <c r="L18" s="140"/>
      <c r="M18" s="31"/>
      <c r="N18" s="11" t="s">
        <v>101</v>
      </c>
      <c r="O18" s="87" t="s">
        <v>32</v>
      </c>
      <c r="P18" s="88"/>
      <c r="Q18" s="11" t="s">
        <v>106</v>
      </c>
      <c r="R18" s="87" t="s">
        <v>31</v>
      </c>
      <c r="S18" s="88"/>
      <c r="T18" s="22" t="s">
        <v>27</v>
      </c>
      <c r="U18" s="87" t="s">
        <v>36</v>
      </c>
      <c r="V18" s="88"/>
      <c r="W18" s="11" t="s">
        <v>109</v>
      </c>
      <c r="X18" s="141"/>
      <c r="Y18" s="142"/>
    </row>
    <row r="19" spans="1:25" ht="20.149999999999999" customHeight="1" x14ac:dyDescent="0.75">
      <c r="A19" s="75" t="s">
        <v>8</v>
      </c>
      <c r="B19" s="75"/>
      <c r="C19" s="77" t="s">
        <v>145</v>
      </c>
      <c r="D19" s="78"/>
      <c r="E19" s="82"/>
      <c r="F19" s="83"/>
      <c r="G19" s="30" t="s">
        <v>83</v>
      </c>
      <c r="H19" s="34"/>
      <c r="I19" s="139"/>
      <c r="J19" s="140"/>
      <c r="K19" s="139"/>
      <c r="L19" s="140"/>
      <c r="M19" s="31"/>
      <c r="N19" s="61" t="s">
        <v>116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3"/>
    </row>
    <row r="20" spans="1:25" ht="20.149999999999999" customHeight="1" x14ac:dyDescent="0.75">
      <c r="A20" s="75" t="s">
        <v>9</v>
      </c>
      <c r="B20" s="75"/>
      <c r="C20" s="77" t="s">
        <v>144</v>
      </c>
      <c r="D20" s="78"/>
      <c r="E20" s="82"/>
      <c r="F20" s="83"/>
      <c r="G20" s="30" t="s">
        <v>84</v>
      </c>
      <c r="H20" s="34"/>
      <c r="I20" s="139"/>
      <c r="J20" s="140"/>
      <c r="K20" s="139"/>
      <c r="L20" s="140"/>
      <c r="M20" s="31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6"/>
    </row>
    <row r="21" spans="1:25" ht="20.149999999999999" customHeight="1" x14ac:dyDescent="0.75">
      <c r="A21" s="75" t="s">
        <v>10</v>
      </c>
      <c r="B21" s="75"/>
      <c r="C21" s="77" t="s">
        <v>143</v>
      </c>
      <c r="D21" s="78"/>
      <c r="E21" s="82"/>
      <c r="F21" s="83"/>
      <c r="G21" s="30" t="s">
        <v>85</v>
      </c>
      <c r="H21" s="34"/>
      <c r="I21" s="139"/>
      <c r="J21" s="140"/>
      <c r="K21" s="139"/>
      <c r="L21" s="140"/>
      <c r="M21" s="31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6"/>
    </row>
    <row r="22" spans="1:25" ht="20.149999999999999" customHeight="1" x14ac:dyDescent="0.75">
      <c r="A22" s="75" t="str">
        <f>(IF(B7="NATURAL","",B7))</f>
        <v>WHITE</v>
      </c>
      <c r="B22" s="75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8"/>
      <c r="E22" s="82"/>
      <c r="F22" s="83"/>
      <c r="G22" s="30" t="s">
        <v>86</v>
      </c>
      <c r="H22" s="34"/>
      <c r="I22" s="139"/>
      <c r="J22" s="140"/>
      <c r="K22" s="139"/>
      <c r="L22" s="140"/>
      <c r="M22" s="31"/>
      <c r="N22" s="67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9"/>
    </row>
    <row r="23" spans="1:25" ht="20.149999999999999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30" t="s">
        <v>87</v>
      </c>
      <c r="H23" s="34"/>
      <c r="I23" s="139"/>
      <c r="J23" s="140"/>
      <c r="K23" s="139"/>
      <c r="L23" s="140"/>
      <c r="M23" s="31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30" t="s">
        <v>88</v>
      </c>
      <c r="H24" s="34"/>
      <c r="I24" s="139"/>
      <c r="J24" s="140"/>
      <c r="K24" s="139"/>
      <c r="L24" s="140"/>
      <c r="M24" s="31"/>
      <c r="N24" s="35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31"/>
      <c r="N25" s="23" t="s">
        <v>96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4"/>
      <c r="B26" s="23" t="s">
        <v>181</v>
      </c>
      <c r="C26" s="23" t="s">
        <v>92</v>
      </c>
      <c r="D26" s="25" t="s">
        <v>90</v>
      </c>
      <c r="E26" s="25" t="s">
        <v>91</v>
      </c>
      <c r="F26" s="25" t="s">
        <v>93</v>
      </c>
      <c r="G26" s="138" t="s">
        <v>132</v>
      </c>
      <c r="H26" s="138"/>
      <c r="I26" s="138" t="s">
        <v>131</v>
      </c>
      <c r="J26" s="138"/>
      <c r="K26" s="25" t="s">
        <v>94</v>
      </c>
      <c r="L26" s="25" t="s">
        <v>95</v>
      </c>
      <c r="M26" s="31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1"/>
      <c r="N27" s="25" t="s">
        <v>184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192</v>
      </c>
      <c r="X27" s="25" t="s">
        <v>193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1"/>
      <c r="N28" s="50">
        <v>1</v>
      </c>
      <c r="O28" s="6"/>
      <c r="P28" s="6"/>
      <c r="Q28" s="6"/>
      <c r="R28" s="6"/>
      <c r="S28" s="6"/>
      <c r="T28" s="35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31"/>
      <c r="N29" s="50">
        <v>2</v>
      </c>
      <c r="O29" s="6"/>
      <c r="P29" s="6"/>
      <c r="Q29" s="6"/>
      <c r="R29" s="6"/>
      <c r="S29" s="6"/>
      <c r="T29" s="35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7"/>
      <c r="C30" s="34"/>
      <c r="D30" s="12" t="s">
        <v>92</v>
      </c>
      <c r="E30" s="38"/>
      <c r="F30" s="34"/>
      <c r="G30" s="27" t="s">
        <v>98</v>
      </c>
      <c r="H30" s="39"/>
      <c r="I30" s="39"/>
      <c r="J30" s="40"/>
      <c r="K30" s="39"/>
      <c r="L30" s="41"/>
      <c r="M30" s="31"/>
      <c r="N30" s="50">
        <v>3</v>
      </c>
      <c r="O30" s="6"/>
      <c r="P30" s="6"/>
      <c r="Q30" s="6"/>
      <c r="R30" s="6"/>
      <c r="S30" s="6"/>
      <c r="T30" s="35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7"/>
      <c r="C31" s="34"/>
      <c r="D31" s="12" t="s">
        <v>112</v>
      </c>
      <c r="E31" s="38"/>
      <c r="F31" s="42"/>
      <c r="G31" s="12" t="s">
        <v>98</v>
      </c>
      <c r="H31" s="38"/>
      <c r="I31" s="38"/>
      <c r="J31" s="38"/>
      <c r="K31" s="38"/>
      <c r="L31" s="34"/>
      <c r="M31" s="31"/>
      <c r="N31" s="50">
        <v>4</v>
      </c>
      <c r="O31" s="6"/>
      <c r="P31" s="6"/>
      <c r="Q31" s="6"/>
      <c r="R31" s="6"/>
      <c r="S31" s="6"/>
      <c r="T31" s="35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3"/>
      <c r="C32" s="41"/>
      <c r="D32" s="28" t="s">
        <v>89</v>
      </c>
      <c r="E32" s="39"/>
      <c r="F32" s="41"/>
      <c r="G32" s="28" t="s">
        <v>111</v>
      </c>
      <c r="H32" s="39"/>
      <c r="I32" s="39"/>
      <c r="J32" s="39"/>
      <c r="K32" s="39"/>
      <c r="L32" s="41"/>
      <c r="M32" s="31"/>
      <c r="N32" s="51">
        <v>5</v>
      </c>
      <c r="O32" s="45"/>
      <c r="P32" s="45"/>
      <c r="Q32" s="45"/>
      <c r="R32" s="45"/>
      <c r="S32" s="45"/>
      <c r="T32" s="46"/>
      <c r="U32" s="45"/>
      <c r="V32" s="45"/>
      <c r="W32" s="45"/>
      <c r="X32" s="45"/>
      <c r="Y32" s="45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1"/>
      <c r="N33" s="50">
        <v>6</v>
      </c>
      <c r="O33" s="6"/>
      <c r="P33" s="6"/>
      <c r="Q33" s="6"/>
      <c r="R33" s="6"/>
      <c r="S33" s="6"/>
      <c r="T33" s="35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1"/>
      <c r="N34" s="50">
        <v>7</v>
      </c>
      <c r="O34" s="6"/>
      <c r="P34" s="6"/>
      <c r="Q34" s="6"/>
      <c r="R34" s="6"/>
      <c r="S34" s="6"/>
      <c r="T34" s="35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1"/>
      <c r="N35" s="50">
        <v>8</v>
      </c>
      <c r="O35" s="6"/>
      <c r="P35" s="6"/>
      <c r="Q35" s="6"/>
      <c r="R35" s="6"/>
      <c r="S35" s="6"/>
      <c r="T35" s="35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1"/>
      <c r="N36" s="50">
        <v>9</v>
      </c>
      <c r="O36" s="6"/>
      <c r="P36" s="6"/>
      <c r="Q36" s="6"/>
      <c r="R36" s="6"/>
      <c r="S36" s="6"/>
      <c r="T36" s="35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1"/>
      <c r="N37" s="51">
        <v>10</v>
      </c>
      <c r="O37" s="45"/>
      <c r="P37" s="45"/>
      <c r="Q37" s="45"/>
      <c r="R37" s="45"/>
      <c r="S37" s="45"/>
      <c r="T37" s="46"/>
      <c r="U37" s="45"/>
      <c r="V37" s="45"/>
      <c r="W37" s="45"/>
      <c r="X37" s="45"/>
      <c r="Y37" s="45"/>
    </row>
    <row r="38" spans="1:25" ht="20.149999999999999" customHeight="1" x14ac:dyDescent="0.75">
      <c r="A38" s="23">
        <v>1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1"/>
      <c r="N38" s="50">
        <v>11</v>
      </c>
      <c r="O38" s="6"/>
      <c r="P38" s="6"/>
      <c r="Q38" s="6"/>
      <c r="R38" s="6"/>
      <c r="S38" s="6"/>
      <c r="T38" s="35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1"/>
      <c r="N39" s="50">
        <v>12</v>
      </c>
      <c r="O39" s="6"/>
      <c r="P39" s="6"/>
      <c r="Q39" s="6"/>
      <c r="R39" s="6"/>
      <c r="S39" s="6"/>
      <c r="T39" s="35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1"/>
      <c r="N40" s="50">
        <v>13</v>
      </c>
      <c r="O40" s="6"/>
      <c r="P40" s="6"/>
      <c r="Q40" s="6"/>
      <c r="R40" s="6"/>
      <c r="S40" s="6"/>
      <c r="T40" s="35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1"/>
      <c r="N41" s="50">
        <v>14</v>
      </c>
      <c r="O41" s="6"/>
      <c r="P41" s="6"/>
      <c r="Q41" s="6"/>
      <c r="R41" s="6"/>
      <c r="S41" s="6"/>
      <c r="T41" s="35"/>
      <c r="U41" s="6"/>
      <c r="V41" s="6"/>
      <c r="W41" s="6"/>
      <c r="X41" s="6"/>
      <c r="Y41" s="6"/>
    </row>
    <row r="42" spans="1:25" ht="20.149999999999999" customHeight="1" x14ac:dyDescent="0.75">
      <c r="A42" s="48">
        <v>5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31"/>
      <c r="N42" s="51">
        <v>15</v>
      </c>
      <c r="O42" s="45"/>
      <c r="P42" s="45"/>
      <c r="Q42" s="45"/>
      <c r="R42" s="45"/>
      <c r="S42" s="45"/>
      <c r="T42" s="46"/>
      <c r="U42" s="45"/>
      <c r="V42" s="45"/>
      <c r="W42" s="45"/>
      <c r="X42" s="45"/>
      <c r="Y42" s="45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184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192</v>
      </c>
      <c r="X44" s="25" t="s">
        <v>193</v>
      </c>
      <c r="Y44" s="25" t="s">
        <v>22</v>
      </c>
    </row>
    <row r="45" spans="1:25" ht="20.149999999999999" customHeight="1" x14ac:dyDescent="0.75">
      <c r="A45" s="23">
        <v>6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N45" s="50">
        <v>16</v>
      </c>
      <c r="O45" s="6"/>
      <c r="P45" s="6"/>
      <c r="Q45" s="6"/>
      <c r="R45" s="6"/>
      <c r="S45" s="6"/>
      <c r="T45" s="35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N46" s="50">
        <v>17</v>
      </c>
      <c r="O46" s="6"/>
      <c r="P46" s="6"/>
      <c r="Q46" s="6"/>
      <c r="R46" s="6"/>
      <c r="S46" s="6"/>
      <c r="T46" s="35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N47" s="50">
        <v>18</v>
      </c>
      <c r="O47" s="6"/>
      <c r="P47" s="6"/>
      <c r="Q47" s="6"/>
      <c r="R47" s="6"/>
      <c r="S47" s="6"/>
      <c r="T47" s="35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N48" s="50">
        <v>19</v>
      </c>
      <c r="O48" s="6"/>
      <c r="P48" s="6"/>
      <c r="Q48" s="6"/>
      <c r="R48" s="6"/>
      <c r="S48" s="6"/>
      <c r="T48" s="35"/>
      <c r="U48" s="6"/>
      <c r="V48" s="6"/>
      <c r="W48" s="6"/>
      <c r="X48" s="6"/>
      <c r="Y48" s="6"/>
    </row>
    <row r="49" spans="1:25" ht="20.149999999999999" customHeight="1" x14ac:dyDescent="0.75">
      <c r="A49" s="48">
        <v>10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N49" s="51">
        <v>20</v>
      </c>
      <c r="O49" s="45"/>
      <c r="P49" s="45"/>
      <c r="Q49" s="45"/>
      <c r="R49" s="45"/>
      <c r="S49" s="45"/>
      <c r="T49" s="46"/>
      <c r="U49" s="45"/>
      <c r="V49" s="45"/>
      <c r="W49" s="45"/>
      <c r="X49" s="45"/>
      <c r="Y49" s="45"/>
    </row>
    <row r="50" spans="1:25" ht="20.149999999999999" customHeight="1" x14ac:dyDescent="0.75">
      <c r="A50" s="23">
        <v>11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N50" s="50">
        <v>21</v>
      </c>
      <c r="O50" s="6"/>
      <c r="P50" s="6"/>
      <c r="Q50" s="6"/>
      <c r="R50" s="6"/>
      <c r="S50" s="6"/>
      <c r="T50" s="35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N51" s="50">
        <v>22</v>
      </c>
      <c r="O51" s="6"/>
      <c r="P51" s="6"/>
      <c r="Q51" s="6"/>
      <c r="R51" s="6"/>
      <c r="S51" s="6"/>
      <c r="T51" s="35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N52" s="50">
        <v>23</v>
      </c>
      <c r="O52" s="6"/>
      <c r="P52" s="6"/>
      <c r="Q52" s="6"/>
      <c r="R52" s="6"/>
      <c r="S52" s="6"/>
      <c r="T52" s="35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N53" s="50">
        <v>24</v>
      </c>
      <c r="O53" s="6"/>
      <c r="P53" s="6"/>
      <c r="Q53" s="6"/>
      <c r="R53" s="6"/>
      <c r="S53" s="6"/>
      <c r="T53" s="35"/>
      <c r="U53" s="6"/>
      <c r="V53" s="6"/>
      <c r="W53" s="6"/>
      <c r="X53" s="6"/>
      <c r="Y53" s="6"/>
    </row>
    <row r="54" spans="1:25" ht="20.149999999999999" customHeight="1" x14ac:dyDescent="0.75">
      <c r="A54" s="48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1">
        <v>25</v>
      </c>
      <c r="O54" s="45"/>
      <c r="P54" s="45"/>
      <c r="Q54" s="45"/>
      <c r="R54" s="45"/>
      <c r="S54" s="45"/>
      <c r="T54" s="46"/>
      <c r="U54" s="45"/>
      <c r="V54" s="45"/>
      <c r="W54" s="45"/>
      <c r="X54" s="45"/>
      <c r="Y54" s="45"/>
    </row>
    <row r="55" spans="1:25" ht="20.149999999999999" customHeight="1" x14ac:dyDescent="0.75">
      <c r="A55" s="23">
        <v>16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N55" s="50">
        <v>26</v>
      </c>
      <c r="O55" s="6"/>
      <c r="P55" s="6"/>
      <c r="Q55" s="6"/>
      <c r="R55" s="6"/>
      <c r="S55" s="6"/>
      <c r="T55" s="35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N56" s="50">
        <v>27</v>
      </c>
      <c r="O56" s="6"/>
      <c r="P56" s="6"/>
      <c r="Q56" s="6"/>
      <c r="R56" s="6"/>
      <c r="S56" s="6"/>
      <c r="T56" s="35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N57" s="50">
        <v>28</v>
      </c>
      <c r="O57" s="6"/>
      <c r="P57" s="6"/>
      <c r="Q57" s="6"/>
      <c r="R57" s="6"/>
      <c r="S57" s="6"/>
      <c r="T57" s="35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N58" s="50">
        <v>29</v>
      </c>
      <c r="O58" s="6"/>
      <c r="P58" s="6"/>
      <c r="Q58" s="6"/>
      <c r="R58" s="6"/>
      <c r="S58" s="6"/>
      <c r="T58" s="35"/>
      <c r="U58" s="6"/>
      <c r="V58" s="6"/>
      <c r="W58" s="6"/>
      <c r="X58" s="6"/>
      <c r="Y58" s="6"/>
    </row>
    <row r="59" spans="1:25" ht="20.149999999999999" customHeight="1" x14ac:dyDescent="0.75">
      <c r="A59" s="48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1">
        <v>30</v>
      </c>
      <c r="O59" s="45"/>
      <c r="P59" s="45"/>
      <c r="Q59" s="45"/>
      <c r="R59" s="45"/>
      <c r="S59" s="45"/>
      <c r="T59" s="46"/>
      <c r="U59" s="45"/>
      <c r="V59" s="45"/>
      <c r="W59" s="45"/>
      <c r="X59" s="45"/>
      <c r="Y59" s="45"/>
    </row>
    <row r="60" spans="1:25" ht="20.149999999999999" customHeight="1" x14ac:dyDescent="0.75">
      <c r="A60" s="23">
        <v>21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N60" s="53">
        <v>31</v>
      </c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20.149999999999999" customHeight="1" x14ac:dyDescent="0.75">
      <c r="A61" s="23">
        <v>22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N61" s="53">
        <v>32</v>
      </c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20.149999999999999" customHeight="1" x14ac:dyDescent="0.75">
      <c r="A62" s="23">
        <v>23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N62" s="53">
        <v>33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ht="20.149999999999999" customHeight="1" x14ac:dyDescent="0.75">
      <c r="A63" s="23">
        <v>24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N63" s="53">
        <v>34</v>
      </c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ht="20.149999999999999" customHeight="1" x14ac:dyDescent="0.75">
      <c r="A64" s="48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4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23">
        <v>26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N65" s="53">
        <v>36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ht="20.149999999999999" customHeight="1" x14ac:dyDescent="0.75">
      <c r="A66" s="23">
        <v>27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N66" s="53">
        <v>37</v>
      </c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20.149999999999999" customHeight="1" x14ac:dyDescent="0.75">
      <c r="A67" s="23">
        <v>28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N67" s="53">
        <v>38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ht="20.149999999999999" customHeight="1" x14ac:dyDescent="0.75">
      <c r="A68" s="23">
        <v>29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N68" s="53">
        <v>39</v>
      </c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ht="20.149999999999999" customHeight="1" x14ac:dyDescent="0.75">
      <c r="A69" s="48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4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23">
        <v>31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N70" s="53">
        <v>41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ht="20.149999999999999" customHeight="1" x14ac:dyDescent="0.75">
      <c r="A71" s="23">
        <v>32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N71" s="53">
        <v>42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ht="20.149999999999999" customHeight="1" x14ac:dyDescent="0.75">
      <c r="A72" s="23">
        <v>33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N72" s="53">
        <v>43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ht="20.149999999999999" customHeight="1" x14ac:dyDescent="0.75">
      <c r="A73" s="23">
        <v>34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N73" s="53">
        <v>44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ht="20.149999999999999" customHeight="1" x14ac:dyDescent="0.75">
      <c r="A74" s="48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4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23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N75" s="53">
        <v>46</v>
      </c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ht="20.149999999999999" customHeight="1" x14ac:dyDescent="0.75">
      <c r="A76" s="23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N76" s="53">
        <v>47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ht="20.149999999999999" customHeight="1" x14ac:dyDescent="0.75">
      <c r="A77" s="23">
        <v>38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N77" s="53">
        <v>48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ht="20.149999999999999" customHeight="1" x14ac:dyDescent="0.75">
      <c r="A78" s="23">
        <v>39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N78" s="53">
        <v>49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ht="20.149999999999999" customHeight="1" x14ac:dyDescent="0.75">
      <c r="A79" s="48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4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23">
        <v>41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N80" s="53">
        <v>51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ht="20.149999999999999" customHeight="1" x14ac:dyDescent="0.75">
      <c r="A81" s="23">
        <v>42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N81" s="53">
        <v>52</v>
      </c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ht="20.149999999999999" customHeight="1" x14ac:dyDescent="0.75">
      <c r="A82" s="23">
        <v>43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N82" s="53">
        <v>53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ht="20.149999999999999" customHeight="1" x14ac:dyDescent="0.75">
      <c r="A83" s="23">
        <v>44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N83" s="53">
        <v>54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ht="20.149999999999999" customHeight="1" x14ac:dyDescent="0.75">
      <c r="A84" s="48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4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23">
        <v>46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N85" s="53">
        <v>56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44903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44894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7"/>
      <c r="N19" s="22" t="s">
        <v>195</v>
      </c>
      <c r="T19" s="1"/>
      <c r="V19" s="1"/>
    </row>
    <row r="20" spans="1:23" x14ac:dyDescent="0.75">
      <c r="A20" s="58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7"/>
      <c r="N20" s="22" t="s">
        <v>166</v>
      </c>
      <c r="T20" s="1"/>
      <c r="V20" s="1"/>
    </row>
    <row r="21" spans="1:23" x14ac:dyDescent="0.75">
      <c r="A21" s="58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7"/>
      <c r="N21" s="22" t="s">
        <v>167</v>
      </c>
      <c r="T21" s="1"/>
      <c r="V21" s="1"/>
      <c r="W21" s="2"/>
    </row>
    <row r="22" spans="1:23" x14ac:dyDescent="0.75">
      <c r="A22" s="58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7"/>
      <c r="N22" s="57"/>
      <c r="T22" s="1"/>
      <c r="V22" s="1"/>
      <c r="W22" s="2"/>
    </row>
    <row r="23" spans="1:23" x14ac:dyDescent="0.75">
      <c r="A23" s="58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7"/>
      <c r="N23" s="55" t="s">
        <v>141</v>
      </c>
      <c r="T23" s="1"/>
      <c r="V23" s="1"/>
      <c r="W23" s="2"/>
    </row>
    <row r="24" spans="1:23" x14ac:dyDescent="0.75">
      <c r="A24" s="58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7"/>
      <c r="U29" s="1"/>
      <c r="V29" s="1"/>
    </row>
    <row r="30" spans="1:23" x14ac:dyDescent="0.75">
      <c r="A30" s="56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6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>
        <v>130</v>
      </c>
      <c r="U33" s="1"/>
      <c r="V33" s="1"/>
    </row>
    <row r="34" spans="1:22" x14ac:dyDescent="0.75">
      <c r="A34" s="56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>
        <v>150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63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26</v>
      </c>
    </row>
    <row r="41" spans="1:22" x14ac:dyDescent="0.75">
      <c r="A41" s="5" t="s">
        <v>44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35</v>
      </c>
    </row>
    <row r="42" spans="1:22" x14ac:dyDescent="0.75">
      <c r="A42" s="5" t="s">
        <v>65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37</v>
      </c>
    </row>
    <row r="43" spans="1:22" x14ac:dyDescent="0.75">
      <c r="A43" s="5" t="s">
        <v>64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171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101</v>
      </c>
    </row>
    <row r="46" spans="1:22" x14ac:dyDescent="0.75">
      <c r="A46" s="5" t="s">
        <v>44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38</v>
      </c>
    </row>
    <row r="47" spans="1:22" x14ac:dyDescent="0.75">
      <c r="A47" s="5" t="s">
        <v>70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32</v>
      </c>
    </row>
    <row r="48" spans="1:22" x14ac:dyDescent="0.75">
      <c r="A48" s="5" t="s">
        <v>69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172</v>
      </c>
    </row>
    <row r="49" spans="1:20" x14ac:dyDescent="0.75">
      <c r="A49" s="22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186</v>
      </c>
    </row>
    <row r="50" spans="1:20" x14ac:dyDescent="0.75">
      <c r="A50" s="56" t="s">
        <v>61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187</v>
      </c>
    </row>
    <row r="51" spans="1:20" x14ac:dyDescent="0.75">
      <c r="A51" s="5" t="s">
        <v>44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173</v>
      </c>
    </row>
    <row r="53" spans="1:20" x14ac:dyDescent="0.75">
      <c r="A53" s="5" t="s">
        <v>67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22" t="s">
        <v>31</v>
      </c>
    </row>
    <row r="54" spans="1:20" x14ac:dyDescent="0.75">
      <c r="A54" s="22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22" t="s">
        <v>23</v>
      </c>
    </row>
    <row r="55" spans="1:20" x14ac:dyDescent="0.75">
      <c r="A55" s="55" t="s">
        <v>62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22" t="s">
        <v>44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27</v>
      </c>
    </row>
    <row r="57" spans="1:20" x14ac:dyDescent="0.75">
      <c r="A57" s="57" t="s">
        <v>177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8" t="s">
        <v>155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22" t="s">
        <v>33</v>
      </c>
    </row>
    <row r="59" spans="1:20" x14ac:dyDescent="0.75">
      <c r="A59" s="58" t="s">
        <v>148</v>
      </c>
    </row>
    <row r="60" spans="1:20" x14ac:dyDescent="0.75">
      <c r="A60" s="58" t="s">
        <v>149</v>
      </c>
      <c r="O60" s="1"/>
      <c r="Q60" s="1"/>
      <c r="R60" s="3"/>
      <c r="S60" s="1"/>
    </row>
    <row r="61" spans="1:20" x14ac:dyDescent="0.75">
      <c r="A61" s="58" t="s">
        <v>150</v>
      </c>
      <c r="O61" s="1"/>
      <c r="Q61" s="1"/>
      <c r="R61" s="1"/>
      <c r="S61" s="1"/>
    </row>
    <row r="62" spans="1:20" x14ac:dyDescent="0.75">
      <c r="A62" s="58" t="s">
        <v>151</v>
      </c>
      <c r="O62" s="1"/>
      <c r="Q62" s="1"/>
      <c r="R62" s="1"/>
      <c r="S62" s="1"/>
    </row>
    <row r="63" spans="1:20" x14ac:dyDescent="0.75">
      <c r="A63" s="58" t="s">
        <v>152</v>
      </c>
      <c r="O63" s="1"/>
      <c r="Q63" s="1"/>
      <c r="R63" s="1"/>
      <c r="S63" s="1"/>
      <c r="T63" s="1"/>
    </row>
    <row r="64" spans="1:20" x14ac:dyDescent="0.75">
      <c r="A64" s="58" t="s">
        <v>153</v>
      </c>
      <c r="O64" s="1"/>
      <c r="Q64" s="1"/>
      <c r="R64" s="1"/>
      <c r="S64" s="1"/>
      <c r="T64" s="1"/>
    </row>
    <row r="65" spans="1:20" x14ac:dyDescent="0.75">
      <c r="A65" s="58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152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153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174</v>
      </c>
      <c r="N69" s="4"/>
    </row>
    <row r="70" spans="1:20" x14ac:dyDescent="0.75">
      <c r="A70" s="58" t="s">
        <v>154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64105AC-E5E6-42D1-8426-18F54054E806}"/>
</file>

<file path=customXml/itemProps2.xml><?xml version="1.0" encoding="utf-8"?>
<ds:datastoreItem xmlns:ds="http://schemas.openxmlformats.org/officeDocument/2006/customXml" ds:itemID="{E66BAA86-596B-4A62-878D-21EED6658A99}"/>
</file>

<file path=customXml/itemProps3.xml><?xml version="1.0" encoding="utf-8"?>
<ds:datastoreItem xmlns:ds="http://schemas.openxmlformats.org/officeDocument/2006/customXml" ds:itemID="{025C0B44-1F84-48A1-8132-56C499A74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2022-11-08T00:21:04Z</cp:lastPrinted>
  <dcterms:created xsi:type="dcterms:W3CDTF">2019-11-27T23:28:06Z</dcterms:created>
  <dcterms:modified xsi:type="dcterms:W3CDTF">2022-11-09T23:26:01Z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