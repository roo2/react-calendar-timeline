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9325DAF3-B625-4FEC-B67F-9B5CF77A3FD2}" xr6:coauthVersionLast="45" xr6:coauthVersionMax="45" xr10:uidLastSave="{00000000-0000-0000-0000-000000000000}"/>
  <bookViews>
    <workbookView xWindow="60" yWindow="1230" windowWidth="28740" windowHeight="1437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<sst xmlns="http://schemas.openxmlformats.org/spreadsheetml/2006/main" count="303" uniqueCount="199">
  <si>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</si>
  <si>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</si>
  <si>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</si>
  <si>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</si>
  <si>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</si>
  <si>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</si>
  <si>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</si>
  <si>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</si>
  <si>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</si>
  <si>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</si>
  <si>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</si>
  <si>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</si>
  <si>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</si>
  <si>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</si>
  <si>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</si>
  <si>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</si>
  <si>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</si>
  <si>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</si>
  <si>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</si>
  <si>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</si>
  <si>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</si>
  <si>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</si>
  <si>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</si>
  <si>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</si>
  <si>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</si>
  <si>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</si>
  <si>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</si>
  <si>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</si>
  <si>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</si>
  <si>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</si>
  <si>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</si>
  <si>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</si>
  <si>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</si>
  <si>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</si>
  <si>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</si>
  <si>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</si>
  <si>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</si>
  <si>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</si>
  <si>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</si>
  <si>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</si>
  <si>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</si>
  <si>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</si>
  <si>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</si>
  <si>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</si>
  <si>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</si>
  <si>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</si>
  <si>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</si>
  <si>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</si>
  <si>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</si>
  <si>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</si>
  <si>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</si>
  <si>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</si>
  <si>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</si>
  <si>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</si>
  <si>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</si>
  <si>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</si>
  <si>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</si>
  <si>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</si>
  <si>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</si>
  <si>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</si>
  <si>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</si>
  <si>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</si>
  <si>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</si>
  <si>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</si>
  <si>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</si>
  <si>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</si>
  <si>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</si>
  <si>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</si>
  <si>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</si>
  <si>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</si>
  <si>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</si>
  <si>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</si>
  <si>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</si>
  <si>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</si>
  <si>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</si>
  <si>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</si>
  <si>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</si>
  <si>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</si>
  <si>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</si>
  <si>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</si>
  <si>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</si>
  <si>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</si>
  <si>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</si>
  <si>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</si>
  <si>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</si>
  <si>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</si>
  <si>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</si>
  <si>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</si>
  <si>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</si>
  <si>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</si>
  <si>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</si>
  <si>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</si>
  <si>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</si>
  <si>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</si>
  <si>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</si>
  <si>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</si>
  <si>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</si>
  <si>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</si>
  <si>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</si>
  <si>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</si>
  <si>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</si>
  <si>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</si>
  <si>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</si>
  <si>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</si>
  <si>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</si>
  <si>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</si>
  <si>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</si>
  <si>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</si>
  <si>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</si>
  <si>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</si>
  <si>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</si>
  <si>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</si>
  <si>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</si>
  <si>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</si>
  <si>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</si>
  <si>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</si>
  <si>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</si>
  <si>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</si>
  <si>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</si>
  <si>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</si>
  <si>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</si>
  <si>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</si>
  <si>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</si>
  <si>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</si>
  <si>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</si>
  <si>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</si>
  <si>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</si>
  <si>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</si>
  <si>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</si>
  <si>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</si>
  <si>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</si>
  <si>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</si>
  <si>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</si>
  <si>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</si>
  <si>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</si>
  <si>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</si>
  <si>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</si>
  <si>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</si>
  <si>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</si>
  <si>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</si>
  <si>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</si>
  <si>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</si>
  <si>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</si>
  <si>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</si>
  <si>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</si>
  <si>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</si>
  <si>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</si>
  <si>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</si>
  <si>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</si>
  <si>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</si>
  <si>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</si>
  <si>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</si>
  <si>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</si>
  <si>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</si>
  <si>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</si>
  <si>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</si>
  <si>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</si>
  <si>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</si>
  <si>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</si>
  <si>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</si>
  <si>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</si>
  <si>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</si>
  <si>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</si>
  <si>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</si>
  <si>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</si>
  <si>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</si>
  <si>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</si>
  <si>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</si>
  <si>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</si>
  <si>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</si>
  <si>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</si>
  <si>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</si>
  <si>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</si>
  <si>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</si>
  <si>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</si>
  <si>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</si>
  <si>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</si>
  <si>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</si>
  <si>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</si>
  <si>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</si>
  <si>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</si>
  <si>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</si>
  <si>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</si>
  <si>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</si>
  <si>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</si>
  <si>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</si>
  <si>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</si>
  <si>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</si>
  <si>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</si>
  <si>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</si>
  <si>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</si>
  <si>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</si>
  <si>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</si>
  <si>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</si>
  <si>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</si>
  <si>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100% REEF SAFE</t>
  </si>
  <si>
    <t xml:space="preserve"> NEW ITEM - MUST HAVE WATER TIGHT SEALS - PLEASE CHECK FREQUENTLY</t>
  </si>
  <si>
    <t>RUN AT 50um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</si>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</sst>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Y25" sqref="Y2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PB23040550</v>
      </c>
      <c r="C1" s="122"/>
      <c r="D1" s="123"/>
      <c r="E1" s="12" t="s">
        <v>57</v>
      </c>
      <c r="F1" s="133" t="s">
        <v>195</v>
      </c>
      <c r="G1" s="133"/>
      <c r="H1" s="134"/>
      <c r="I1" s="13" t="s">
        <v>181</v>
      </c>
      <c r="J1" s="95">
        <f ca="1">TODAY()</f>
        <v>44054</v>
      </c>
      <c r="K1" s="95"/>
      <c r="L1" s="96"/>
      <c r="M1" s="34"/>
      <c r="N1" s="12" t="s">
        <v>56</v>
      </c>
      <c r="O1" s="122" t="str">
        <f>B1</f>
        <v>PB23040550</v>
      </c>
      <c r="P1" s="122"/>
      <c r="Q1" s="123"/>
      <c r="R1" s="12" t="s">
        <v>57</v>
      </c>
      <c r="S1" s="122" t="str">
        <f>F1</f>
        <v>100% REEF SAFE</v>
      </c>
      <c r="T1" s="122"/>
      <c r="U1" s="123"/>
      <c r="V1" s="12" t="s">
        <v>181</v>
      </c>
      <c r="W1" s="95">
        <f ca="1">J1</f>
        <v>44054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937707</v>
      </c>
      <c r="G2" s="98"/>
      <c r="H2" s="99"/>
      <c r="I2" s="12" t="s">
        <v>59</v>
      </c>
      <c r="J2" s="97">
        <v>44050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937707</v>
      </c>
      <c r="T2" s="122"/>
      <c r="U2" s="123"/>
      <c r="V2" s="12" t="s">
        <v>59</v>
      </c>
      <c r="W2" s="135">
        <f>J2</f>
        <v>44050</v>
      </c>
      <c r="X2" s="122"/>
      <c r="Y2" s="123"/>
    </row>
    <row r="3" spans="1:28" ht="20.100000000000001" customHeight="1" x14ac:dyDescent="0.25">
      <c r="A3" s="124" t="s">
        <v>196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 xml:space="preserve"> NEW ITEM - MUST HAVE WATER TIGHT SEALS - PLEASE CHECK FREQUENTLY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6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6000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230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50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8" t="s">
        <v>48</v>
      </c>
      <c r="B9" s="110" t="s">
        <v>193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197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230</v>
      </c>
      <c r="S9" s="20" t="s">
        <v>78</v>
      </c>
      <c r="T9" s="35">
        <v>405</v>
      </c>
      <c r="U9" s="20" t="s">
        <v>78</v>
      </c>
      <c r="V9" s="35">
        <v>50</v>
      </c>
      <c r="W9" s="19"/>
      <c r="X9" s="151"/>
      <c r="Y9" s="152"/>
    </row>
    <row r="10" spans="1:28" ht="20.100000000000001" customHeight="1" x14ac:dyDescent="0.25">
      <c r="A10" s="12" t="s">
        <v>51</v>
      </c>
      <c r="B10" s="98">
        <v>4</v>
      </c>
      <c r="C10" s="99"/>
      <c r="D10" s="54" t="s">
        <v>134</v>
      </c>
      <c r="E10" s="112">
        <f>IF(ISNUMBER(SEARCH("sheet",O8,1)),((R9*T9*H8/540000)*U7/2000*1.3),((R9*T9*H8/540000)*U7/1000*1.08))</f>
        <v>55.89</v>
      </c>
      <c r="F10" s="113"/>
      <c r="G10" s="12" t="s">
        <v>53</v>
      </c>
      <c r="H10" s="116">
        <f>IF(ISNUMBER(SEARCH("sheet",O8,1)),(U7*T9/2000*1.08),(U7*T9/1000*1.08))</f>
        <v>2624.4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13.9725</v>
      </c>
      <c r="F11" s="115"/>
      <c r="G11" s="12" t="s">
        <v>15</v>
      </c>
      <c r="H11" s="114">
        <f>H10/B10</f>
        <v>656.1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130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198</v>
      </c>
      <c r="P25" s="39">
        <v>28</v>
      </c>
      <c r="Q25" s="10"/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44085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44075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70E4F71-88D6-47AE-BE7E-DA239A723125}"/>
</file>

<file path=customXml/itemProps2.xml><?xml version="1.0" encoding="utf-8"?>
<ds:datastoreItem xmlns:ds="http://schemas.openxmlformats.org/officeDocument/2006/customXml" ds:itemID="{E131B9E1-75EB-4225-8531-F00B78F122D3}"/>
</file>

<file path=customXml/itemProps3.xml><?xml version="1.0" encoding="utf-8"?>
<ds:datastoreItem xmlns:ds="http://schemas.openxmlformats.org/officeDocument/2006/customXml" ds:itemID="{1F5A1A85-68DF-4B8C-8E1A-B868726AD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2020-07-07T02:13:55Z</cp:lastPrinted>
  <dcterms:created xsi:type="dcterms:W3CDTF">2019-11-27T23:28:06Z</dcterms:created>
  <dcterms:modified xsi:type="dcterms:W3CDTF">2020-08-10T23:50:55Z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