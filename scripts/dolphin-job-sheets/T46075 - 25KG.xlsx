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AB0EA89-193B-4968-A8EA-C7573C8CEA7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<sst xmlns="http://schemas.openxmlformats.org/spreadsheetml/2006/main" count="227" uniqueCount="167">
  <si>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</si>
  <si>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</si>
  <si>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</si>
  <si>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</si>
  <si>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</si>
  <si>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</si>
  <si>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</si>
  <si>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</si>
  <si>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</si>
  <si>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</si>
  <si>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</si>
  <si>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</si>
  <si>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</si>
  <si>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</si>
  <si>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</si>
  <si>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</si>
  <si>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</si>
  <si>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</si>
  <si>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</si>
  <si>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</si>
  <si>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</si>
  <si>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</si>
  <si>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</si>
  <si>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</si>
  <si>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</si>
  <si>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</si>
  <si>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</si>
  <si>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</si>
  <si>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</si>
  <si>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</si>
  <si>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</si>
  <si>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</si>
  <si>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</si>
  <si>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</si>
  <si>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</si>
  <si>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</si>
  <si>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</si>
  <si>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</si>
  <si>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</si>
  <si>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</si>
  <si>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</si>
  <si>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</si>
  <si>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</si>
  <si>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</si>
  <si>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</si>
  <si>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</si>
  <si>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</si>
  <si>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</si>
  <si>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</si>
  <si>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</si>
  <si>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</si>
  <si>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</si>
  <si>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</si>
  <si>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</si>
  <si>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</si>
  <si>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</si>
  <si>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</si>
  <si>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</si>
  <si>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</si>
  <si>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</si>
  <si>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</si>
  <si>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</si>
  <si>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</si>
  <si>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</si>
  <si>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</si>
  <si>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</si>
  <si>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</si>
  <si>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</si>
  <si>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</si>
  <si>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</si>
  <si>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</si>
  <si>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</si>
  <si>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</si>
  <si>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</si>
  <si>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</si>
  <si>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</si>
  <si>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</si>
  <si>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</si>
  <si>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</si>
  <si>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</si>
  <si>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</si>
  <si>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</si>
  <si>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</si>
  <si>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</si>
  <si>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</si>
  <si>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</si>
  <si>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</si>
  <si>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</si>
  <si>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</si>
  <si>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</si>
  <si>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</si>
  <si>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</si>
  <si>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</si>
  <si>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</si>
  <si>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</si>
  <si>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</si>
  <si>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</si>
  <si>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</si>
  <si>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</si>
  <si>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</si>
  <si>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</si>
  <si>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</si>
  <si>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</si>
  <si>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</si>
  <si>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</si>
  <si>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</si>
  <si>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</si>
  <si>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</si>
  <si>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</si>
  <si>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</si>
  <si>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</si>
  <si>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</si>
  <si>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</si>
  <si>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</si>
  <si>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</si>
  <si>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</si>
  <si>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</si>
  <si>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</si>
  <si>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</si>
  <si>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</si>
  <si>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</si>
  <si>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</si>
  <si>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</si>
  <si>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</si>
  <si>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</si>
  <si>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</si>
  <si>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</si>
  <si>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</si>
  <si>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</si>
  <si>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</si>
  <si>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</si>
  <si>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</si>
  <si>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</si>
  <si>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</si>
  <si>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</si>
  <si>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</si>
  <si>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</si>
  <si>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</si>
  <si>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</si>
  <si>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</si>
  <si>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</si>
  <si>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</si>
  <si>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</si>
  <si>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</si>
  <si>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</si>
  <si>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</si>
  <si>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</si>
  <si>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</si>
  <si>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</si>
  <si>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</si>
  <si>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</si>
  <si>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</si>
  <si>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</si>
  <si>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</si>
  <si>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</si>
  <si>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</si>
  <si>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</si>
  <si>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</si>
  <si>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</si>
  <si>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</si>
  <si>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</si>
  <si>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</si>
  <si>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</si>
  <si>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</si>
  <si>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LINE 3</t>
  </si>
  <si>
    <t>#4</t>
  </si>
  <si>
    <t xml:space="preserve">PROTECTIVE PLASTICS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</si>
</sst>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1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0" sqref="B10:C10"/>
    </sheetView>
  </sheetViews>
  <sheetFormatPr defaultRowHeight="15" x14ac:dyDescent="0.25"/>
  <sheetData>
    <row r="1" spans="1:14" ht="20.100000000000001" customHeight="1" x14ac:dyDescent="0.25">
      <c r="A1" s="9" t="s">
        <v>54</v>
      </c>
      <c r="B1" s="101" t="str">
        <f>IF(B7="Tube","T",IF(B7="Cont Sheet Roll","SR",IF(B7="Cont Centrefold","CFR")))&amp;B8&amp;IF(E8="","","("&amp;E8&amp;")")&amp;H8&amp;(IF(K11="INLINE","P",IF(K11="OUT OF LINE","P",IF(K11="NONE",""))))&amp;C24&amp;C25</f>
        <v>T46075</v>
      </c>
      <c r="C1" s="101"/>
      <c r="D1" s="102"/>
      <c r="E1" s="9" t="s">
        <v>55</v>
      </c>
      <c r="F1" s="46" t="s">
        <v>166</v>
      </c>
      <c r="G1" s="46"/>
      <c r="H1" s="47"/>
      <c r="I1" s="9" t="s">
        <v>148</v>
      </c>
      <c r="J1" s="112">
        <f ca="1">TODAY()</f>
        <v>46066</v>
      </c>
      <c r="K1" s="112"/>
      <c r="L1" s="113"/>
    </row>
    <row r="2" spans="1:14" ht="20.100000000000001" customHeight="1" x14ac:dyDescent="0.25">
      <c r="A2" s="9" t="s">
        <v>94</v>
      </c>
      <c r="B2" s="92" t="str">
        <f>IF(B7="Tube",(ROUNDUP(E11,0)&amp;"KG"),(ROUNDUP(H11,0)&amp;"M"))</f>
        <v>25KG</v>
      </c>
      <c r="C2" s="92"/>
      <c r="D2" s="93"/>
      <c r="E2" s="9" t="s">
        <v>56</v>
      </c>
      <c r="F2" s="46">
        <v>950694</v>
      </c>
      <c r="G2" s="46"/>
      <c r="H2" s="47"/>
      <c r="I2" s="9" t="s">
        <v>57</v>
      </c>
      <c r="J2" s="114" t="s">
        <v>162</v>
      </c>
      <c r="K2" s="46"/>
      <c r="L2" s="47"/>
    </row>
    <row r="3" spans="1:14" ht="20.100000000000001" customHeight="1" x14ac:dyDescent="0.25">
      <c r="A3" s="103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4" ht="20.100000000000001" customHeight="1" x14ac:dyDescent="0.2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4" ht="20.100000000000001" customHeight="1" x14ac:dyDescent="0.2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4" ht="20.100000000000001" customHeight="1" x14ac:dyDescent="0.2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00000000000001" customHeight="1" x14ac:dyDescent="0.3">
      <c r="A7" s="9" t="s">
        <v>158</v>
      </c>
      <c r="B7" s="46" t="s">
        <v>159</v>
      </c>
      <c r="C7" s="47"/>
      <c r="D7" s="9" t="s">
        <v>47</v>
      </c>
      <c r="E7" s="45" t="s">
        <v>131</v>
      </c>
      <c r="F7" s="45"/>
      <c r="G7" s="45"/>
      <c r="H7" s="45"/>
      <c r="I7" s="45"/>
      <c r="J7" s="96" t="s">
        <v>145</v>
      </c>
      <c r="K7" s="96"/>
      <c r="L7" s="77"/>
    </row>
    <row r="8" spans="1:14" ht="20.100000000000001" customHeight="1" x14ac:dyDescent="0.25">
      <c r="A8" s="10" t="s">
        <v>14</v>
      </c>
      <c r="B8" s="68">
        <v>460</v>
      </c>
      <c r="C8" s="69"/>
      <c r="D8" s="10" t="str">
        <f>IF(B7="Tube","Gusset","Centrefold")</f>
        <v>Gusset</v>
      </c>
      <c r="E8" s="97" t="str">
        <f>IF(B7="Cont Centrefold",B8*2,"")</f>
        <v/>
      </c>
      <c r="F8" s="98"/>
      <c r="G8" s="10" t="s">
        <v>50</v>
      </c>
      <c r="H8" s="68">
        <v>75</v>
      </c>
      <c r="I8" s="69"/>
      <c r="J8" s="9" t="s">
        <v>52</v>
      </c>
      <c r="K8" s="101" t="str">
        <f>IF(ISNUMBER(SEARCH("+",E8,1)),"Gusset Tube","Layflat Tube")</f>
        <v>Layflat Tube</v>
      </c>
      <c r="L8" s="102"/>
    </row>
    <row r="9" spans="1:14" ht="20.100000000000001" customHeight="1" x14ac:dyDescent="0.3">
      <c r="A9" s="11" t="s">
        <v>46</v>
      </c>
      <c r="B9" s="84" t="s">
        <v>146</v>
      </c>
      <c r="C9" s="85"/>
      <c r="D9" s="116" t="str">
        <f>IF(K10="Middle","RUN 2 UP",IF(AND(B7="Cont Centrefold",B8=380),"RUN 2 UP",""))</f>
        <v/>
      </c>
      <c r="E9" s="117"/>
      <c r="F9" s="118"/>
      <c r="G9" s="11" t="s">
        <v>46</v>
      </c>
      <c r="H9" s="84" t="s">
        <v>146</v>
      </c>
      <c r="I9" s="85"/>
      <c r="J9" s="9" t="s">
        <v>53</v>
      </c>
      <c r="K9" s="46" t="s">
        <v>28</v>
      </c>
      <c r="L9" s="47"/>
    </row>
    <row r="10" spans="1:14" ht="20.100000000000001" customHeight="1" x14ac:dyDescent="0.25">
      <c r="A10" s="9" t="s">
        <v>49</v>
      </c>
      <c r="B10" s="46">
        <v>2</v>
      </c>
      <c r="C10" s="47"/>
      <c r="D10" s="34" t="s">
        <v>104</v>
      </c>
      <c r="E10" s="88">
        <f>E11*B10</f>
        <v>50</v>
      </c>
      <c r="F10" s="89"/>
      <c r="G10" s="9" t="s">
        <v>51</v>
      </c>
      <c r="H10" s="92">
        <f>H11*B10</f>
        <v>782.60869565217388</v>
      </c>
      <c r="I10" s="93"/>
      <c r="J10" s="9" t="s">
        <v>39</v>
      </c>
      <c r="K10" s="46" t="s">
        <v>42</v>
      </c>
      <c r="L10" s="47"/>
    </row>
    <row r="11" spans="1:14" s="41" customFormat="1" ht="20.100000000000001" customHeight="1" x14ac:dyDescent="0.25">
      <c r="A11" s="40" t="str">
        <f>IF(B7="Cont Sheet Roll","Sheet Rolls",IF(B7="Cont Centrefold","CF Rolls",""))</f>
        <v/>
      </c>
      <c r="B11" s="86" t="str">
        <f>IF(AND(B7="Cont Centrefold",D9="RUN 2 UP"),B10*2,IF(B7="Cont Centrefold",B10,IF(B7="Cont Sheet Roll",B10*2,"")))</f>
        <v/>
      </c>
      <c r="C11" s="87"/>
      <c r="D11" s="40" t="s">
        <v>105</v>
      </c>
      <c r="E11" s="90">
        <v>25</v>
      </c>
      <c r="F11" s="91"/>
      <c r="G11" s="40" t="s">
        <v>13</v>
      </c>
      <c r="H11" s="94">
        <f>E11*540000/B8/H8</f>
        <v>391.30434782608694</v>
      </c>
      <c r="I11" s="95"/>
      <c r="J11" s="40" t="s">
        <v>48</v>
      </c>
      <c r="K11" s="99" t="s">
        <v>42</v>
      </c>
      <c r="L11" s="100"/>
      <c r="N11"/>
    </row>
    <row r="12" spans="1:14" ht="20.100000000000001" customHeight="1" x14ac:dyDescent="0.25">
      <c r="A12" s="61" t="s">
        <v>11</v>
      </c>
      <c r="B12" s="62"/>
      <c r="C12" s="62"/>
      <c r="D12" s="62"/>
      <c r="E12" s="70"/>
      <c r="F12" s="70"/>
      <c r="G12" s="70"/>
      <c r="H12" s="70"/>
      <c r="I12" s="70"/>
      <c r="J12" s="70"/>
      <c r="K12" s="70"/>
      <c r="L12" s="71"/>
    </row>
    <row r="13" spans="1:14" ht="20.100000000000001" customHeight="1" x14ac:dyDescent="0.25">
      <c r="A13" s="9" t="s">
        <v>59</v>
      </c>
      <c r="B13" s="46" t="s">
        <v>42</v>
      </c>
      <c r="C13" s="46"/>
      <c r="D13" s="47"/>
      <c r="E13" s="12" t="s">
        <v>60</v>
      </c>
      <c r="F13" s="46" t="s">
        <v>42</v>
      </c>
      <c r="G13" s="46"/>
      <c r="H13" s="47"/>
      <c r="I13" s="9" t="s">
        <v>61</v>
      </c>
      <c r="J13" s="46" t="s">
        <v>42</v>
      </c>
      <c r="K13" s="46"/>
      <c r="L13" s="47"/>
    </row>
    <row r="14" spans="1:14" ht="20.100000000000001" customHeight="1" x14ac:dyDescent="0.3">
      <c r="A14" s="10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2"/>
    </row>
    <row r="15" spans="1:14" ht="20.100000000000001" customHeight="1" x14ac:dyDescent="0.2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20"/>
    </row>
    <row r="16" spans="1:14" ht="20.100000000000001" customHeight="1" x14ac:dyDescent="0.25">
      <c r="A16" s="9" t="s">
        <v>71</v>
      </c>
      <c r="B16" s="46" t="s">
        <v>75</v>
      </c>
      <c r="C16" s="46"/>
      <c r="D16" s="47"/>
      <c r="E16" s="9" t="s">
        <v>72</v>
      </c>
      <c r="F16" s="101">
        <f>B10</f>
        <v>2</v>
      </c>
      <c r="G16" s="101"/>
      <c r="H16" s="102"/>
      <c r="I16" s="9" t="s">
        <v>74</v>
      </c>
      <c r="J16" s="46"/>
      <c r="K16" s="46"/>
      <c r="L16" s="47"/>
    </row>
    <row r="17" spans="1:12" ht="20.100000000000001" customHeight="1" x14ac:dyDescent="0.25">
      <c r="A17" s="73" t="s">
        <v>149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00000000000001" customHeight="1" x14ac:dyDescent="0.2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00000000000001" customHeight="1" x14ac:dyDescent="0.25">
      <c r="A19" s="78" t="s">
        <v>5</v>
      </c>
      <c r="B19" s="78"/>
      <c r="C19" s="57" t="s">
        <v>115</v>
      </c>
      <c r="D19" s="58"/>
      <c r="E19" s="59"/>
      <c r="F19" s="60"/>
      <c r="G19" s="8" t="s">
        <v>76</v>
      </c>
      <c r="H19" s="29"/>
      <c r="I19" s="66"/>
      <c r="J19" s="67"/>
      <c r="K19" s="66"/>
      <c r="L19" s="67"/>
    </row>
    <row r="20" spans="1:12" ht="20.100000000000001" customHeight="1" x14ac:dyDescent="0.25">
      <c r="A20" s="78" t="s">
        <v>6</v>
      </c>
      <c r="B20" s="78"/>
      <c r="C20" s="57" t="s">
        <v>114</v>
      </c>
      <c r="D20" s="58"/>
      <c r="E20" s="59"/>
      <c r="F20" s="60"/>
      <c r="G20" s="8" t="s">
        <v>77</v>
      </c>
      <c r="H20" s="29"/>
      <c r="I20" s="66"/>
      <c r="J20" s="67"/>
      <c r="K20" s="66"/>
      <c r="L20" s="67"/>
    </row>
    <row r="21" spans="1:12" ht="20.100000000000001" customHeight="1" x14ac:dyDescent="0.25">
      <c r="A21" s="78" t="s">
        <v>7</v>
      </c>
      <c r="B21" s="78"/>
      <c r="C21" s="57" t="s">
        <v>113</v>
      </c>
      <c r="D21" s="58"/>
      <c r="E21" s="59"/>
      <c r="F21" s="60"/>
      <c r="G21" s="8" t="s">
        <v>78</v>
      </c>
      <c r="H21" s="29"/>
      <c r="I21" s="66"/>
      <c r="J21" s="67"/>
      <c r="K21" s="66"/>
      <c r="L21" s="67"/>
    </row>
    <row r="22" spans="1:12" ht="20.100000000000001" customHeight="1" x14ac:dyDescent="0.25">
      <c r="A22" s="78" t="s">
        <v>8</v>
      </c>
      <c r="B22" s="78"/>
      <c r="C22" s="57" t="s">
        <v>112</v>
      </c>
      <c r="D22" s="58"/>
      <c r="E22" s="59"/>
      <c r="F22" s="60"/>
      <c r="G22" s="8" t="s">
        <v>79</v>
      </c>
      <c r="H22" s="29"/>
      <c r="I22" s="66"/>
      <c r="J22" s="67"/>
      <c r="K22" s="66"/>
      <c r="L22" s="67"/>
    </row>
    <row r="23" spans="1:12" ht="20.100000000000001" customHeight="1" x14ac:dyDescent="0.25">
      <c r="A23" s="78" t="s">
        <v>150</v>
      </c>
      <c r="B23" s="78"/>
      <c r="C23" s="57" t="s">
        <v>151</v>
      </c>
      <c r="D23" s="58"/>
      <c r="E23" s="59"/>
      <c r="F23" s="60"/>
      <c r="G23" s="8" t="s">
        <v>80</v>
      </c>
      <c r="H23" s="29"/>
      <c r="I23" s="66"/>
      <c r="J23" s="67"/>
      <c r="K23" s="66"/>
      <c r="L23" s="67"/>
    </row>
    <row r="24" spans="1:12" ht="20.100000000000001" customHeight="1" x14ac:dyDescent="0.25">
      <c r="A24" s="78" t="str">
        <f>(IF(E7="NATURAL","",E7))</f>
        <v/>
      </c>
      <c r="B24" s="78"/>
      <c r="C24" s="6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5"/>
      <c r="E24" s="59"/>
      <c r="F24" s="60"/>
      <c r="G24" s="8" t="s">
        <v>81</v>
      </c>
      <c r="H24" s="29"/>
      <c r="I24" s="66"/>
      <c r="J24" s="67"/>
      <c r="K24" s="66"/>
      <c r="L24" s="67"/>
    </row>
    <row r="25" spans="1:12" ht="20.100000000000001" customHeight="1" x14ac:dyDescent="0.25">
      <c r="A25" s="78"/>
      <c r="B25" s="78"/>
      <c r="C25" s="57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58"/>
      <c r="E25" s="59"/>
      <c r="F25" s="60"/>
      <c r="G25" s="8" t="s">
        <v>82</v>
      </c>
      <c r="H25" s="29"/>
      <c r="I25" s="66"/>
      <c r="J25" s="67"/>
      <c r="K25" s="66"/>
      <c r="L25" s="67"/>
    </row>
    <row r="26" spans="1:12" ht="20.100000000000001" customHeight="1" x14ac:dyDescent="0.25">
      <c r="A26" s="79" t="s">
        <v>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20.100000000000001" customHeight="1" x14ac:dyDescent="0.25">
      <c r="A27" s="13"/>
      <c r="B27" s="14" t="s">
        <v>147</v>
      </c>
      <c r="C27" s="14" t="s">
        <v>86</v>
      </c>
      <c r="D27" s="15" t="s">
        <v>84</v>
      </c>
      <c r="E27" s="15" t="s">
        <v>85</v>
      </c>
      <c r="F27" s="15" t="s">
        <v>87</v>
      </c>
      <c r="G27" s="119" t="s">
        <v>103</v>
      </c>
      <c r="H27" s="119"/>
      <c r="I27" s="119" t="s">
        <v>102</v>
      </c>
      <c r="J27" s="119"/>
      <c r="K27" s="15" t="s">
        <v>88</v>
      </c>
      <c r="L27" s="15" t="s">
        <v>89</v>
      </c>
    </row>
    <row r="28" spans="1:12" ht="20.100000000000001" customHeight="1" x14ac:dyDescent="0.25">
      <c r="A28" s="14" t="s">
        <v>90</v>
      </c>
      <c r="B28" s="6" t="s">
        <v>164</v>
      </c>
      <c r="C28" s="6"/>
      <c r="D28" s="6">
        <v>36.5</v>
      </c>
      <c r="E28" s="43">
        <v>2.4</v>
      </c>
      <c r="F28" s="6"/>
      <c r="G28" s="115"/>
      <c r="H28" s="115"/>
      <c r="I28" s="115"/>
      <c r="J28" s="115"/>
      <c r="K28" s="6"/>
      <c r="L28" s="21"/>
    </row>
    <row r="29" spans="1:12" ht="20.100000000000001" customHeight="1" x14ac:dyDescent="0.25">
      <c r="A29" s="14" t="s">
        <v>91</v>
      </c>
      <c r="B29" s="6" t="s">
        <v>165</v>
      </c>
      <c r="C29" s="6"/>
      <c r="D29" s="21">
        <v>32.4</v>
      </c>
      <c r="E29" s="44">
        <v>2.2999999999999998</v>
      </c>
      <c r="F29" s="6"/>
      <c r="G29" s="115"/>
      <c r="H29" s="115"/>
      <c r="I29" s="115"/>
      <c r="J29" s="115"/>
      <c r="K29" s="6"/>
      <c r="L29" s="21"/>
    </row>
    <row r="30" spans="1:12" ht="20.100000000000001" customHeight="1" x14ac:dyDescent="0.2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00000000000001" customHeight="1" x14ac:dyDescent="0.25">
      <c r="A31" s="17" t="s">
        <v>100</v>
      </c>
      <c r="B31" s="22"/>
      <c r="C31" s="20"/>
      <c r="D31" s="17" t="s">
        <v>86</v>
      </c>
      <c r="E31" s="23"/>
      <c r="F31" s="20"/>
      <c r="G31" s="19" t="s">
        <v>92</v>
      </c>
      <c r="H31" s="24"/>
      <c r="I31" s="24"/>
      <c r="J31" s="25"/>
      <c r="K31" s="24"/>
      <c r="L31" s="26"/>
    </row>
    <row r="32" spans="1:12" ht="20.100000000000001" customHeight="1" x14ac:dyDescent="0.25">
      <c r="A32" s="17" t="s">
        <v>99</v>
      </c>
      <c r="B32" s="22"/>
      <c r="C32" s="20"/>
      <c r="D32" s="17" t="s">
        <v>97</v>
      </c>
      <c r="E32" s="23"/>
      <c r="F32" s="27"/>
      <c r="G32" s="17" t="s">
        <v>92</v>
      </c>
      <c r="H32" s="23"/>
      <c r="I32" s="23"/>
      <c r="J32" s="23"/>
      <c r="K32" s="23"/>
      <c r="L32" s="20"/>
    </row>
    <row r="33" spans="1:12" ht="20.100000000000001" customHeight="1" x14ac:dyDescent="0.25">
      <c r="A33" s="18" t="s">
        <v>98</v>
      </c>
      <c r="B33" s="28"/>
      <c r="C33" s="26"/>
      <c r="D33" s="18" t="s">
        <v>83</v>
      </c>
      <c r="E33" s="24"/>
      <c r="F33" s="26"/>
      <c r="G33" s="18" t="s">
        <v>96</v>
      </c>
      <c r="H33" s="24"/>
      <c r="I33" s="24"/>
      <c r="J33" s="24"/>
      <c r="K33" s="24"/>
      <c r="L33" s="26"/>
    </row>
    <row r="34" spans="1:12" ht="20.100000000000001" customHeight="1" x14ac:dyDescent="0.2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00000000000001" customHeight="1" x14ac:dyDescent="0.2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00000000000001" customHeight="1" x14ac:dyDescent="0.2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00000000000001" customHeight="1" x14ac:dyDescent="0.2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00000000000001" customHeight="1" x14ac:dyDescent="0.25">
      <c r="A38" s="15" t="s">
        <v>12</v>
      </c>
      <c r="B38" s="1" t="s">
        <v>19</v>
      </c>
      <c r="C38" s="14" t="s">
        <v>27</v>
      </c>
      <c r="D38" s="15" t="s">
        <v>105</v>
      </c>
      <c r="E38" s="15" t="s">
        <v>13</v>
      </c>
      <c r="F38" s="15" t="s">
        <v>14</v>
      </c>
      <c r="G38" s="15" t="s">
        <v>50</v>
      </c>
      <c r="H38" s="16" t="s">
        <v>15</v>
      </c>
      <c r="I38" s="16" t="s">
        <v>16</v>
      </c>
      <c r="J38" s="15" t="s">
        <v>17</v>
      </c>
      <c r="K38" s="15" t="s">
        <v>18</v>
      </c>
      <c r="L38" s="15" t="s">
        <v>20</v>
      </c>
    </row>
    <row r="39" spans="1:12" ht="20.100000000000001" customHeight="1" x14ac:dyDescent="0.25">
      <c r="A39" s="14">
        <v>1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ht="20.100000000000001" customHeight="1" x14ac:dyDescent="0.25">
      <c r="A40" s="14">
        <v>2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ht="20.100000000000001" customHeight="1" x14ac:dyDescent="0.25">
      <c r="A41" s="14">
        <v>3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ht="20.100000000000001" customHeight="1" x14ac:dyDescent="0.25">
      <c r="A42" s="14">
        <v>4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ht="20.100000000000001" customHeight="1" x14ac:dyDescent="0.25">
      <c r="A43" s="30">
        <v>5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</row>
    <row r="44" spans="1:12" ht="20.100000000000001" customHeight="1" x14ac:dyDescent="0.25"/>
    <row r="45" spans="1:12" ht="20.100000000000001" customHeight="1" x14ac:dyDescent="0.25">
      <c r="A45" s="15" t="s">
        <v>12</v>
      </c>
      <c r="B45" s="14" t="s">
        <v>19</v>
      </c>
      <c r="C45" s="15" t="s">
        <v>105</v>
      </c>
      <c r="D45" s="15" t="s">
        <v>13</v>
      </c>
      <c r="E45" s="15" t="s">
        <v>14</v>
      </c>
      <c r="F45" s="15" t="s">
        <v>50</v>
      </c>
      <c r="G45" s="16" t="s">
        <v>15</v>
      </c>
      <c r="H45" s="16" t="s">
        <v>16</v>
      </c>
      <c r="I45" s="15" t="s">
        <v>27</v>
      </c>
      <c r="J45" s="15" t="s">
        <v>17</v>
      </c>
      <c r="K45" s="15" t="s">
        <v>18</v>
      </c>
      <c r="L45" s="15" t="s">
        <v>20</v>
      </c>
    </row>
    <row r="46" spans="1:12" ht="20.100000000000001" customHeight="1" x14ac:dyDescent="0.25">
      <c r="A46" s="14">
        <v>6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ht="20.100000000000001" customHeight="1" x14ac:dyDescent="0.25">
      <c r="A47" s="14">
        <v>7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ht="20.100000000000001" customHeight="1" x14ac:dyDescent="0.25">
      <c r="A48" s="14">
        <v>8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ht="20.100000000000001" customHeight="1" x14ac:dyDescent="0.25">
      <c r="A49" s="14">
        <v>9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ht="20.100000000000001" customHeight="1" x14ac:dyDescent="0.25">
      <c r="A50" s="30">
        <v>10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</row>
    <row r="51" spans="1:12" ht="20.100000000000001" customHeight="1" x14ac:dyDescent="0.25">
      <c r="A51" s="14">
        <v>11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</row>
    <row r="52" spans="1:12" ht="20.100000000000001" customHeight="1" x14ac:dyDescent="0.25">
      <c r="A52" s="14">
        <v>12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</row>
    <row r="53" spans="1:12" ht="20.100000000000001" customHeight="1" x14ac:dyDescent="0.25">
      <c r="A53" s="14">
        <v>13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</row>
    <row r="54" spans="1:12" ht="20.100000000000001" customHeight="1" x14ac:dyDescent="0.25">
      <c r="A54" s="14">
        <v>14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</row>
    <row r="55" spans="1:12" ht="20.100000000000001" customHeight="1" x14ac:dyDescent="0.25">
      <c r="A55" s="30">
        <v>15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</row>
    <row r="56" spans="1:12" ht="20.100000000000001" customHeight="1" x14ac:dyDescent="0.25">
      <c r="A56" s="14">
        <v>16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</row>
    <row r="57" spans="1:12" ht="20.100000000000001" customHeight="1" x14ac:dyDescent="0.25">
      <c r="A57" s="14">
        <v>17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</row>
    <row r="58" spans="1:12" ht="20.100000000000001" customHeight="1" x14ac:dyDescent="0.25">
      <c r="A58" s="14">
        <v>18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</row>
    <row r="59" spans="1:12" ht="20.100000000000001" customHeight="1" x14ac:dyDescent="0.25">
      <c r="A59" s="14">
        <v>19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</row>
    <row r="60" spans="1:12" ht="20.100000000000001" customHeight="1" x14ac:dyDescent="0.25">
      <c r="A60" s="30">
        <v>20</v>
      </c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</row>
    <row r="61" spans="1:12" ht="20.100000000000001" customHeight="1" x14ac:dyDescent="0.25">
      <c r="A61" s="14">
        <v>21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</row>
    <row r="62" spans="1:12" ht="20.100000000000001" customHeight="1" x14ac:dyDescent="0.25">
      <c r="A62" s="14">
        <v>22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</row>
    <row r="63" spans="1:12" ht="20.100000000000001" customHeight="1" x14ac:dyDescent="0.25">
      <c r="A63" s="14">
        <v>23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</row>
    <row r="64" spans="1:12" ht="20.100000000000001" customHeight="1" x14ac:dyDescent="0.25">
      <c r="A64" s="14">
        <v>24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</row>
    <row r="65" spans="1:12" ht="20.100000000000001" customHeight="1" x14ac:dyDescent="0.25">
      <c r="A65" s="30">
        <v>25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</row>
    <row r="66" spans="1:12" ht="20.100000000000001" customHeight="1" x14ac:dyDescent="0.25">
      <c r="A66" s="14">
        <v>26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</row>
    <row r="67" spans="1:12" ht="20.100000000000001" customHeight="1" x14ac:dyDescent="0.25">
      <c r="A67" s="14">
        <v>27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</row>
    <row r="68" spans="1:12" ht="20.100000000000001" customHeight="1" x14ac:dyDescent="0.25">
      <c r="A68" s="14">
        <v>28</v>
      </c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</row>
    <row r="69" spans="1:12" ht="20.100000000000001" customHeight="1" x14ac:dyDescent="0.25">
      <c r="A69" s="14">
        <v>29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</row>
    <row r="70" spans="1:12" ht="20.100000000000001" customHeight="1" x14ac:dyDescent="0.25">
      <c r="A70" s="30">
        <v>30</v>
      </c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</row>
    <row r="71" spans="1:12" ht="20.100000000000001" customHeight="1" x14ac:dyDescent="0.25">
      <c r="A71" s="14">
        <v>31</v>
      </c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</row>
    <row r="72" spans="1:12" ht="20.100000000000001" customHeight="1" x14ac:dyDescent="0.25">
      <c r="A72" s="14">
        <v>32</v>
      </c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</row>
    <row r="73" spans="1:12" ht="20.100000000000001" customHeight="1" x14ac:dyDescent="0.25">
      <c r="A73" s="14">
        <v>33</v>
      </c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</row>
    <row r="74" spans="1:12" ht="20.100000000000001" customHeight="1" x14ac:dyDescent="0.25">
      <c r="A74" s="14">
        <v>34</v>
      </c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</row>
    <row r="75" spans="1:12" ht="20.100000000000001" customHeight="1" x14ac:dyDescent="0.25">
      <c r="A75" s="30">
        <v>35</v>
      </c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</row>
    <row r="76" spans="1:12" ht="20.100000000000001" customHeight="1" x14ac:dyDescent="0.25">
      <c r="A76" s="14">
        <v>36</v>
      </c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</row>
    <row r="77" spans="1:12" ht="20.100000000000001" customHeight="1" x14ac:dyDescent="0.25">
      <c r="A77" s="14">
        <v>37</v>
      </c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</row>
    <row r="78" spans="1:12" ht="20.100000000000001" customHeight="1" x14ac:dyDescent="0.25">
      <c r="A78" s="14">
        <v>38</v>
      </c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</row>
    <row r="79" spans="1:12" ht="20.100000000000001" customHeight="1" x14ac:dyDescent="0.25">
      <c r="A79" s="14">
        <v>39</v>
      </c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</row>
    <row r="80" spans="1:12" ht="20.100000000000001" customHeight="1" x14ac:dyDescent="0.25">
      <c r="A80" s="30">
        <v>40</v>
      </c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</row>
    <row r="81" spans="1:12" ht="20.100000000000001" customHeight="1" x14ac:dyDescent="0.25">
      <c r="A81" s="14">
        <v>41</v>
      </c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</row>
    <row r="82" spans="1:12" ht="20.100000000000001" customHeight="1" x14ac:dyDescent="0.25">
      <c r="A82" s="14">
        <v>42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</row>
    <row r="83" spans="1:12" ht="20.100000000000001" customHeight="1" x14ac:dyDescent="0.25">
      <c r="A83" s="14">
        <v>43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</row>
    <row r="84" spans="1:12" ht="20.100000000000001" customHeight="1" x14ac:dyDescent="0.25">
      <c r="A84" s="14">
        <v>44</v>
      </c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</row>
    <row r="85" spans="1:12" ht="20.100000000000001" customHeight="1" x14ac:dyDescent="0.25">
      <c r="A85" s="30">
        <v>45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</row>
    <row r="86" spans="1:12" x14ac:dyDescent="0.25">
      <c r="A86" s="14">
        <v>46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5" t="s">
        <v>37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1"/>
      <c r="P2" s="1"/>
      <c r="Q2" s="1"/>
      <c r="R2" s="1"/>
      <c r="S2" s="1"/>
      <c r="T2" s="1"/>
      <c r="U2" s="1"/>
      <c r="V2" s="1"/>
    </row>
    <row r="3" spans="1:22" x14ac:dyDescent="0.25">
      <c r="A3" s="37" t="s">
        <v>57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7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2">
        <f ca="1">DATE(YEAR(Sheet1!J1),MONTH(Sheet1!J1)+1,DAY(Sheet1!J1))</f>
        <v>46094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2">
        <f ca="1">DATE(YEAR(Sheet1!J1),MONTH(Sheet1!J1),DAY(Sheet1!J1)+21)</f>
        <v>46087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1"/>
      <c r="P7" s="1"/>
      <c r="Q7" s="1"/>
      <c r="R7" s="1"/>
      <c r="S7" s="1"/>
      <c r="T7" s="1"/>
      <c r="U7" s="1"/>
      <c r="V7" s="1"/>
    </row>
    <row r="8" spans="1:22" x14ac:dyDescent="0.25">
      <c r="A8" s="36" t="s">
        <v>47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8" t="s">
        <v>131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8" t="s">
        <v>144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39" t="s">
        <v>123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39" t="s">
        <v>116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6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39" t="s">
        <v>117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39" t="s">
        <v>118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39" t="s">
        <v>119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39" t="s">
        <v>120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6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39" t="s">
        <v>121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39" t="s">
        <v>142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39" t="s">
        <v>122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8"/>
      <c r="N19" s="35" t="s">
        <v>163</v>
      </c>
      <c r="T19" s="1"/>
      <c r="V19" s="1"/>
    </row>
    <row r="20" spans="1:23" x14ac:dyDescent="0.25">
      <c r="A20" s="39" t="s">
        <v>124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8"/>
      <c r="N20" s="35" t="s">
        <v>134</v>
      </c>
      <c r="T20" s="1"/>
      <c r="V20" s="1"/>
    </row>
    <row r="21" spans="1:23" x14ac:dyDescent="0.25">
      <c r="A21" s="39" t="s">
        <v>125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8"/>
      <c r="N21" s="35" t="s">
        <v>135</v>
      </c>
      <c r="T21" s="1"/>
      <c r="V21" s="1"/>
      <c r="W21" s="2"/>
    </row>
    <row r="22" spans="1:23" x14ac:dyDescent="0.25">
      <c r="A22" s="39" t="s">
        <v>126</v>
      </c>
      <c r="B22" s="35"/>
      <c r="C22" s="35"/>
      <c r="D22" s="35"/>
      <c r="E22" s="5"/>
      <c r="F22" s="35"/>
      <c r="G22" s="5"/>
      <c r="H22" s="35"/>
      <c r="I22" s="5"/>
      <c r="J22" s="35"/>
      <c r="K22" s="35"/>
      <c r="L22" s="35"/>
      <c r="M22" s="38"/>
      <c r="N22" s="38"/>
      <c r="T22" s="1"/>
      <c r="V22" s="1"/>
      <c r="W22" s="2"/>
    </row>
    <row r="23" spans="1:23" x14ac:dyDescent="0.25">
      <c r="A23" s="39" t="s">
        <v>127</v>
      </c>
      <c r="B23" s="35"/>
      <c r="C23" s="35"/>
      <c r="D23" s="35"/>
      <c r="E23" s="5"/>
      <c r="F23" s="35"/>
      <c r="G23" s="5"/>
      <c r="H23" s="35"/>
      <c r="I23" s="35"/>
      <c r="J23" s="35"/>
      <c r="K23" s="35"/>
      <c r="L23" s="35"/>
      <c r="M23" s="38"/>
      <c r="N23" s="36" t="s">
        <v>110</v>
      </c>
      <c r="T23" s="1"/>
      <c r="V23" s="1"/>
      <c r="W23" s="2"/>
    </row>
    <row r="24" spans="1:23" x14ac:dyDescent="0.25">
      <c r="A24" s="39" t="s">
        <v>128</v>
      </c>
      <c r="B24" s="35"/>
      <c r="C24" s="35"/>
      <c r="D24" s="35"/>
      <c r="E24" s="5"/>
      <c r="F24" s="35"/>
      <c r="G24" s="35"/>
      <c r="H24" s="35"/>
      <c r="I24" s="35"/>
      <c r="J24" s="35"/>
      <c r="K24" s="35"/>
      <c r="L24" s="35"/>
      <c r="M24" s="35"/>
      <c r="N24" s="35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39" t="s">
        <v>129</v>
      </c>
      <c r="B25" s="35"/>
      <c r="C25" s="35"/>
      <c r="D25" s="35"/>
      <c r="E25" s="5"/>
      <c r="F25" s="35"/>
      <c r="G25" s="35"/>
      <c r="H25" s="35"/>
      <c r="I25" s="35"/>
      <c r="J25" s="35"/>
      <c r="K25" s="35"/>
      <c r="L25" s="35"/>
      <c r="M25" s="35"/>
      <c r="N25" s="35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39" t="s">
        <v>130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39" t="s">
        <v>143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39" t="s">
        <v>152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 t="s">
        <v>109</v>
      </c>
      <c r="U28" s="1"/>
      <c r="V28" s="1"/>
    </row>
    <row r="29" spans="1:23" x14ac:dyDescent="0.25">
      <c r="A29" s="39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8"/>
      <c r="U29" s="1"/>
      <c r="V29" s="1"/>
    </row>
    <row r="30" spans="1:23" x14ac:dyDescent="0.25">
      <c r="A30" s="37" t="s">
        <v>158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7" t="s">
        <v>26</v>
      </c>
      <c r="U30" s="1"/>
      <c r="V30" s="1"/>
    </row>
    <row r="31" spans="1:23" x14ac:dyDescent="0.25">
      <c r="A31" s="5" t="s">
        <v>159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5" t="s">
        <v>136</v>
      </c>
      <c r="U31" s="1"/>
      <c r="V31" s="1"/>
    </row>
    <row r="32" spans="1:23" x14ac:dyDescent="0.25">
      <c r="A32" s="5" t="s">
        <v>160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5">
        <v>110</v>
      </c>
      <c r="U32" s="1"/>
      <c r="V32" s="1"/>
    </row>
    <row r="33" spans="1:22" x14ac:dyDescent="0.25">
      <c r="A33" s="5" t="s">
        <v>161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5">
        <v>130</v>
      </c>
      <c r="U33" s="1"/>
      <c r="V33" s="1"/>
    </row>
    <row r="34" spans="1:22" x14ac:dyDescent="0.25">
      <c r="A34" s="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5">
        <v>150</v>
      </c>
      <c r="U34" s="1"/>
      <c r="V34" s="1"/>
    </row>
    <row r="35" spans="1:22" x14ac:dyDescent="0.25">
      <c r="A35" s="37" t="s">
        <v>44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5">
        <v>180</v>
      </c>
      <c r="U35" s="1"/>
      <c r="V35" s="1"/>
    </row>
    <row r="36" spans="1:22" x14ac:dyDescent="0.25">
      <c r="A36" s="5" t="s">
        <v>28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5" t="s">
        <v>137</v>
      </c>
      <c r="U36" s="1"/>
      <c r="V36" s="1"/>
    </row>
    <row r="37" spans="1:22" x14ac:dyDescent="0.25">
      <c r="A37" s="5" t="s">
        <v>32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5" t="s">
        <v>138</v>
      </c>
      <c r="U37" s="1"/>
      <c r="V37" s="1"/>
    </row>
    <row r="38" spans="1:22" x14ac:dyDescent="0.25">
      <c r="A38" s="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5" t="s">
        <v>36</v>
      </c>
      <c r="U38" s="1"/>
      <c r="V38" s="1"/>
    </row>
    <row r="39" spans="1:22" x14ac:dyDescent="0.25">
      <c r="A39" s="37" t="s">
        <v>45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</row>
    <row r="40" spans="1:22" x14ac:dyDescent="0.25">
      <c r="A40" s="5" t="s">
        <v>42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7" t="s">
        <v>24</v>
      </c>
    </row>
    <row r="41" spans="1:22" x14ac:dyDescent="0.25">
      <c r="A41" s="5" t="s">
        <v>40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5" t="s">
        <v>33</v>
      </c>
    </row>
    <row r="42" spans="1:22" x14ac:dyDescent="0.25">
      <c r="A42" s="5" t="s">
        <v>41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5" t="s">
        <v>35</v>
      </c>
    </row>
    <row r="43" spans="1:22" x14ac:dyDescent="0.25">
      <c r="A43" s="5" t="s">
        <v>43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5" t="s">
        <v>139</v>
      </c>
    </row>
    <row r="44" spans="1:22" x14ac:dyDescent="0.25">
      <c r="A44" s="35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5"/>
    </row>
    <row r="45" spans="1:22" x14ac:dyDescent="0.25">
      <c r="A45" s="37" t="s">
        <v>62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7" t="s">
        <v>95</v>
      </c>
    </row>
    <row r="46" spans="1:22" x14ac:dyDescent="0.25">
      <c r="A46" s="5" t="s">
        <v>42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5" t="s">
        <v>36</v>
      </c>
    </row>
    <row r="47" spans="1:22" x14ac:dyDescent="0.25">
      <c r="A47" s="5" t="s">
        <v>64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5" t="s">
        <v>30</v>
      </c>
    </row>
    <row r="48" spans="1:22" x14ac:dyDescent="0.25">
      <c r="A48" s="5" t="s">
        <v>63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5" t="s">
        <v>140</v>
      </c>
    </row>
    <row r="49" spans="1:20" x14ac:dyDescent="0.2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5" t="s">
        <v>153</v>
      </c>
    </row>
    <row r="50" spans="1:20" x14ac:dyDescent="0.25">
      <c r="A50" s="37" t="s">
        <v>67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5" t="s">
        <v>154</v>
      </c>
    </row>
    <row r="51" spans="1:20" x14ac:dyDescent="0.25">
      <c r="A51" s="5" t="s">
        <v>42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</row>
    <row r="52" spans="1:20" x14ac:dyDescent="0.25">
      <c r="A52" s="5" t="s">
        <v>69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6" t="s">
        <v>141</v>
      </c>
    </row>
    <row r="53" spans="1:20" x14ac:dyDescent="0.25">
      <c r="A53" s="5" t="s">
        <v>68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5" t="s">
        <v>29</v>
      </c>
    </row>
    <row r="54" spans="1:20" x14ac:dyDescent="0.25">
      <c r="A54" s="35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5" t="s">
        <v>21</v>
      </c>
    </row>
    <row r="55" spans="1:20" x14ac:dyDescent="0.25">
      <c r="A55" s="37" t="s">
        <v>60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</row>
    <row r="56" spans="1:20" x14ac:dyDescent="0.25">
      <c r="A56" s="5" t="s">
        <v>42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7" t="s">
        <v>25</v>
      </c>
    </row>
    <row r="57" spans="1:20" x14ac:dyDescent="0.25">
      <c r="A57" s="5" t="s">
        <v>65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5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5" t="s">
        <v>31</v>
      </c>
    </row>
    <row r="59" spans="1:20" x14ac:dyDescent="0.25">
      <c r="A59" s="35"/>
    </row>
    <row r="60" spans="1:20" x14ac:dyDescent="0.25">
      <c r="A60" s="36" t="s">
        <v>61</v>
      </c>
      <c r="O60" s="1"/>
      <c r="Q60" s="1"/>
      <c r="R60" s="3"/>
      <c r="S60" s="1"/>
    </row>
    <row r="61" spans="1:20" x14ac:dyDescent="0.25">
      <c r="A61" s="35" t="s">
        <v>42</v>
      </c>
      <c r="O61" s="1"/>
      <c r="Q61" s="1"/>
      <c r="R61" s="1"/>
      <c r="S61" s="1"/>
    </row>
    <row r="62" spans="1:20" x14ac:dyDescent="0.25">
      <c r="A62" s="38" t="s">
        <v>144</v>
      </c>
      <c r="O62" s="1"/>
      <c r="Q62" s="1"/>
      <c r="R62" s="1"/>
      <c r="S62" s="1"/>
    </row>
    <row r="63" spans="1:20" x14ac:dyDescent="0.25">
      <c r="A63" s="39" t="s">
        <v>123</v>
      </c>
      <c r="O63" s="1"/>
      <c r="Q63" s="1"/>
      <c r="R63" s="1"/>
      <c r="S63" s="1"/>
      <c r="T63" s="1"/>
    </row>
    <row r="64" spans="1:20" x14ac:dyDescent="0.25">
      <c r="A64" s="39" t="s">
        <v>116</v>
      </c>
      <c r="O64" s="1"/>
      <c r="Q64" s="1"/>
      <c r="R64" s="1"/>
      <c r="S64" s="1"/>
      <c r="T64" s="1"/>
    </row>
    <row r="65" spans="1:20" x14ac:dyDescent="0.25">
      <c r="A65" s="39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39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39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39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39" t="s">
        <v>121</v>
      </c>
      <c r="N69" s="4"/>
    </row>
    <row r="70" spans="1:20" x14ac:dyDescent="0.25">
      <c r="A70" s="39" t="s">
        <v>142</v>
      </c>
    </row>
    <row r="71" spans="1:20" x14ac:dyDescent="0.25">
      <c r="A71" s="39" t="s">
        <v>122</v>
      </c>
    </row>
    <row r="72" spans="1:20" x14ac:dyDescent="0.25">
      <c r="A72" s="39" t="s">
        <v>120</v>
      </c>
    </row>
    <row r="73" spans="1:20" x14ac:dyDescent="0.25">
      <c r="A73" s="39" t="s">
        <v>121</v>
      </c>
    </row>
    <row r="74" spans="1:20" x14ac:dyDescent="0.25">
      <c r="A74" s="39" t="s">
        <v>142</v>
      </c>
    </row>
    <row r="75" spans="1:20" x14ac:dyDescent="0.25">
      <c r="A75" s="39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6896785-B3A3-422A-8FC4-802026C3A597}"/>
</file>

<file path=customXml/itemProps2.xml><?xml version="1.0" encoding="utf-8"?>
<ds:datastoreItem xmlns:ds="http://schemas.openxmlformats.org/officeDocument/2006/customXml" ds:itemID="{1C56E449-5E7C-42C1-8113-6093C0C4E9FE}"/>
</file>

<file path=customXml/itemProps3.xml><?xml version="1.0" encoding="utf-8"?>
<ds:datastoreItem xmlns:ds="http://schemas.openxmlformats.org/officeDocument/2006/customXml" ds:itemID="{ACA3AF08-79BA-4E5A-AB24-902D362393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2025-10-09T00:33:58Z</cp:lastPrinted>
  <dcterms:created xsi:type="dcterms:W3CDTF">2019-11-27T23:28:06Z</dcterms:created>
  <dcterms:modified xsi:type="dcterms:W3CDTF">2026-02-13T01:48:34Z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