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3E2FC95C-59C9-4F8D-8FFA-E724F2280936}" xr6:coauthVersionLast="45" xr6:coauthVersionMax="45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1" i="1" l="1"/>
  <c r="E8" i="1" l="1"/>
  <c r="D8" i="1" l="1"/>
  <c r="B2" i="1" l="1"/>
  <c r="E10" i="1" l="1"/>
  <c r="D9" i="1" l="1"/>
  <c r="B11" i="1" s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<sst xmlns="http://schemas.openxmlformats.org/spreadsheetml/2006/main" count="226" uniqueCount="167">
  <si>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</si>
  <si>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</si>
  <si>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</si>
  <si>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</si>
  <si>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</si>
  <si>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</si>
  <si>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</si>
  <si>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</si>
  <si>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</si>
  <si>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</si>
  <si>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</si>
  <si>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</si>
  <si>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</si>
  <si>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</si>
  <si>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</si>
  <si>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</si>
  <si>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</si>
  <si>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</si>
  <si>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</si>
  <si>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</si>
  <si>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</si>
  <si>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</si>
  <si>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</si>
  <si>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</si>
  <si>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</si>
  <si>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</si>
  <si>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</si>
  <si>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</si>
  <si>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</si>
  <si>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</si>
  <si>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</si>
  <si>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</si>
  <si>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</si>
  <si>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</si>
  <si>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</si>
  <si>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</si>
  <si>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</si>
  <si>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</si>
  <si>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</si>
  <si>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</si>
  <si>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</si>
  <si>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</si>
  <si>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</si>
  <si>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</si>
  <si>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</si>
  <si>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</si>
  <si>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</si>
  <si>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</si>
  <si>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</si>
  <si>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</si>
  <si>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</si>
  <si>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</si>
  <si>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</si>
  <si>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</si>
  <si>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</si>
  <si>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</si>
  <si>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</si>
  <si>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</si>
  <si>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</si>
  <si>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</si>
  <si>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</si>
  <si>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</si>
  <si>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</si>
  <si>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</si>
  <si>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</si>
  <si>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</si>
  <si>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</si>
  <si>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</si>
  <si>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</si>
  <si>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</si>
  <si>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</si>
  <si>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</si>
  <si>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</si>
  <si>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</si>
  <si>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</si>
  <si>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</si>
  <si>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</si>
  <si>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</si>
  <si>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</si>
  <si>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</si>
  <si>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</si>
  <si>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</si>
  <si>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</si>
  <si>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</si>
  <si>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</si>
  <si>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</si>
  <si>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</si>
  <si>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</si>
  <si>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</si>
  <si>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</si>
  <si>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</si>
  <si>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</si>
  <si>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</si>
  <si>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</si>
  <si>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</si>
  <si>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</si>
  <si>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</si>
  <si>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</si>
  <si>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</si>
  <si>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</si>
  <si>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</si>
  <si>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</si>
  <si>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</si>
  <si>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</si>
  <si>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</si>
  <si>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</si>
  <si>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</si>
  <si>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</si>
  <si>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</si>
  <si>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</si>
  <si>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</si>
  <si>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</si>
  <si>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</si>
  <si>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</si>
  <si>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</si>
  <si>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</si>
  <si>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</si>
  <si>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</si>
  <si>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</si>
  <si>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</si>
  <si>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</si>
  <si>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</si>
  <si>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</si>
  <si>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</si>
  <si>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</si>
  <si>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</si>
  <si>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</si>
  <si>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</si>
  <si>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</si>
  <si>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</si>
  <si>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</si>
  <si>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</si>
  <si>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</si>
  <si>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</si>
  <si>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</si>
  <si>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</si>
  <si>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</si>
  <si>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</si>
  <si>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</si>
  <si>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</si>
  <si>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</si>
  <si>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</si>
  <si>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</si>
  <si>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</si>
  <si>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</si>
  <si>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</si>
  <si>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</si>
  <si>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</si>
  <si>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</si>
  <si>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</si>
  <si>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</si>
  <si>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</si>
  <si>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</si>
  <si>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</si>
  <si>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</si>
  <si>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</si>
  <si>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</si>
  <si>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</si>
  <si>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</si>
  <si>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</si>
  <si>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</si>
  <si>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</si>
  <si>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</si>
  <si>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</si>
  <si>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TUFFTEX</t>
  </si>
  <si>
    <t>1 ROLL = 17 PRINTED ROLLS AT 50M/ROLL</t>
  </si>
  <si>
    <t>TUFFTEX LOGO - CUSTOM COLOUR MUST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</si>
</sst>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6" sqref="B16:D16"/>
    </sheetView>
  </sheetViews>
  <sheetFormatPr defaultRowHeight="15.05" x14ac:dyDescent="0.3"/>
  <sheetData>
    <row r="1" spans="1:14" ht="20.05" customHeight="1" x14ac:dyDescent="0.3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T20050P</v>
      </c>
      <c r="C1" s="112"/>
      <c r="D1" s="113"/>
      <c r="E1" s="12" t="s">
        <v>55</v>
      </c>
      <c r="F1" s="123" t="s">
        <v>164</v>
      </c>
      <c r="G1" s="123"/>
      <c r="H1" s="124"/>
      <c r="I1" s="12" t="s">
        <v>148</v>
      </c>
      <c r="J1" s="125">
        <f ca="1">TODAY()</f>
        <v>44036</v>
      </c>
      <c r="K1" s="125"/>
      <c r="L1" s="126"/>
    </row>
    <row r="2" spans="1:14" ht="20.05" customHeight="1" x14ac:dyDescent="0.3">
      <c r="A2" s="12" t="s">
        <v>94</v>
      </c>
      <c r="B2" s="103" t="str">
        <f>IF(B7="Tube",(ROUNDUP(E11,0)&amp;"KG"),(ROUNDUP(H11,0)&amp;"M"))</f>
        <v>16KG</v>
      </c>
      <c r="C2" s="103"/>
      <c r="D2" s="104"/>
      <c r="E2" s="12" t="s">
        <v>56</v>
      </c>
      <c r="F2" s="55">
        <v>937296</v>
      </c>
      <c r="G2" s="55"/>
      <c r="H2" s="56"/>
      <c r="I2" s="12" t="s">
        <v>57</v>
      </c>
      <c r="J2" s="127">
        <v>44064</v>
      </c>
      <c r="K2" s="55"/>
      <c r="L2" s="56"/>
    </row>
    <row r="3" spans="1:14" ht="20.05" customHeight="1" x14ac:dyDescent="0.3">
      <c r="A3" s="114" t="s">
        <v>165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05" customHeight="1" x14ac:dyDescent="0.3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05" customHeight="1" x14ac:dyDescent="0.3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05" customHeight="1" x14ac:dyDescent="0.3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05" customHeight="1" x14ac:dyDescent="0.35">
      <c r="A7" s="12" t="s">
        <v>158</v>
      </c>
      <c r="B7" s="55" t="s">
        <v>159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7" t="s">
        <v>145</v>
      </c>
      <c r="K7" s="107"/>
      <c r="L7" s="88"/>
    </row>
    <row r="8" spans="1:14" ht="20.05" customHeight="1" x14ac:dyDescent="0.3">
      <c r="A8" s="13" t="s">
        <v>14</v>
      </c>
      <c r="B8" s="77">
        <v>200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50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05" customHeight="1" x14ac:dyDescent="0.35">
      <c r="A9" s="14" t="s">
        <v>46</v>
      </c>
      <c r="B9" s="95" t="s">
        <v>146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146</v>
      </c>
      <c r="I9" s="96"/>
      <c r="J9" s="12" t="s">
        <v>53</v>
      </c>
      <c r="K9" s="55" t="s">
        <v>28</v>
      </c>
      <c r="L9" s="56"/>
    </row>
    <row r="10" spans="1:14" ht="20.05" customHeight="1" x14ac:dyDescent="0.3">
      <c r="A10" s="12" t="s">
        <v>49</v>
      </c>
      <c r="B10" s="55">
        <v>6</v>
      </c>
      <c r="C10" s="56"/>
      <c r="D10" s="42" t="s">
        <v>104</v>
      </c>
      <c r="E10" s="99">
        <f>E11*B10</f>
        <v>93.6</v>
      </c>
      <c r="F10" s="100"/>
      <c r="G10" s="12" t="s">
        <v>51</v>
      </c>
      <c r="H10" s="103">
        <f>H11*B10</f>
        <v>5054.3999999999996</v>
      </c>
      <c r="I10" s="104"/>
      <c r="J10" s="12" t="s">
        <v>39</v>
      </c>
      <c r="K10" s="55" t="s">
        <v>42</v>
      </c>
      <c r="L10" s="56"/>
    </row>
    <row r="11" spans="1:14" s="52" customFormat="1" ht="20.05" customHeight="1" x14ac:dyDescent="0.3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15.6</v>
      </c>
      <c r="F11" s="102"/>
      <c r="G11" s="51" t="s">
        <v>13</v>
      </c>
      <c r="H11" s="105">
        <f>E11*540000/B8/H8</f>
        <v>842.4</v>
      </c>
      <c r="I11" s="106"/>
      <c r="J11" s="51" t="s">
        <v>48</v>
      </c>
      <c r="K11" s="110" t="s">
        <v>63</v>
      </c>
      <c r="L11" s="111"/>
      <c r="N11"/>
    </row>
    <row r="12" spans="1:14" ht="20.05" customHeight="1" x14ac:dyDescent="0.3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05" customHeight="1" x14ac:dyDescent="0.3">
      <c r="A13" s="12" t="s">
        <v>59</v>
      </c>
      <c r="B13" s="55" t="s">
        <v>69</v>
      </c>
      <c r="C13" s="55"/>
      <c r="D13" s="56"/>
      <c r="E13" s="16" t="s">
        <v>60</v>
      </c>
      <c r="F13" s="55" t="s">
        <v>65</v>
      </c>
      <c r="G13" s="55"/>
      <c r="H13" s="56"/>
      <c r="I13" s="17" t="s">
        <v>61</v>
      </c>
      <c r="J13" s="55" t="s">
        <v>121</v>
      </c>
      <c r="K13" s="55"/>
      <c r="L13" s="56"/>
    </row>
    <row r="14" spans="1:14" ht="20.05" customHeight="1" x14ac:dyDescent="0.35">
      <c r="A14" s="13" t="s">
        <v>58</v>
      </c>
      <c r="B14" s="54" t="s">
        <v>166</v>
      </c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05" customHeight="1" x14ac:dyDescent="0.3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6"/>
    </row>
    <row r="16" spans="1:14" ht="20.05" customHeight="1" x14ac:dyDescent="0.3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6</v>
      </c>
      <c r="G16" s="112"/>
      <c r="H16" s="113"/>
      <c r="I16" s="12" t="s">
        <v>74</v>
      </c>
      <c r="J16" s="55"/>
      <c r="K16" s="55"/>
      <c r="L16" s="56"/>
    </row>
    <row r="17" spans="1:12" ht="20.05" customHeight="1" x14ac:dyDescent="0.3">
      <c r="A17" s="133" t="s">
        <v>149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5"/>
    </row>
    <row r="18" spans="1:12" ht="20.05" customHeight="1" x14ac:dyDescent="0.3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05" customHeight="1" x14ac:dyDescent="0.3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05" customHeight="1" x14ac:dyDescent="0.3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05" customHeight="1" x14ac:dyDescent="0.3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05" customHeight="1" x14ac:dyDescent="0.3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05" customHeight="1" x14ac:dyDescent="0.3">
      <c r="A23" s="89" t="s">
        <v>150</v>
      </c>
      <c r="B23" s="89"/>
      <c r="C23" s="66" t="s">
        <v>151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05" customHeight="1" x14ac:dyDescent="0.3">
      <c r="A24" s="89" t="str">
        <f>(IF(E7="NATURAL","",E7))</f>
        <v/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05" customHeight="1" x14ac:dyDescent="0.3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05" customHeight="1" x14ac:dyDescent="0.3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05" customHeight="1" x14ac:dyDescent="0.3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132" t="s">
        <v>103</v>
      </c>
      <c r="H27" s="132"/>
      <c r="I27" s="132" t="s">
        <v>102</v>
      </c>
      <c r="J27" s="132"/>
      <c r="K27" s="20" t="s">
        <v>88</v>
      </c>
      <c r="L27" s="20" t="s">
        <v>89</v>
      </c>
    </row>
    <row r="28" spans="1:12" ht="20.05" customHeight="1" x14ac:dyDescent="0.3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05" customHeight="1" x14ac:dyDescent="0.3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05" customHeight="1" x14ac:dyDescent="0.3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05" customHeight="1" x14ac:dyDescent="0.3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05" customHeight="1" x14ac:dyDescent="0.3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05" customHeight="1" x14ac:dyDescent="0.3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05" customHeight="1" x14ac:dyDescent="0.3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05" customHeight="1" x14ac:dyDescent="0.3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05" customHeight="1" x14ac:dyDescent="0.3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05" customHeight="1" x14ac:dyDescent="0.3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05" customHeight="1" x14ac:dyDescent="0.3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05" customHeight="1" x14ac:dyDescent="0.3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05" customHeight="1" x14ac:dyDescent="0.3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05" customHeight="1" x14ac:dyDescent="0.3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05" customHeight="1" x14ac:dyDescent="0.3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05" customHeight="1" x14ac:dyDescent="0.3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05" customHeight="1" x14ac:dyDescent="0.3"/>
    <row r="45" spans="1:12" ht="20.05" customHeight="1" x14ac:dyDescent="0.3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05" customHeight="1" x14ac:dyDescent="0.3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05" customHeight="1" x14ac:dyDescent="0.3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05" customHeight="1" x14ac:dyDescent="0.3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05" customHeight="1" x14ac:dyDescent="0.3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05" customHeight="1" x14ac:dyDescent="0.3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05" customHeight="1" x14ac:dyDescent="0.3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05" customHeight="1" x14ac:dyDescent="0.3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05" customHeight="1" x14ac:dyDescent="0.3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05" customHeight="1" x14ac:dyDescent="0.3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05" customHeight="1" x14ac:dyDescent="0.3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05" customHeight="1" x14ac:dyDescent="0.3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05" customHeight="1" x14ac:dyDescent="0.3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05" customHeight="1" x14ac:dyDescent="0.3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05" customHeight="1" x14ac:dyDescent="0.3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05" customHeight="1" x14ac:dyDescent="0.3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05" customHeight="1" x14ac:dyDescent="0.3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05" customHeight="1" x14ac:dyDescent="0.3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05" customHeight="1" x14ac:dyDescent="0.3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05" customHeight="1" x14ac:dyDescent="0.3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05" customHeight="1" x14ac:dyDescent="0.3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05" customHeight="1" x14ac:dyDescent="0.3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05" customHeight="1" x14ac:dyDescent="0.3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05" customHeight="1" x14ac:dyDescent="0.3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05" customHeight="1" x14ac:dyDescent="0.3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05" customHeight="1" x14ac:dyDescent="0.3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05" customHeight="1" x14ac:dyDescent="0.3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05" customHeight="1" x14ac:dyDescent="0.3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05" customHeight="1" x14ac:dyDescent="0.3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05" customHeight="1" x14ac:dyDescent="0.3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05" customHeight="1" x14ac:dyDescent="0.3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05" customHeight="1" x14ac:dyDescent="0.3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05" customHeight="1" x14ac:dyDescent="0.3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05" customHeight="1" x14ac:dyDescent="0.3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05" customHeight="1" x14ac:dyDescent="0.3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05" customHeight="1" x14ac:dyDescent="0.3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05" customHeight="1" x14ac:dyDescent="0.3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05" customHeight="1" x14ac:dyDescent="0.3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05" customHeight="1" x14ac:dyDescent="0.3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05" customHeight="1" x14ac:dyDescent="0.3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05" customHeight="1" x14ac:dyDescent="0.3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3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53">
        <f ca="1">DATE(YEAR(Sheet1!J1),MONTH(Sheet1!J1)+1,DAY(Sheet1!J1))</f>
        <v>44067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53">
        <f ca="1">DATE(YEAR(Sheet1!J1),MONTH(Sheet1!J1),DAY(Sheet1!J1)+21)</f>
        <v>44057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3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3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3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3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3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3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3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3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3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3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3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3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3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3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3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3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3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3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3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3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3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3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3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3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3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3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3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3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3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3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3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3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3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3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3">
      <c r="A59" s="43"/>
    </row>
    <row r="60" spans="1:20" x14ac:dyDescent="0.3">
      <c r="A60" s="44" t="s">
        <v>61</v>
      </c>
      <c r="O60" s="1"/>
      <c r="Q60" s="1"/>
      <c r="R60" s="3"/>
      <c r="S60" s="1"/>
    </row>
    <row r="61" spans="1:20" x14ac:dyDescent="0.3">
      <c r="A61" s="43" t="s">
        <v>42</v>
      </c>
      <c r="O61" s="1"/>
      <c r="Q61" s="1"/>
      <c r="R61" s="1"/>
      <c r="S61" s="1"/>
    </row>
    <row r="62" spans="1:20" x14ac:dyDescent="0.3">
      <c r="A62" s="46" t="s">
        <v>144</v>
      </c>
      <c r="O62" s="1"/>
      <c r="Q62" s="1"/>
      <c r="R62" s="1"/>
      <c r="S62" s="1"/>
    </row>
    <row r="63" spans="1:20" x14ac:dyDescent="0.3">
      <c r="A63" s="47" t="s">
        <v>123</v>
      </c>
      <c r="O63" s="1"/>
      <c r="Q63" s="1"/>
      <c r="R63" s="1"/>
      <c r="S63" s="1"/>
      <c r="T63" s="1"/>
    </row>
    <row r="64" spans="1:20" x14ac:dyDescent="0.3">
      <c r="A64" s="47" t="s">
        <v>116</v>
      </c>
      <c r="O64" s="1"/>
      <c r="Q64" s="1"/>
      <c r="R64" s="1"/>
      <c r="S64" s="1"/>
      <c r="T64" s="1"/>
    </row>
    <row r="65" spans="1:20" x14ac:dyDescent="0.3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3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3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3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3">
      <c r="A69" s="47" t="s">
        <v>121</v>
      </c>
      <c r="N69" s="4"/>
    </row>
    <row r="70" spans="1:20" x14ac:dyDescent="0.3">
      <c r="A70" s="47" t="s">
        <v>142</v>
      </c>
    </row>
    <row r="71" spans="1:20" x14ac:dyDescent="0.3">
      <c r="A71" s="47" t="s">
        <v>122</v>
      </c>
    </row>
    <row r="72" spans="1:20" x14ac:dyDescent="0.3">
      <c r="A72" s="47" t="s">
        <v>120</v>
      </c>
    </row>
    <row r="73" spans="1:20" x14ac:dyDescent="0.3">
      <c r="A73" s="47" t="s">
        <v>121</v>
      </c>
    </row>
    <row r="74" spans="1:20" x14ac:dyDescent="0.3">
      <c r="A74" s="47" t="s">
        <v>142</v>
      </c>
    </row>
    <row r="75" spans="1:20" x14ac:dyDescent="0.3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73A4169-47C9-44D2-87A9-4D49F9D8C11F}"/>
</file>

<file path=customXml/itemProps2.xml><?xml version="1.0" encoding="utf-8"?>
<ds:datastoreItem xmlns:ds="http://schemas.openxmlformats.org/officeDocument/2006/customXml" ds:itemID="{A410F911-E204-4E83-9107-66A806FD9045}"/>
</file>

<file path=customXml/itemProps3.xml><?xml version="1.0" encoding="utf-8"?>
<ds:datastoreItem xmlns:ds="http://schemas.openxmlformats.org/officeDocument/2006/customXml" ds:itemID="{AE7720FE-8BC8-4C3E-83D7-02542D962D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2020-07-24T01:16:27Z</cp:lastPrinted>
  <dcterms:created xsi:type="dcterms:W3CDTF">2019-11-27T23:28:06Z</dcterms:created>
  <dcterms:modified xsi:type="dcterms:W3CDTF">2020-07-24T02:06:07Z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