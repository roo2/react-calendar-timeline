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583768B-BD43-4FA7-BCC4-CC8F095EEC8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<sst xmlns="http://schemas.openxmlformats.org/spreadsheetml/2006/main" count="305" uniqueCount="201">
  <si>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</si>
  <si>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</si>
  <si>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</si>
  <si>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</si>
  <si>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</si>
  <si>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</si>
  <si>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</si>
  <si>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</si>
  <si>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</si>
  <si>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</si>
  <si>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</si>
  <si>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</si>
  <si>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</si>
  <si>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</si>
  <si>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</si>
  <si>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</si>
  <si>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</si>
  <si>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</si>
  <si>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</si>
  <si>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</si>
  <si>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</si>
  <si>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</si>
  <si>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</si>
  <si>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</si>
  <si>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</si>
  <si>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</si>
  <si>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</si>
  <si>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</si>
  <si>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</si>
  <si>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</si>
  <si>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</si>
  <si>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</si>
  <si>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</si>
  <si>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</si>
  <si>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</si>
  <si>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</si>
  <si>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</si>
  <si>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</si>
  <si>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</si>
  <si>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</si>
  <si>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</si>
  <si>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</si>
  <si>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</si>
  <si>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</si>
  <si>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</si>
  <si>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</si>
  <si>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</si>
  <si>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</si>
  <si>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</si>
  <si>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</si>
  <si>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</si>
  <si>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</si>
  <si>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</si>
  <si>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</si>
  <si>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</si>
  <si>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</si>
  <si>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</si>
  <si>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</si>
  <si>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</si>
  <si>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</si>
  <si>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</si>
  <si>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</si>
  <si>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</si>
  <si>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</si>
  <si>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</si>
  <si>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</si>
  <si>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</si>
  <si>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</si>
  <si>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</si>
  <si>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</si>
  <si>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</si>
  <si>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</si>
  <si>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</si>
  <si>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</si>
  <si>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</si>
  <si>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</si>
  <si>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</si>
  <si>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</si>
  <si>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</si>
  <si>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</si>
  <si>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</si>
  <si>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</si>
  <si>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</si>
  <si>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</si>
  <si>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</si>
  <si>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</si>
  <si>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</si>
  <si>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</si>
  <si>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</si>
  <si>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</si>
  <si>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</si>
  <si>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</si>
  <si>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</si>
  <si>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</si>
  <si>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</si>
  <si>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</si>
  <si>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</si>
  <si>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</si>
  <si>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</si>
  <si>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</si>
  <si>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</si>
  <si>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</si>
  <si>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</si>
  <si>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</si>
  <si>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</si>
  <si>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</si>
  <si>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</si>
  <si>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</si>
  <si>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</si>
  <si>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</si>
  <si>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</si>
  <si>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</si>
  <si>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</si>
  <si>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</si>
  <si>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</si>
  <si>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</si>
  <si>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</si>
  <si>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</si>
  <si>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</si>
  <si>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</si>
  <si>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</si>
  <si>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</si>
  <si>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</si>
  <si>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</si>
  <si>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</si>
  <si>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</si>
  <si>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</si>
  <si>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</si>
  <si>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</si>
  <si>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</si>
  <si>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</si>
  <si>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</si>
  <si>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</si>
  <si>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</si>
  <si>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</si>
  <si>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</si>
  <si>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</si>
  <si>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</si>
  <si>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</si>
  <si>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</si>
  <si>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</si>
  <si>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</si>
  <si>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</si>
  <si>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</si>
  <si>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</si>
  <si>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</si>
  <si>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</si>
  <si>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</si>
  <si>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</si>
  <si>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</si>
  <si>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</si>
  <si>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</si>
  <si>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</si>
  <si>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</si>
  <si>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</si>
  <si>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</si>
  <si>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</si>
  <si>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</si>
  <si>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</si>
  <si>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</si>
  <si>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</si>
  <si>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</si>
  <si>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</si>
  <si>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</si>
  <si>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</si>
  <si>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</si>
  <si>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</si>
  <si>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</si>
  <si>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</si>
  <si>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</si>
  <si>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</si>
  <si>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</si>
  <si>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</si>
  <si>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</si>
  <si>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</si>
  <si>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</si>
  <si>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</si>
  <si>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</si>
  <si>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</si>
  <si>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</si>
  <si>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</si>
  <si>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</si>
  <si>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</si>
  <si>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</si>
  <si>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</si>
  <si>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</si>
  <si>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</si>
  <si>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</si>
  <si>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</si>
  <si>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</si>
  <si>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</si>
  <si>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</si>
  <si>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</si>
  <si>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</si>
  <si>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(320+320)</t>
  </si>
  <si>
    <t xml:space="preserve"> +/- 10mm</t>
  </si>
  <si>
    <t>"CYTOTOXIC WASTE"</t>
  </si>
  <si>
    <t>LIMAX</t>
  </si>
  <si>
    <t>MATER  &amp; ENWARE</t>
  </si>
  <si>
    <t>NOT OVER</t>
  </si>
  <si>
    <t>LCW50421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</si>
</sst>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PB640G90075LIP</v>
      </c>
      <c r="C1" s="111"/>
      <c r="D1" s="112"/>
      <c r="E1" s="11" t="s">
        <v>57</v>
      </c>
      <c r="F1" s="87" t="s">
        <v>198</v>
      </c>
      <c r="G1" s="87"/>
      <c r="H1" s="88"/>
      <c r="I1" s="12" t="s">
        <v>181</v>
      </c>
      <c r="J1" s="84">
        <f ca="1">TODAY()</f>
        <v>45881</v>
      </c>
      <c r="K1" s="84"/>
      <c r="L1" s="85"/>
      <c r="M1" s="29"/>
      <c r="N1" s="11" t="s">
        <v>56</v>
      </c>
      <c r="O1" s="111" t="str">
        <f>B1</f>
        <v>PB640G90075LIP</v>
      </c>
      <c r="P1" s="111"/>
      <c r="Q1" s="112"/>
      <c r="R1" s="11" t="s">
        <v>57</v>
      </c>
      <c r="S1" s="111" t="str">
        <f>F1</f>
        <v>MATER  &amp; ENWARE</v>
      </c>
      <c r="T1" s="111"/>
      <c r="U1" s="112"/>
      <c r="V1" s="11" t="s">
        <v>181</v>
      </c>
      <c r="W1" s="84">
        <f ca="1">J1</f>
        <v>45881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LCW50421</v>
      </c>
      <c r="C2" s="111"/>
      <c r="D2" s="112"/>
      <c r="E2" s="11" t="s">
        <v>58</v>
      </c>
      <c r="F2" s="87">
        <v>950459</v>
      </c>
      <c r="G2" s="87"/>
      <c r="H2" s="88"/>
      <c r="I2" s="11" t="s">
        <v>59</v>
      </c>
      <c r="J2" s="86">
        <v>44812</v>
      </c>
      <c r="K2" s="87"/>
      <c r="L2" s="88"/>
      <c r="M2" s="29"/>
      <c r="N2" s="11" t="s">
        <v>100</v>
      </c>
      <c r="O2" s="111" t="str">
        <f>IF(B2="","",B2)</f>
        <v>LCW50421</v>
      </c>
      <c r="P2" s="111"/>
      <c r="Q2" s="112"/>
      <c r="R2" s="11" t="s">
        <v>58</v>
      </c>
      <c r="S2" s="111">
        <f>IF(F2="","",F2)</f>
        <v>950459</v>
      </c>
      <c r="T2" s="111"/>
      <c r="U2" s="112"/>
      <c r="V2" s="11" t="s">
        <v>59</v>
      </c>
      <c r="W2" s="123">
        <f>J2</f>
        <v>44812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22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174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20</v>
      </c>
      <c r="P7" s="88"/>
      <c r="Q7" s="11" t="str">
        <f>IF(ISNUMBER(SEARCH("roll",O8,1)),"Per Roll","Per Carton")</f>
        <v>Per Carton</v>
      </c>
      <c r="R7" s="87">
        <v>200</v>
      </c>
      <c r="S7" s="88"/>
      <c r="T7" s="11" t="str">
        <f>IF(ISNUMBER(SEARCH("bag",O8,1)),"Total Bags","Total Sheets")</f>
        <v>Total Bags</v>
      </c>
      <c r="U7" s="111">
        <f>R7*O7</f>
        <v>4000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640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(320+320)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199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640</v>
      </c>
      <c r="S9" s="18" t="s">
        <v>78</v>
      </c>
      <c r="T9" s="30">
        <v>900</v>
      </c>
      <c r="U9" s="18" t="s">
        <v>78</v>
      </c>
      <c r="V9" s="30">
        <v>75</v>
      </c>
      <c r="W9" s="17"/>
      <c r="X9" s="137" t="s">
        <v>194</v>
      </c>
      <c r="Y9" s="138"/>
    </row>
    <row r="10" spans="1:25" ht="20.149999999999999" customHeight="1" x14ac:dyDescent="0.8">
      <c r="A10" s="11" t="s">
        <v>51</v>
      </c>
      <c r="B10" s="87">
        <v>9</v>
      </c>
      <c r="C10" s="88"/>
      <c r="D10" s="47" t="s">
        <v>134</v>
      </c>
      <c r="E10" s="101">
        <f>IF(ISNUMBER(SEARCH("sheet",O8,1)),((R9*T9*H8/540000)*U7/2000*1.3),((R9*T9*H8/540000)*U7/1000*1.08))</f>
        <v>345.6</v>
      </c>
      <c r="F10" s="102"/>
      <c r="G10" s="11" t="s">
        <v>53</v>
      </c>
      <c r="H10" s="105">
        <f>IF(ISNUMBER(SEARCH("sheet",O8,1)),(U7*T9/2000*1.08),(U7*T9/1000*1.08))</f>
        <v>3888.0000000000005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Yes</v>
      </c>
      <c r="S10" s="124"/>
      <c r="T10" s="14" t="s">
        <v>100</v>
      </c>
      <c r="U10" s="131" t="s">
        <v>200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38.400000000000006</v>
      </c>
      <c r="F11" s="104"/>
      <c r="G11" s="11" t="s">
        <v>15</v>
      </c>
      <c r="H11" s="103">
        <f>H10/B10</f>
        <v>432.00000000000006</v>
      </c>
      <c r="I11" s="104"/>
      <c r="J11" s="11" t="s">
        <v>50</v>
      </c>
      <c r="K11" s="87" t="s">
        <v>65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>P</v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70</v>
      </c>
      <c r="C13" s="87"/>
      <c r="D13" s="88"/>
      <c r="E13" s="19" t="s">
        <v>61</v>
      </c>
      <c r="F13" s="87" t="s">
        <v>66</v>
      </c>
      <c r="G13" s="87"/>
      <c r="H13" s="88"/>
      <c r="I13" s="11" t="s">
        <v>62</v>
      </c>
      <c r="J13" s="87" t="s">
        <v>155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4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 t="s">
        <v>196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180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23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>LILAC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>
        <v>22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45912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45902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E57F328-0E3F-478D-9BA4-9C1D9E46685D}"/>
</file>

<file path=customXml/itemProps2.xml><?xml version="1.0" encoding="utf-8"?>
<ds:datastoreItem xmlns:ds="http://schemas.openxmlformats.org/officeDocument/2006/customXml" ds:itemID="{C39669CE-5DD8-46A8-91BF-E29D8B0B01B1}"/>
</file>

<file path=customXml/itemProps3.xml><?xml version="1.0" encoding="utf-8"?>
<ds:datastoreItem xmlns:ds="http://schemas.openxmlformats.org/officeDocument/2006/customXml" ds:itemID="{AD35103D-715B-4280-873F-2246A8933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2025-08-11T23:56:47Z</cp:lastPrinted>
  <dcterms:created xsi:type="dcterms:W3CDTF">2019-11-27T23:28:06Z</dcterms:created>
  <dcterms:modified xsi:type="dcterms:W3CDTF">2025-08-18T02:37:40Z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