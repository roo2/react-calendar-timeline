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11F6EE11-414D-496C-AC14-6E0F3DD8349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<sst xmlns="http://schemas.openxmlformats.org/spreadsheetml/2006/main" count="305" uniqueCount="201">
  <si>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</si>
  <si>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</si>
  <si>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</si>
  <si>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</si>
  <si>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</si>
  <si>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</si>
  <si>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</si>
  <si>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</si>
  <si>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</si>
  <si>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</si>
  <si>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</si>
  <si>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</si>
  <si>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</si>
  <si>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</si>
  <si>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</si>
  <si>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</si>
  <si>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</si>
  <si>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</si>
  <si>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</si>
  <si>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</si>
  <si>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</si>
  <si>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</si>
  <si>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</si>
  <si>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</si>
  <si>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</si>
  <si>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</si>
  <si>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</si>
  <si>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</si>
  <si>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</si>
  <si>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</si>
  <si>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</si>
  <si>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</si>
  <si>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</si>
  <si>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</si>
  <si>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</si>
  <si>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</si>
  <si>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</si>
  <si>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</si>
  <si>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</si>
  <si>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</si>
  <si>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</si>
  <si>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</si>
  <si>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</si>
  <si>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</si>
  <si>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</si>
  <si>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</si>
  <si>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</si>
  <si>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</si>
  <si>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</si>
  <si>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</si>
  <si>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</si>
  <si>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</si>
  <si>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</si>
  <si>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</si>
  <si>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</si>
  <si>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</si>
  <si>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</si>
  <si>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</si>
  <si>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</si>
  <si>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</si>
  <si>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</si>
  <si>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</si>
  <si>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</si>
  <si>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</si>
  <si>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</si>
  <si>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</si>
  <si>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</si>
  <si>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</si>
  <si>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</si>
  <si>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</si>
  <si>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</si>
  <si>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</si>
  <si>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</si>
  <si>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</si>
  <si>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</si>
  <si>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</si>
  <si>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</si>
  <si>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</si>
  <si>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</si>
  <si>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</si>
  <si>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</si>
  <si>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</si>
  <si>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</si>
  <si>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</si>
  <si>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</si>
  <si>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</si>
  <si>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</si>
  <si>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</si>
  <si>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</si>
  <si>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</si>
  <si>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</si>
  <si>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</si>
  <si>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</si>
  <si>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</si>
  <si>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</si>
  <si>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</si>
  <si>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</si>
  <si>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</si>
  <si>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</si>
  <si>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</si>
  <si>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</si>
  <si>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</si>
  <si>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</si>
  <si>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</si>
  <si>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</si>
  <si>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</si>
  <si>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</si>
  <si>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</si>
  <si>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</si>
  <si>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</si>
  <si>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</si>
  <si>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</si>
  <si>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</si>
  <si>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</si>
  <si>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</si>
  <si>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</si>
  <si>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</si>
  <si>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</si>
  <si>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</si>
  <si>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</si>
  <si>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</si>
  <si>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</si>
  <si>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</si>
  <si>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</si>
  <si>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</si>
  <si>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</si>
  <si>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</si>
  <si>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</si>
  <si>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</si>
  <si>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</si>
  <si>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</si>
  <si>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</si>
  <si>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</si>
  <si>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</si>
  <si>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</si>
  <si>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</si>
  <si>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</si>
  <si>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</si>
  <si>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</si>
  <si>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</si>
  <si>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</si>
  <si>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</si>
  <si>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</si>
  <si>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</si>
  <si>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</si>
  <si>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</si>
  <si>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</si>
  <si>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</si>
  <si>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</si>
  <si>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</si>
  <si>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</si>
  <si>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</si>
  <si>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</si>
  <si>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</si>
  <si>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</si>
  <si>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</si>
  <si>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</si>
  <si>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</si>
  <si>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</si>
  <si>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</si>
  <si>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</si>
  <si>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</si>
  <si>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</si>
  <si>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</si>
  <si>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</si>
  <si>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</si>
  <si>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</si>
  <si>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</si>
  <si>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</si>
  <si>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</si>
  <si>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</si>
  <si>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</si>
  <si>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</si>
  <si>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</si>
  <si>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</si>
  <si>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</si>
  <si>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</si>
  <si>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</si>
  <si>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</si>
  <si>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</si>
  <si>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</si>
  <si>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</si>
  <si>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</si>
  <si>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</si>
  <si>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</si>
  <si>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</si>
  <si>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</si>
  <si>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</si>
  <si>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</si>
  <si>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</si>
  <si>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</si>
  <si>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</si>
  <si>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</si>
  <si>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</si>
  <si>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"CLINICAL WASTE"</t>
  </si>
  <si>
    <t xml:space="preserve"> +/- 10mm</t>
  </si>
  <si>
    <t>(750+430)</t>
  </si>
  <si>
    <t>LIMAX</t>
  </si>
  <si>
    <t>NOT UNDER</t>
  </si>
  <si>
    <t>YCW24050</t>
  </si>
  <si>
    <t>ST VINCENT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</si>
</sst>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5" fillId="3" borderId="3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5" fillId="3" borderId="0" xfId="0" applyFont="1" applyFill="1" applyAlignment="1" applyProtection="1">
      <alignment horizontal="center" vertical="center"/>
      <protection locked="0"/>
    </xf>
    <xf numFmtId="0" fontId="15" fillId="3" borderId="10" xfId="0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/>
      <protection locked="0"/>
    </xf>
    <xf numFmtId="0" fontId="16" fillId="3" borderId="3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  <xf numFmtId="0" fontId="16" fillId="3" borderId="10" xfId="0" applyFont="1" applyFill="1" applyBorder="1" applyAlignment="1" applyProtection="1">
      <alignment horizontal="center" vertical="center"/>
      <protection locked="0"/>
    </xf>
    <xf numFmtId="0" fontId="16" fillId="3" borderId="11" xfId="0" applyFont="1" applyFill="1" applyBorder="1" applyAlignment="1" applyProtection="1">
      <alignment horizontal="center" vertical="center"/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</dxfs>
  <tableStyles count="0" defaultTableStyle="TableStyleMedium2" defaultPivotStyle="PivotStyleLight16"/>
  <colors>
    <mruColors>
      <color rgb="FFD7AFFF"/>
      <color rgb="FFFF99CC"/>
      <color rgb="FFE8407C"/>
      <color rgb="FFE04882"/>
      <color rgb="FFF14D9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F2" sqref="F2:H2"/>
    </sheetView>
  </sheetViews>
  <sheetFormatPr defaultRowHeight="15" x14ac:dyDescent="0.25"/>
  <sheetData>
    <row r="1" spans="1:25" ht="20.100000000000001" customHeight="1" x14ac:dyDescent="0.25">
      <c r="A1" s="11" t="s">
        <v>56</v>
      </c>
      <c r="B1" s="108" t="str">
        <f>O9&amp;R9&amp;IF(X8="G","G","")&amp;IF(O8="Centrefold Roll","("&amp;E8&amp;")","")&amp;T9&amp;V9&amp;C22&amp;C23&amp;C24&amp;O11&amp;R11</f>
        <v>PB1180G150050YP</v>
      </c>
      <c r="C1" s="108"/>
      <c r="D1" s="109"/>
      <c r="E1" s="11" t="s">
        <v>57</v>
      </c>
      <c r="F1" s="62" t="s">
        <v>200</v>
      </c>
      <c r="G1" s="62"/>
      <c r="H1" s="63"/>
      <c r="I1" s="12" t="s">
        <v>181</v>
      </c>
      <c r="J1" s="127">
        <f ca="1">TODAY()</f>
        <v>45033</v>
      </c>
      <c r="K1" s="127"/>
      <c r="L1" s="128"/>
      <c r="M1" s="29"/>
      <c r="N1" s="11" t="s">
        <v>56</v>
      </c>
      <c r="O1" s="108" t="str">
        <f>B1</f>
        <v>PB1180G150050YP</v>
      </c>
      <c r="P1" s="108"/>
      <c r="Q1" s="109"/>
      <c r="R1" s="11" t="s">
        <v>57</v>
      </c>
      <c r="S1" s="108" t="str">
        <f>F1</f>
        <v>ST VINCENT</v>
      </c>
      <c r="T1" s="108"/>
      <c r="U1" s="109"/>
      <c r="V1" s="11" t="s">
        <v>181</v>
      </c>
      <c r="W1" s="127">
        <f ca="1">J1</f>
        <v>45033</v>
      </c>
      <c r="X1" s="127"/>
      <c r="Y1" s="128"/>
    </row>
    <row r="2" spans="1:25" ht="20.100000000000001" customHeight="1" x14ac:dyDescent="0.25">
      <c r="A2" s="11" t="s">
        <v>100</v>
      </c>
      <c r="B2" s="108" t="str">
        <f>IF(U10="","",U10)</f>
        <v>YCW24050</v>
      </c>
      <c r="C2" s="108"/>
      <c r="D2" s="109"/>
      <c r="E2" s="11" t="s">
        <v>58</v>
      </c>
      <c r="F2" s="62">
        <v>945031</v>
      </c>
      <c r="G2" s="62"/>
      <c r="H2" s="63"/>
      <c r="I2" s="11" t="s">
        <v>59</v>
      </c>
      <c r="J2" s="130" t="s">
        <v>192</v>
      </c>
      <c r="K2" s="62"/>
      <c r="L2" s="63"/>
      <c r="M2" s="29"/>
      <c r="N2" s="11" t="s">
        <v>100</v>
      </c>
      <c r="O2" s="108" t="str">
        <f>IF(B2="","",B2)</f>
        <v>YCW24050</v>
      </c>
      <c r="P2" s="108"/>
      <c r="Q2" s="109"/>
      <c r="R2" s="11" t="s">
        <v>58</v>
      </c>
      <c r="S2" s="108">
        <f>IF(F2="","",F2)</f>
        <v>945031</v>
      </c>
      <c r="T2" s="108"/>
      <c r="U2" s="109"/>
      <c r="V2" s="11" t="s">
        <v>59</v>
      </c>
      <c r="W2" s="129" t="str">
        <f>J2</f>
        <v>ASAP</v>
      </c>
      <c r="X2" s="108"/>
      <c r="Y2" s="109"/>
    </row>
    <row r="3" spans="1:25" ht="20.100000000000001" customHeight="1" x14ac:dyDescent="0.25">
      <c r="A3" s="110"/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>
        <f>A3</f>
        <v>0</v>
      </c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20"/>
    </row>
    <row r="4" spans="1:25" ht="20.100000000000001" customHeight="1" x14ac:dyDescent="0.2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21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3"/>
    </row>
    <row r="5" spans="1:25" ht="20.100000000000001" customHeight="1" x14ac:dyDescent="0.2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24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26"/>
    </row>
    <row r="6" spans="1:25" ht="20.100000000000001" customHeight="1" x14ac:dyDescent="0.25">
      <c r="A6" s="131" t="s">
        <v>2</v>
      </c>
      <c r="B6" s="132"/>
      <c r="C6" s="132"/>
      <c r="D6" s="132"/>
      <c r="E6" s="132"/>
      <c r="F6" s="132"/>
      <c r="G6" s="132"/>
      <c r="H6" s="132"/>
      <c r="I6" s="132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1" t="s">
        <v>49</v>
      </c>
      <c r="B7" s="100" t="s">
        <v>148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60</v>
      </c>
      <c r="P7" s="63"/>
      <c r="Q7" s="11" t="str">
        <f>IF(ISNUMBER(SEARCH("roll",O8,1)),"Per Roll","Per Carton")</f>
        <v>Per Carton</v>
      </c>
      <c r="R7" s="62">
        <v>100</v>
      </c>
      <c r="S7" s="63"/>
      <c r="T7" s="11" t="str">
        <f>IF(ISNUMBER(SEARCH("bag",O8,1)),"Total Bags","Total Sheets")</f>
        <v>Total Bags</v>
      </c>
      <c r="U7" s="108">
        <f>R7*O7</f>
        <v>6000</v>
      </c>
      <c r="V7" s="109"/>
      <c r="W7" s="11" t="s">
        <v>102</v>
      </c>
      <c r="X7" s="62" t="s">
        <v>31</v>
      </c>
      <c r="Y7" s="63"/>
    </row>
    <row r="8" spans="1:25" ht="20.100000000000001" customHeight="1" x14ac:dyDescent="0.25">
      <c r="A8" s="13" t="s">
        <v>16</v>
      </c>
      <c r="B8" s="96">
        <f>R9</f>
        <v>1180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(750+430)</v>
      </c>
      <c r="F8" s="97"/>
      <c r="G8" s="13" t="s">
        <v>52</v>
      </c>
      <c r="H8" s="96">
        <f>(IF(V9&lt;30,"30",V9))</f>
        <v>50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Gusset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G</v>
      </c>
      <c r="Y8" s="95"/>
    </row>
    <row r="9" spans="1:25" ht="20.100000000000001" customHeight="1" x14ac:dyDescent="0.3">
      <c r="A9" s="16" t="s">
        <v>48</v>
      </c>
      <c r="B9" s="133" t="s">
        <v>195</v>
      </c>
      <c r="C9" s="134"/>
      <c r="D9" s="141" t="str">
        <f>IF(K10="Middle","RUN 2 UP",IF(AND(O8="Centrefold Roll",B8=380),"RUN 2 UP",""))</f>
        <v/>
      </c>
      <c r="E9" s="100"/>
      <c r="F9" s="101"/>
      <c r="G9" s="16" t="s">
        <v>48</v>
      </c>
      <c r="H9" s="133" t="s">
        <v>198</v>
      </c>
      <c r="I9" s="134"/>
      <c r="J9" s="11" t="s">
        <v>55</v>
      </c>
      <c r="K9" s="62" t="s">
        <v>34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1180</v>
      </c>
      <c r="S9" s="18" t="s">
        <v>78</v>
      </c>
      <c r="T9" s="30">
        <v>1500</v>
      </c>
      <c r="U9" s="18" t="s">
        <v>78</v>
      </c>
      <c r="V9" s="30">
        <v>50</v>
      </c>
      <c r="W9" s="17"/>
      <c r="X9" s="88" t="s">
        <v>196</v>
      </c>
      <c r="Y9" s="89"/>
    </row>
    <row r="10" spans="1:25" ht="20.100000000000001" customHeight="1" x14ac:dyDescent="0.25">
      <c r="A10" s="11" t="s">
        <v>51</v>
      </c>
      <c r="B10" s="62">
        <v>25</v>
      </c>
      <c r="C10" s="63"/>
      <c r="D10" s="47" t="s">
        <v>134</v>
      </c>
      <c r="E10" s="135">
        <f>IF(ISNUMBER(SEARCH("sheet",O8,1)),((R9*T9*H8/540000)*U7/2000*1.3),((R9*T9*H8/540000)*U7/1000*1.08))</f>
        <v>1062</v>
      </c>
      <c r="F10" s="136"/>
      <c r="G10" s="11" t="s">
        <v>53</v>
      </c>
      <c r="H10" s="139">
        <f>IF(ISNUMBER(SEARCH("sheet",O8,1)),(U7*T9/2000*1.08),(U7*T9/1000*1.08))</f>
        <v>9720</v>
      </c>
      <c r="I10" s="140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Yes</v>
      </c>
      <c r="S10" s="94"/>
      <c r="T10" s="14" t="s">
        <v>100</v>
      </c>
      <c r="U10" s="104" t="s">
        <v>199</v>
      </c>
      <c r="V10" s="104"/>
      <c r="W10" s="104"/>
      <c r="X10" s="104"/>
      <c r="Y10" s="105"/>
    </row>
    <row r="11" spans="1:25" ht="20.100000000000001" customHeight="1" x14ac:dyDescent="0.25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37">
        <f>E10/B10</f>
        <v>42.48</v>
      </c>
      <c r="F11" s="138"/>
      <c r="G11" s="11" t="s">
        <v>15</v>
      </c>
      <c r="H11" s="137">
        <f>H10/B10</f>
        <v>388.8</v>
      </c>
      <c r="I11" s="138"/>
      <c r="J11" s="11" t="s">
        <v>50</v>
      </c>
      <c r="K11" s="62" t="s">
        <v>65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>P</v>
      </c>
      <c r="S11" s="97"/>
      <c r="T11" s="13"/>
      <c r="U11" s="106"/>
      <c r="V11" s="106"/>
      <c r="W11" s="106"/>
      <c r="X11" s="106"/>
      <c r="Y11" s="107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1" t="s">
        <v>68</v>
      </c>
      <c r="B13" s="62" t="s">
        <v>70</v>
      </c>
      <c r="C13" s="62"/>
      <c r="D13" s="63"/>
      <c r="E13" s="19" t="s">
        <v>61</v>
      </c>
      <c r="F13" s="62" t="s">
        <v>66</v>
      </c>
      <c r="G13" s="62"/>
      <c r="H13" s="63"/>
      <c r="I13" s="11" t="s">
        <v>62</v>
      </c>
      <c r="J13" s="62" t="s">
        <v>177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60</v>
      </c>
      <c r="R13" s="11" t="s">
        <v>74</v>
      </c>
      <c r="S13" s="31" t="s">
        <v>138</v>
      </c>
      <c r="T13" s="11" t="s">
        <v>178</v>
      </c>
      <c r="U13" s="20">
        <f>IF(S13="No","",(ROUNDUP(U7/W13/24,0)))</f>
        <v>10</v>
      </c>
      <c r="V13" s="11" t="s">
        <v>75</v>
      </c>
      <c r="W13" s="31">
        <v>25</v>
      </c>
      <c r="X13" s="11" t="s">
        <v>76</v>
      </c>
      <c r="Y13" s="32"/>
    </row>
    <row r="14" spans="1:25" ht="20.100000000000001" customHeight="1" x14ac:dyDescent="0.3">
      <c r="A14" s="13" t="s">
        <v>60</v>
      </c>
      <c r="B14" s="100" t="s">
        <v>194</v>
      </c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45" t="s">
        <v>4</v>
      </c>
      <c r="F16" s="145"/>
      <c r="G16" s="145" t="s">
        <v>5</v>
      </c>
      <c r="H16" s="145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 t="s">
        <v>169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/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23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/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tr">
        <f>(IF(B7="NATURAL","",B7))</f>
        <v>YELLOW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25">
      <c r="A23" s="146"/>
      <c r="B23" s="146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47"/>
      <c r="B24" s="148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 t="s">
        <v>197</v>
      </c>
      <c r="P25" s="34"/>
      <c r="Q25" s="10">
        <v>24</v>
      </c>
      <c r="R25" s="10"/>
      <c r="S25" s="10"/>
      <c r="T25" s="10"/>
      <c r="U25" s="10"/>
      <c r="V25" s="10"/>
      <c r="W25" s="10">
        <v>16</v>
      </c>
      <c r="X25" s="10">
        <v>12</v>
      </c>
      <c r="Y25" s="10"/>
    </row>
    <row r="26" spans="1:25" ht="20.100000000000001" customHeight="1" x14ac:dyDescent="0.2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2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2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2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2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2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2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25">
      <c r="A36" s="142" t="s">
        <v>136</v>
      </c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4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2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2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2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2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2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2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25">
      <c r="N43" s="51"/>
    </row>
    <row r="44" spans="1:25" ht="20.100000000000001" customHeight="1" x14ac:dyDescent="0.2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2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2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2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2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2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2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2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2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2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2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2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2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2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2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2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2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2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2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2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2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2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2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2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2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2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2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2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2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2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2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2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2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2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2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2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2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2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2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2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2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2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10" operator="containsText" text="WHITE">
      <formula>NOT(ISERROR(SEARCH("WHITE",B7)))</formula>
    </cfRule>
    <cfRule type="containsText" dxfId="11" priority="11" operator="containsText" text="PURPLE">
      <formula>NOT(ISERROR(SEARCH("PURPLE",B7)))</formula>
    </cfRule>
    <cfRule type="containsText" dxfId="10" priority="12" operator="containsText" text="BLUE">
      <formula>NOT(ISERROR(SEARCH("BLUE",B7)))</formula>
    </cfRule>
    <cfRule type="containsText" dxfId="9" priority="13" operator="containsText" text="YELLOW">
      <formula>NOT(ISERROR(SEARCH("YELLOW",B7)))</formula>
    </cfRule>
  </conditionalFormatting>
  <conditionalFormatting sqref="B7:I7">
    <cfRule type="containsText" dxfId="8" priority="3" operator="containsText" text="BLACK">
      <formula>NOT(ISERROR(SEARCH("BLACK",B7)))</formula>
    </cfRule>
  </conditionalFormatting>
  <conditionalFormatting sqref="J2">
    <cfRule type="containsText" dxfId="7" priority="2" operator="containsText" text="ASAP">
      <formula>NOT(ISERROR(SEARCH("ASAP",J2)))</formula>
    </cfRule>
  </conditionalFormatting>
  <conditionalFormatting sqref="J13 B7">
    <cfRule type="containsText" dxfId="6" priority="5" operator="containsText" text="LILAC">
      <formula>NOT(ISERROR(SEARCH("LILAC",B7)))</formula>
    </cfRule>
    <cfRule type="containsText" dxfId="5" priority="6" operator="containsText" text="MAROON">
      <formula>NOT(ISERROR(SEARCH("MAROON",B7)))</formula>
    </cfRule>
    <cfRule type="containsText" dxfId="4" priority="7" operator="containsText" text="ORANGE">
      <formula>NOT(ISERROR(SEARCH("ORANGE",B7)))</formula>
    </cfRule>
    <cfRule type="containsText" dxfId="3" priority="8" operator="containsText" text="GREEN">
      <formula>NOT(ISERROR(SEARCH("GREEN",B7)))</formula>
    </cfRule>
    <cfRule type="containsText" dxfId="2" priority="9" operator="containsText" text="RED">
      <formula>NOT(ISERROR(SEARCH("RED",B7)))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2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8">
        <f ca="1">DATE(YEAR(Sheet1!J1),MONTH(Sheet1!J1)+1,DAY(Sheet1!J1))</f>
        <v>45063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8">
        <f ca="1">DATE(YEAR(Sheet1!J1),MONTH(Sheet1!J1),DAY(Sheet1!J1)+21)</f>
        <v>45054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2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2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2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2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2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2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2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2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2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2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2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2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2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2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2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2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2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2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2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2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2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2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2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2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2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2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2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2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2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2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2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2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2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2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2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2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25">
      <c r="A59" s="55" t="s">
        <v>148</v>
      </c>
    </row>
    <row r="60" spans="1:20" x14ac:dyDescent="0.25">
      <c r="A60" s="55" t="s">
        <v>149</v>
      </c>
      <c r="O60" s="1"/>
      <c r="Q60" s="1"/>
      <c r="R60" s="3"/>
      <c r="S60" s="1"/>
    </row>
    <row r="61" spans="1:20" x14ac:dyDescent="0.25">
      <c r="A61" s="55" t="s">
        <v>150</v>
      </c>
      <c r="O61" s="1"/>
      <c r="Q61" s="1"/>
      <c r="R61" s="1"/>
      <c r="S61" s="1"/>
    </row>
    <row r="62" spans="1:20" x14ac:dyDescent="0.25">
      <c r="A62" s="55" t="s">
        <v>151</v>
      </c>
      <c r="O62" s="1"/>
      <c r="Q62" s="1"/>
      <c r="R62" s="1"/>
      <c r="S62" s="1"/>
    </row>
    <row r="63" spans="1:20" x14ac:dyDescent="0.25">
      <c r="A63" s="55" t="s">
        <v>152</v>
      </c>
      <c r="O63" s="1"/>
      <c r="Q63" s="1"/>
      <c r="R63" s="1"/>
      <c r="S63" s="1"/>
      <c r="T63" s="1"/>
    </row>
    <row r="64" spans="1:20" x14ac:dyDescent="0.25">
      <c r="A64" s="55" t="s">
        <v>153</v>
      </c>
      <c r="O64" s="1"/>
      <c r="Q64" s="1"/>
      <c r="R64" s="1"/>
      <c r="S64" s="1"/>
      <c r="T64" s="1"/>
    </row>
    <row r="65" spans="1:20" x14ac:dyDescent="0.2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DCE39F34-481D-4506-9692-278B31498345}"/>
</file>

<file path=customXml/itemProps2.xml><?xml version="1.0" encoding="utf-8"?>
<ds:datastoreItem xmlns:ds="http://schemas.openxmlformats.org/officeDocument/2006/customXml" ds:itemID="{37ACDE41-1F45-494C-AB20-04A1351CCD6C}"/>
</file>

<file path=customXml/itemProps3.xml><?xml version="1.0" encoding="utf-8"?>
<ds:datastoreItem xmlns:ds="http://schemas.openxmlformats.org/officeDocument/2006/customXml" ds:itemID="{7B62B6F2-2F28-4F2B-AB2B-6124B5ED99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Emily</cp:lastModifiedBy>
  <cp:lastPrinted>2023-04-17T00:32:18Z</cp:lastPrinted>
  <dcterms:created xsi:type="dcterms:W3CDTF">2019-11-27T23:28:06Z</dcterms:created>
  <dcterms:modified xsi:type="dcterms:W3CDTF">2023-04-17T04:23:17Z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