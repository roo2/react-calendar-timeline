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F66D88E-35E3-449E-A97A-A6C68ACBB45A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<sst xmlns="http://schemas.openxmlformats.org/spreadsheetml/2006/main" count="306" uniqueCount="202">
  <si>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</si>
  <si>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</si>
  <si>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</si>
  <si>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</si>
  <si>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</si>
  <si>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</si>
  <si>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</si>
  <si>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</si>
  <si>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</si>
  <si>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</si>
  <si>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</si>
  <si>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</si>
  <si>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</si>
  <si>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</si>
  <si>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</si>
  <si>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</si>
  <si>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</si>
  <si>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</si>
  <si>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</si>
  <si>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</si>
  <si>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</si>
  <si>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</si>
  <si>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</si>
  <si>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</si>
  <si>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</si>
  <si>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</si>
  <si>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</si>
  <si>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</si>
  <si>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</si>
  <si>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</si>
  <si>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</si>
  <si>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</si>
  <si>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</si>
  <si>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</si>
  <si>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</si>
  <si>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</si>
  <si>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</si>
  <si>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</si>
  <si>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</si>
  <si>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</si>
  <si>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</si>
  <si>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</si>
  <si>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</si>
  <si>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</si>
  <si>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</si>
  <si>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</si>
  <si>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</si>
  <si>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</si>
  <si>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</si>
  <si>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</si>
  <si>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</si>
  <si>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</si>
  <si>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</si>
  <si>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</si>
  <si>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</si>
  <si>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</si>
  <si>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</si>
  <si>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</si>
  <si>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</si>
  <si>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</si>
  <si>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</si>
  <si>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</si>
  <si>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</si>
  <si>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</si>
  <si>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</si>
  <si>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</si>
  <si>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</si>
  <si>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</si>
  <si>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</si>
  <si>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</si>
  <si>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</si>
  <si>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</si>
  <si>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</si>
  <si>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</si>
  <si>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</si>
  <si>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</si>
  <si>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</si>
  <si>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</si>
  <si>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</si>
  <si>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</si>
  <si>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</si>
  <si>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</si>
  <si>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</si>
  <si>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</si>
  <si>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</si>
  <si>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</si>
  <si>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</si>
  <si>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</si>
  <si>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</si>
  <si>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</si>
  <si>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</si>
  <si>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</si>
  <si>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</si>
  <si>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</si>
  <si>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</si>
  <si>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</si>
  <si>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</si>
  <si>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</si>
  <si>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</si>
  <si>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</si>
  <si>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</si>
  <si>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</si>
  <si>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</si>
  <si>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</si>
  <si>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</si>
  <si>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</si>
  <si>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</si>
  <si>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</si>
  <si>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</si>
  <si>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</si>
  <si>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</si>
  <si>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</si>
  <si>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</si>
  <si>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</si>
  <si>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</si>
  <si>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</si>
  <si>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</si>
  <si>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</si>
  <si>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</si>
  <si>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</si>
  <si>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</si>
  <si>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</si>
  <si>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</si>
  <si>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</si>
  <si>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</si>
  <si>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</si>
  <si>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</si>
  <si>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</si>
  <si>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</si>
  <si>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</si>
  <si>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</si>
  <si>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</si>
  <si>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</si>
  <si>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</si>
  <si>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</si>
  <si>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</si>
  <si>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</si>
  <si>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</si>
  <si>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</si>
  <si>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</si>
  <si>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</si>
  <si>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</si>
  <si>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</si>
  <si>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</si>
  <si>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</si>
  <si>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</si>
  <si>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</si>
  <si>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</si>
  <si>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</si>
  <si>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</si>
  <si>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</si>
  <si>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</si>
  <si>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</si>
  <si>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</si>
  <si>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</si>
  <si>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</si>
  <si>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</si>
  <si>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</si>
  <si>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</si>
  <si>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</si>
  <si>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</si>
  <si>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</si>
  <si>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</si>
  <si>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</si>
  <si>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</si>
  <si>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</si>
  <si>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</si>
  <si>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</si>
  <si>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</si>
  <si>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</si>
  <si>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</si>
  <si>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</si>
  <si>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</si>
  <si>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</si>
  <si>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</si>
  <si>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</si>
  <si>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</si>
  <si>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</si>
  <si>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</si>
  <si>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</si>
  <si>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</si>
  <si>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</si>
  <si>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</si>
  <si>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</si>
  <si>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</si>
  <si>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</si>
  <si>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</si>
  <si>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</si>
  <si>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</si>
  <si>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</si>
  <si>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</si>
  <si>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</si>
  <si>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</si>
  <si>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</si>
  <si>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SAXON AGENCIES</t>
  </si>
  <si>
    <t>BROWN</t>
  </si>
  <si>
    <t>BIO DEGRADABLE</t>
  </si>
  <si>
    <t>MD</t>
  </si>
  <si>
    <t xml:space="preserve"> +/- 3mm</t>
  </si>
  <si>
    <t>RUN AT 30um</t>
  </si>
  <si>
    <t>ANTISTATIC</t>
  </si>
  <si>
    <t>MD - FILM MUST NOT BE SPLITTY - OPAQUE BROWN - NEEDS 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</si>
</sst>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M4" sqref="M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PB46076030BBDAS</v>
      </c>
      <c r="C1" s="111"/>
      <c r="D1" s="112"/>
      <c r="E1" s="11" t="s">
        <v>57</v>
      </c>
      <c r="F1" s="87" t="s">
        <v>194</v>
      </c>
      <c r="G1" s="87"/>
      <c r="H1" s="88"/>
      <c r="I1" s="12" t="s">
        <v>181</v>
      </c>
      <c r="J1" s="84">
        <f ca="1">TODAY()</f>
        <v>46078</v>
      </c>
      <c r="K1" s="84"/>
      <c r="L1" s="85"/>
      <c r="M1" s="29"/>
      <c r="N1" s="11" t="s">
        <v>56</v>
      </c>
      <c r="O1" s="111" t="str">
        <f>B1</f>
        <v>PB46076030BBDAS</v>
      </c>
      <c r="P1" s="111"/>
      <c r="Q1" s="112"/>
      <c r="R1" s="11" t="s">
        <v>57</v>
      </c>
      <c r="S1" s="111" t="str">
        <f>F1</f>
        <v>SAXON AGENCIES</v>
      </c>
      <c r="T1" s="111"/>
      <c r="U1" s="112"/>
      <c r="V1" s="11" t="s">
        <v>181</v>
      </c>
      <c r="W1" s="84">
        <f ca="1">J1</f>
        <v>46078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MD</v>
      </c>
      <c r="C2" s="111"/>
      <c r="D2" s="112"/>
      <c r="E2" s="11" t="s">
        <v>58</v>
      </c>
      <c r="F2" s="87">
        <v>951583</v>
      </c>
      <c r="G2" s="87"/>
      <c r="H2" s="88"/>
      <c r="I2" s="11" t="s">
        <v>59</v>
      </c>
      <c r="J2" s="86">
        <v>43926</v>
      </c>
      <c r="K2" s="87"/>
      <c r="L2" s="88"/>
      <c r="M2" s="29"/>
      <c r="N2" s="11" t="s">
        <v>100</v>
      </c>
      <c r="O2" s="111" t="str">
        <f>IF(B2="","",B2)</f>
        <v>MD</v>
      </c>
      <c r="P2" s="111"/>
      <c r="Q2" s="112"/>
      <c r="R2" s="11" t="s">
        <v>58</v>
      </c>
      <c r="S2" s="111">
        <f>IF(F2="","",F2)</f>
        <v>951583</v>
      </c>
      <c r="T2" s="111"/>
      <c r="U2" s="112"/>
      <c r="V2" s="11" t="s">
        <v>59</v>
      </c>
      <c r="W2" s="122">
        <f>J2</f>
        <v>43926</v>
      </c>
      <c r="X2" s="111"/>
      <c r="Y2" s="112"/>
    </row>
    <row r="3" spans="1:25" ht="20.100000000000001" customHeight="1" x14ac:dyDescent="0.25">
      <c r="A3" s="113" t="s">
        <v>201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MD - FILM MUST NOT BE SPLITTY - OPAQUE BROWN - NEEDS ANTISTATIC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195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460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198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199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460</v>
      </c>
      <c r="S9" s="18" t="s">
        <v>78</v>
      </c>
      <c r="T9" s="30">
        <v>760</v>
      </c>
      <c r="U9" s="18" t="s">
        <v>78</v>
      </c>
      <c r="V9" s="30">
        <v>30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104.88000000000001</v>
      </c>
      <c r="F10" s="102"/>
      <c r="G10" s="11" t="s">
        <v>53</v>
      </c>
      <c r="H10" s="105">
        <f>IF(ISNUMBER(SEARCH("sheet",O8,1)),(U7*T9/2000*1.08),(U7*T9/1000*1.08))</f>
        <v>4104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26.220000000000002</v>
      </c>
      <c r="F11" s="104"/>
      <c r="G11" s="11" t="s">
        <v>15</v>
      </c>
      <c r="H11" s="103">
        <f>H10/B10</f>
        <v>1026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180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BROWN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IF(A22="","",IF(A22="NATURAL","",IF(A22="BLACK","BK",IF(A22="WHITE","WH",IF(A22="YELLOW","Y",IF(A22="PURPLE","PU",IF(A22="BLUE","BL",IF(A22="RED","R",IF(A22="GREEN","GR",IF(A22="ORANGE","OR",IF(A22="LILAC","LI",IF(A22="MAROON","MA",IF(A22="BROWN","B",IF(A22="WHITE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196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BD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200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E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F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46099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195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5" t="s">
        <v>45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155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A25D42F-BE8B-468C-ABEA-F22977CABCAA}"/>
</file>

<file path=customXml/itemProps2.xml><?xml version="1.0" encoding="utf-8"?>
<ds:datastoreItem xmlns:ds="http://schemas.openxmlformats.org/officeDocument/2006/customXml" ds:itemID="{9BF1DE5B-9F69-4469-8DF6-EE2F232658C1}"/>
</file>

<file path=customXml/itemProps3.xml><?xml version="1.0" encoding="utf-8"?>
<ds:datastoreItem xmlns:ds="http://schemas.openxmlformats.org/officeDocument/2006/customXml" ds:itemID="{1B4F64E0-6169-4104-AC03-C6C014F73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2026-02-25T06:50:47Z</cp:lastPrinted>
  <dcterms:created xsi:type="dcterms:W3CDTF">2019-11-27T23:28:06Z</dcterms:created>
  <dcterms:modified xsi:type="dcterms:W3CDTF">2026-02-25T06:50:50Z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