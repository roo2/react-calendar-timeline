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C2C1826-31A1-47EB-872D-608C20069E0E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<sst xmlns="http://schemas.openxmlformats.org/spreadsheetml/2006/main" count="307" uniqueCount="201">
  <si>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</si>
  <si>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</si>
  <si>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</si>
  <si>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</si>
  <si>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</si>
  <si>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</si>
  <si>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</si>
  <si>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</si>
  <si>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</si>
  <si>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</si>
  <si>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</si>
  <si>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</si>
  <si>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</si>
  <si>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</si>
  <si>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</si>
  <si>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</si>
  <si>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</si>
  <si>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</si>
  <si>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</si>
  <si>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</si>
  <si>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</si>
  <si>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</si>
  <si>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</si>
  <si>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</si>
  <si>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</si>
  <si>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</si>
  <si>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</si>
  <si>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</si>
  <si>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</si>
  <si>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</si>
  <si>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</si>
  <si>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</si>
  <si>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</si>
  <si>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</si>
  <si>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</si>
  <si>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</si>
  <si>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</si>
  <si>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</si>
  <si>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</si>
  <si>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</si>
  <si>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</si>
  <si>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</si>
  <si>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</si>
  <si>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</si>
  <si>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</si>
  <si>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</si>
  <si>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</si>
  <si>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</si>
  <si>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</si>
  <si>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</si>
  <si>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</si>
  <si>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</si>
  <si>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</si>
  <si>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</si>
  <si>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</si>
  <si>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</si>
  <si>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</si>
  <si>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</si>
  <si>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</si>
  <si>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</si>
  <si>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</si>
  <si>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</si>
  <si>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</si>
  <si>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</si>
  <si>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</si>
  <si>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</si>
  <si>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</si>
  <si>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</si>
  <si>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</si>
  <si>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</si>
  <si>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</si>
  <si>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</si>
  <si>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</si>
  <si>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</si>
  <si>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</si>
  <si>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</si>
  <si>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</si>
  <si>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</si>
  <si>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</si>
  <si>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</si>
  <si>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</si>
  <si>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</si>
  <si>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</si>
  <si>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</si>
  <si>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</si>
  <si>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</si>
  <si>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</si>
  <si>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</si>
  <si>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</si>
  <si>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</si>
  <si>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</si>
  <si>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</si>
  <si>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</si>
  <si>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</si>
  <si>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</si>
  <si>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</si>
  <si>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</si>
  <si>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</si>
  <si>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</si>
  <si>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</si>
  <si>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</si>
  <si>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</si>
  <si>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</si>
  <si>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</si>
  <si>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</si>
  <si>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</si>
  <si>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</si>
  <si>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</si>
  <si>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</si>
  <si>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</si>
  <si>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</si>
  <si>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</si>
  <si>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</si>
  <si>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</si>
  <si>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</si>
  <si>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</si>
  <si>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</si>
  <si>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</si>
  <si>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</si>
  <si>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</si>
  <si>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</si>
  <si>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</si>
  <si>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</si>
  <si>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</si>
  <si>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</si>
  <si>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</si>
  <si>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</si>
  <si>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</si>
  <si>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</si>
  <si>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</si>
  <si>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</si>
  <si>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</si>
  <si>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</si>
  <si>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</si>
  <si>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</si>
  <si>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</si>
  <si>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</si>
  <si>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</si>
  <si>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</si>
  <si>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</si>
  <si>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</si>
  <si>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</si>
  <si>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</si>
  <si>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</si>
  <si>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</si>
  <si>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</si>
  <si>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</si>
  <si>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</si>
  <si>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</si>
  <si>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</si>
  <si>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</si>
  <si>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</si>
  <si>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</si>
  <si>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</si>
  <si>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</si>
  <si>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</si>
  <si>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</si>
  <si>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</si>
  <si>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</si>
  <si>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</si>
  <si>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</si>
  <si>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</si>
  <si>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</si>
  <si>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</si>
  <si>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</si>
  <si>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</si>
  <si>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</si>
  <si>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</si>
  <si>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</si>
  <si>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</si>
  <si>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</si>
  <si>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</si>
  <si>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</si>
  <si>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</si>
  <si>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</si>
  <si>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</si>
  <si>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</si>
  <si>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</si>
  <si>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</si>
  <si>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</si>
  <si>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</si>
  <si>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</si>
  <si>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</si>
  <si>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</si>
  <si>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</si>
  <si>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</si>
  <si>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</si>
  <si>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</si>
  <si>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</si>
  <si>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</si>
  <si>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</si>
  <si>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</si>
  <si>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</si>
  <si>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NOT OVER</t>
  </si>
  <si>
    <t xml:space="preserve"> +/- 5mm</t>
  </si>
  <si>
    <t>Centrefold Roll</t>
  </si>
  <si>
    <t>UV</t>
  </si>
  <si>
    <t>LIMAX</t>
  </si>
  <si>
    <t>2-3%</t>
  </si>
  <si>
    <t>FITZROY NURSERIES</t>
  </si>
  <si>
    <t xml:space="preserve"> WHITE TINT - MUST HAVE UV - SEE ATTACHED SAMPLE - FILM COLOUR MUST MATCH - MUST NOT BE SEE THRU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</si>
</sst>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7" fillId="0" borderId="6" xfId="0" applyFont="1" applyBorder="1" applyAlignment="1">
      <alignment horizontal="left" vertic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9" fontId="3" fillId="0" borderId="4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6" xfId="0" applyFont="1" applyFill="1" applyBorder="1" applyAlignment="1">
      <alignment horizontal="center"/>
    </xf>
    <xf numFmtId="0" fontId="16" fillId="0" borderId="6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PB13042050WTUV</v>
      </c>
      <c r="C1" s="111"/>
      <c r="D1" s="112"/>
      <c r="E1" s="11" t="s">
        <v>57</v>
      </c>
      <c r="F1" s="62" t="s">
        <v>199</v>
      </c>
      <c r="G1" s="62"/>
      <c r="H1" s="63"/>
      <c r="I1" s="12" t="s">
        <v>181</v>
      </c>
      <c r="J1" s="131">
        <f ca="1">TODAY()</f>
        <v>45854</v>
      </c>
      <c r="K1" s="131"/>
      <c r="L1" s="132"/>
      <c r="M1" s="29"/>
      <c r="N1" s="11" t="s">
        <v>56</v>
      </c>
      <c r="O1" s="111" t="str">
        <f>B1</f>
        <v>PB13042050WTUV</v>
      </c>
      <c r="P1" s="111"/>
      <c r="Q1" s="112"/>
      <c r="R1" s="11" t="s">
        <v>57</v>
      </c>
      <c r="S1" s="111" t="str">
        <f>F1</f>
        <v>FITZROY NURSERIES</v>
      </c>
      <c r="T1" s="111"/>
      <c r="U1" s="112"/>
      <c r="V1" s="11" t="s">
        <v>181</v>
      </c>
      <c r="W1" s="131">
        <f ca="1">J1</f>
        <v>45854</v>
      </c>
      <c r="X1" s="131"/>
      <c r="Y1" s="132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62">
        <v>950256</v>
      </c>
      <c r="G2" s="62"/>
      <c r="H2" s="63"/>
      <c r="I2" s="11" t="s">
        <v>59</v>
      </c>
      <c r="J2" s="134" t="s">
        <v>192</v>
      </c>
      <c r="K2" s="62"/>
      <c r="L2" s="63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950256</v>
      </c>
      <c r="T2" s="111"/>
      <c r="U2" s="112"/>
      <c r="V2" s="11" t="s">
        <v>59</v>
      </c>
      <c r="W2" s="133" t="str">
        <f>J2</f>
        <v>ASAP</v>
      </c>
      <c r="X2" s="111"/>
      <c r="Y2" s="112"/>
    </row>
    <row r="3" spans="1:25" ht="20.149999999999999" customHeight="1" x14ac:dyDescent="0.75">
      <c r="A3" s="113" t="s">
        <v>200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22" t="str">
        <f>A3</f>
        <v xml:space="preserve"> WHITE TINT - MUST HAVE UV - SEE ATTACHED SAMPLE - FILM COLOUR MUST MATCH - MUST NOT BE SEE THRU </v>
      </c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4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25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7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28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30"/>
    </row>
    <row r="6" spans="1:25" ht="20.149999999999999" customHeight="1" x14ac:dyDescent="0.75">
      <c r="A6" s="135" t="s">
        <v>2</v>
      </c>
      <c r="B6" s="136"/>
      <c r="C6" s="136"/>
      <c r="D6" s="136"/>
      <c r="E6" s="136"/>
      <c r="F6" s="136"/>
      <c r="G6" s="136"/>
      <c r="H6" s="136"/>
      <c r="I6" s="136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3" t="s">
        <v>156</v>
      </c>
      <c r="C7" s="103"/>
      <c r="D7" s="103"/>
      <c r="E7" s="103"/>
      <c r="F7" s="103"/>
      <c r="G7" s="103"/>
      <c r="H7" s="103"/>
      <c r="I7" s="104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20</v>
      </c>
      <c r="P7" s="63"/>
      <c r="Q7" s="11" t="str">
        <f>IF(ISNUMBER(SEARCH("roll",O8,1)),"Per Roll","Per Carton")</f>
        <v>Per Carton</v>
      </c>
      <c r="R7" s="62">
        <v>1000</v>
      </c>
      <c r="S7" s="63"/>
      <c r="T7" s="11" t="str">
        <f>IF(ISNUMBER(SEARCH("bag",O8,1)),"Total Bags","Total Sheets")</f>
        <v>Total Bags</v>
      </c>
      <c r="U7" s="111">
        <f>R7*O7</f>
        <v>20000</v>
      </c>
      <c r="V7" s="112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9">
        <f>R9</f>
        <v>130</v>
      </c>
      <c r="C8" s="100"/>
      <c r="D8" s="27" t="str">
        <f>IF(ISNUMBER(SEARCH("bag",O8,1)),"Gusset","Centrefold")</f>
        <v>Gusset</v>
      </c>
      <c r="E8" s="99" t="str">
        <f>IF(O8="Centrefold Roll",B8*2,IF(X9="","None",X9))</f>
        <v>None</v>
      </c>
      <c r="F8" s="100"/>
      <c r="G8" s="13" t="s">
        <v>52</v>
      </c>
      <c r="H8" s="99">
        <f>(IF(V9&lt;30,"30",V9))</f>
        <v>50</v>
      </c>
      <c r="I8" s="10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01" t="s">
        <v>164</v>
      </c>
      <c r="P8" s="102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7" t="str">
        <f>IF(AND(W8="Gusset",X9=""), "None",IF(AND(W8="Centrefold",X9=""),"None",IF(W8="Gusset","G",IF(W8="Centrefold","CF"))))</f>
        <v>None</v>
      </c>
      <c r="Y8" s="98"/>
    </row>
    <row r="9" spans="1:25" ht="20.149999999999999" customHeight="1" x14ac:dyDescent="0.9">
      <c r="A9" s="16" t="s">
        <v>48</v>
      </c>
      <c r="B9" s="137" t="s">
        <v>194</v>
      </c>
      <c r="C9" s="138"/>
      <c r="D9" s="145" t="str">
        <f>IF(K10="Middle","RUN 2 UP",IF(AND(O8="Centrefold Roll",B8=380),"RUN 2 UP",""))</f>
        <v/>
      </c>
      <c r="E9" s="103"/>
      <c r="F9" s="104"/>
      <c r="G9" s="16" t="s">
        <v>48</v>
      </c>
      <c r="H9" s="137" t="s">
        <v>193</v>
      </c>
      <c r="I9" s="138"/>
      <c r="J9" s="11" t="s">
        <v>55</v>
      </c>
      <c r="K9" s="62" t="s">
        <v>30</v>
      </c>
      <c r="L9" s="63"/>
      <c r="M9" s="29"/>
      <c r="N9" s="17"/>
      <c r="O9" s="105" t="str">
        <f>IF(O8="Poly Bag","PB",IF(O8="Poly Bag Roll","PBR",IF(O8="Centrefold Roll","CFR",IF(O8="Sheet","S",IF(O8="Sheet Roll","SR")))))</f>
        <v>PB</v>
      </c>
      <c r="P9" s="106"/>
      <c r="Q9" s="17"/>
      <c r="R9" s="30">
        <v>130</v>
      </c>
      <c r="S9" s="18" t="s">
        <v>78</v>
      </c>
      <c r="T9" s="30">
        <v>420</v>
      </c>
      <c r="U9" s="18" t="s">
        <v>78</v>
      </c>
      <c r="V9" s="30">
        <v>50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10</v>
      </c>
      <c r="C10" s="63"/>
      <c r="D10" s="47" t="s">
        <v>134</v>
      </c>
      <c r="E10" s="139">
        <f>IF(ISNUMBER(SEARCH("sheet",O8,1)),((R9*T9*H8/540000)*U7/2000*1.3),((R9*T9*H8/540000)*U7/1000*1.08))</f>
        <v>109.20000000000002</v>
      </c>
      <c r="F10" s="140"/>
      <c r="G10" s="11" t="s">
        <v>53</v>
      </c>
      <c r="H10" s="143">
        <f>IF(ISNUMBER(SEARCH("sheet",O8,1)),(U7*T9/2000*1.08),(U7*T9/1000*1.08))</f>
        <v>9072</v>
      </c>
      <c r="I10" s="144"/>
      <c r="J10" s="11" t="s">
        <v>41</v>
      </c>
      <c r="K10" s="62" t="s">
        <v>44</v>
      </c>
      <c r="L10" s="63"/>
      <c r="M10" s="29"/>
      <c r="N10" s="14" t="s">
        <v>141</v>
      </c>
      <c r="O10" s="101" t="s">
        <v>44</v>
      </c>
      <c r="P10" s="102"/>
      <c r="Q10" s="14" t="s">
        <v>50</v>
      </c>
      <c r="R10" s="97" t="str">
        <f>IF(K11="NONE","None",IF(K11="INLINE","Yes",IF(K11="OUT OF LINE","Yes")))</f>
        <v>None</v>
      </c>
      <c r="S10" s="97"/>
      <c r="T10" s="14" t="s">
        <v>100</v>
      </c>
      <c r="U10" s="107"/>
      <c r="V10" s="107"/>
      <c r="W10" s="107"/>
      <c r="X10" s="107"/>
      <c r="Y10" s="108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41">
        <f>E10/B10</f>
        <v>10.920000000000002</v>
      </c>
      <c r="F11" s="142"/>
      <c r="G11" s="11" t="s">
        <v>15</v>
      </c>
      <c r="H11" s="141">
        <f>H10/B10</f>
        <v>907.2</v>
      </c>
      <c r="I11" s="142"/>
      <c r="J11" s="11" t="s">
        <v>50</v>
      </c>
      <c r="K11" s="62" t="s">
        <v>44</v>
      </c>
      <c r="L11" s="63"/>
      <c r="M11" s="29"/>
      <c r="N11" s="13"/>
      <c r="O11" s="99" t="str">
        <f>IF(O10="NONE","","V")</f>
        <v/>
      </c>
      <c r="P11" s="100"/>
      <c r="Q11" s="13"/>
      <c r="R11" s="99" t="str">
        <f>IF(R10="None","","P")</f>
        <v/>
      </c>
      <c r="S11" s="100"/>
      <c r="T11" s="13"/>
      <c r="U11" s="109"/>
      <c r="V11" s="109"/>
      <c r="W11" s="109"/>
      <c r="X11" s="109"/>
      <c r="Y11" s="110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20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/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4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50" t="s">
        <v>4</v>
      </c>
      <c r="F16" s="150"/>
      <c r="G16" s="150" t="s">
        <v>5</v>
      </c>
      <c r="H16" s="150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168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149" t="s">
        <v>6</v>
      </c>
      <c r="B17" s="149"/>
      <c r="C17" s="95" t="s">
        <v>147</v>
      </c>
      <c r="D17" s="96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37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149" t="s">
        <v>7</v>
      </c>
      <c r="B18" s="149"/>
      <c r="C18" s="95" t="s">
        <v>146</v>
      </c>
      <c r="D18" s="96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149" t="s">
        <v>8</v>
      </c>
      <c r="B19" s="149"/>
      <c r="C19" s="95" t="s">
        <v>145</v>
      </c>
      <c r="D19" s="96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149" t="s">
        <v>9</v>
      </c>
      <c r="B20" s="149"/>
      <c r="C20" s="95" t="s">
        <v>144</v>
      </c>
      <c r="D20" s="96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149" t="s">
        <v>10</v>
      </c>
      <c r="B21" s="149"/>
      <c r="C21" s="95" t="s">
        <v>143</v>
      </c>
      <c r="D21" s="96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>WHITE TINT</v>
      </c>
      <c r="B22" s="61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WT</v>
      </c>
      <c r="D22" s="94"/>
      <c r="E22" s="59" t="s">
        <v>198</v>
      </c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51" t="s">
        <v>196</v>
      </c>
      <c r="B23" s="151"/>
      <c r="C23" s="154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155"/>
      <c r="E23" s="90">
        <v>0.02</v>
      </c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52"/>
      <c r="B24" s="153"/>
      <c r="C24" s="9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6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197</v>
      </c>
      <c r="P25" s="34"/>
      <c r="Q25" s="10">
        <v>34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2" t="s">
        <v>132</v>
      </c>
      <c r="H26" s="92"/>
      <c r="I26" s="92" t="s">
        <v>131</v>
      </c>
      <c r="J26" s="92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1"/>
      <c r="H27" s="91"/>
      <c r="I27" s="91"/>
      <c r="J27" s="91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1"/>
      <c r="H28" s="91"/>
      <c r="I28" s="91"/>
      <c r="J28" s="91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46" t="s">
        <v>136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8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" right="0" top="0" bottom="0" header="0" footer="0"/>
  <pageSetup paperSize="9" scale="96" fitToHeight="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45885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45875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195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B7E0259-E13A-4E73-92BE-26593C1E287F}"/>
</file>

<file path=customXml/itemProps2.xml><?xml version="1.0" encoding="utf-8"?>
<ds:datastoreItem xmlns:ds="http://schemas.openxmlformats.org/officeDocument/2006/customXml" ds:itemID="{1DDEC88E-AE67-444D-B521-28D746B33145}"/>
</file>

<file path=customXml/itemProps3.xml><?xml version="1.0" encoding="utf-8"?>
<ds:datastoreItem xmlns:ds="http://schemas.openxmlformats.org/officeDocument/2006/customXml" ds:itemID="{31193E49-4608-46D2-B0B7-1763F9DB36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2025-07-16T00:45:42Z</cp:lastPrinted>
  <dcterms:created xsi:type="dcterms:W3CDTF">2019-11-27T23:28:06Z</dcterms:created>
  <dcterms:modified xsi:type="dcterms:W3CDTF">2025-07-22T00:00:47Z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