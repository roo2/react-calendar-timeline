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FDA9B74-BA20-476E-8436-EFA24FAE69E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<sst xmlns="http://schemas.openxmlformats.org/spreadsheetml/2006/main" count="305" uniqueCount="201">
  <si>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</si>
  <si>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</si>
  <si>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</si>
  <si>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</si>
  <si>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</si>
  <si>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</si>
  <si>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</si>
  <si>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</si>
  <si>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</si>
  <si>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</si>
  <si>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</si>
  <si>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</si>
  <si>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</si>
  <si>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</si>
  <si>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</si>
  <si>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</si>
  <si>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</si>
  <si>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</si>
  <si>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</si>
  <si>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</si>
  <si>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</si>
  <si>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</si>
  <si>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</si>
  <si>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</si>
  <si>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</si>
  <si>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</si>
  <si>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</si>
  <si>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</si>
  <si>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</si>
  <si>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</si>
  <si>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</si>
  <si>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</si>
  <si>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</si>
  <si>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</si>
  <si>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</si>
  <si>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</si>
  <si>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</si>
  <si>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</si>
  <si>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</si>
  <si>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</si>
  <si>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</si>
  <si>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</si>
  <si>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</si>
  <si>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</si>
  <si>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</si>
  <si>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</si>
  <si>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</si>
  <si>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</si>
  <si>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</si>
  <si>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</si>
  <si>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</si>
  <si>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</si>
  <si>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</si>
  <si>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</si>
  <si>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</si>
  <si>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</si>
  <si>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</si>
  <si>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</si>
  <si>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</si>
  <si>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</si>
  <si>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</si>
  <si>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</si>
  <si>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</si>
  <si>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</si>
  <si>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</si>
  <si>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</si>
  <si>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</si>
  <si>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</si>
  <si>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</si>
  <si>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</si>
  <si>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</si>
  <si>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</si>
  <si>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</si>
  <si>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</si>
  <si>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</si>
  <si>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</si>
  <si>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</si>
  <si>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</si>
  <si>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</si>
  <si>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</si>
  <si>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</si>
  <si>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</si>
  <si>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</si>
  <si>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</si>
  <si>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</si>
  <si>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</si>
  <si>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</si>
  <si>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</si>
  <si>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</si>
  <si>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</si>
  <si>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</si>
  <si>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</si>
  <si>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</si>
  <si>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</si>
  <si>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</si>
  <si>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</si>
  <si>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</si>
  <si>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</si>
  <si>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</si>
  <si>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</si>
  <si>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</si>
  <si>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</si>
  <si>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</si>
  <si>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</si>
  <si>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</si>
  <si>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</si>
  <si>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</si>
  <si>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</si>
  <si>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</si>
  <si>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</si>
  <si>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</si>
  <si>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</si>
  <si>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</si>
  <si>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</si>
  <si>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</si>
  <si>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</si>
  <si>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</si>
  <si>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</si>
  <si>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</si>
  <si>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</si>
  <si>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</si>
  <si>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</si>
  <si>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</si>
  <si>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</si>
  <si>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</si>
  <si>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</si>
  <si>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</si>
  <si>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</si>
  <si>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</si>
  <si>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</si>
  <si>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</si>
  <si>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</si>
  <si>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</si>
  <si>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</si>
  <si>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</si>
  <si>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</si>
  <si>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</si>
  <si>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</si>
  <si>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</si>
  <si>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</si>
  <si>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</si>
  <si>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</si>
  <si>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</si>
  <si>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</si>
  <si>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</si>
  <si>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</si>
  <si>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</si>
  <si>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</si>
  <si>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</si>
  <si>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</si>
  <si>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</si>
  <si>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</si>
  <si>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</si>
  <si>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</si>
  <si>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</si>
  <si>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</si>
  <si>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</si>
  <si>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</si>
  <si>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</si>
  <si>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</si>
  <si>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</si>
  <si>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</si>
  <si>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</si>
  <si>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</si>
  <si>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</si>
  <si>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</si>
  <si>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</si>
  <si>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</si>
  <si>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</si>
  <si>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</si>
  <si>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</si>
  <si>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</si>
  <si>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</si>
  <si>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</si>
  <si>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</si>
  <si>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</si>
  <si>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</si>
  <si>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</si>
  <si>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</si>
  <si>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</si>
  <si>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</si>
  <si>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</si>
  <si>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</si>
  <si>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</si>
  <si>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</si>
  <si>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</si>
  <si>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</si>
  <si>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</si>
  <si>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</si>
  <si>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</si>
  <si>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</si>
  <si>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</si>
  <si>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</si>
  <si>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</si>
  <si>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90um</t>
  </si>
  <si>
    <t xml:space="preserve"> +5mm/- 0mm</t>
  </si>
  <si>
    <t>METRO SOUTH</t>
  </si>
  <si>
    <t>LIMAX / ORION 1</t>
  </si>
  <si>
    <t>24/24</t>
  </si>
  <si>
    <t>17/175</t>
  </si>
  <si>
    <t>13/175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</si>
</sst>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PB310500100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45775</v>
      </c>
      <c r="K1" s="84"/>
      <c r="L1" s="85"/>
      <c r="M1" s="29"/>
      <c r="N1" s="11" t="s">
        <v>56</v>
      </c>
      <c r="O1" s="111" t="str">
        <f>B1</f>
        <v>PB310500100</v>
      </c>
      <c r="P1" s="111"/>
      <c r="Q1" s="112"/>
      <c r="R1" s="11" t="s">
        <v>57</v>
      </c>
      <c r="S1" s="111" t="str">
        <f>F1</f>
        <v>METRO SOUTH</v>
      </c>
      <c r="T1" s="111"/>
      <c r="U1" s="112"/>
      <c r="V1" s="11" t="s">
        <v>181</v>
      </c>
      <c r="W1" s="84">
        <f ca="1">J1</f>
        <v>45775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949901</v>
      </c>
      <c r="G2" s="87"/>
      <c r="H2" s="88"/>
      <c r="I2" s="11" t="s">
        <v>59</v>
      </c>
      <c r="J2" s="86">
        <v>45796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949901</v>
      </c>
      <c r="T2" s="111"/>
      <c r="U2" s="112"/>
      <c r="V2" s="11" t="s">
        <v>59</v>
      </c>
      <c r="W2" s="122">
        <f>J2</f>
        <v>45796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30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15000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310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310</v>
      </c>
      <c r="S9" s="18" t="s">
        <v>78</v>
      </c>
      <c r="T9" s="30">
        <v>500</v>
      </c>
      <c r="U9" s="18" t="s">
        <v>78</v>
      </c>
      <c r="V9" s="30">
        <v>100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18</v>
      </c>
      <c r="C10" s="88"/>
      <c r="D10" s="47" t="s">
        <v>134</v>
      </c>
      <c r="E10" s="101">
        <f>IF(ISNUMBER(SEARCH("sheet",O8,1)),((R9*T9*H8/540000)*U7/2000*1.3),((R9*T9*H8/540000)*U7/1000*1.08))</f>
        <v>465</v>
      </c>
      <c r="F10" s="102"/>
      <c r="G10" s="11" t="s">
        <v>53</v>
      </c>
      <c r="H10" s="105">
        <f>IF(ISNUMBER(SEARCH("sheet",O8,1)),(U7*T9/2000*1.08),(U7*T9/1000*1.08))</f>
        <v>8100.0000000000009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25.833333333333332</v>
      </c>
      <c r="F11" s="104"/>
      <c r="G11" s="11" t="s">
        <v>15</v>
      </c>
      <c r="H11" s="103">
        <f>H10/B10</f>
        <v>450.00000000000006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23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197</v>
      </c>
      <c r="P25" s="34"/>
      <c r="Q25" s="10" t="s">
        <v>198</v>
      </c>
      <c r="R25" s="10"/>
      <c r="S25" s="10"/>
      <c r="T25" s="10"/>
      <c r="U25" s="10"/>
      <c r="V25" s="10"/>
      <c r="W25" s="10" t="s">
        <v>199</v>
      </c>
      <c r="X25" s="10" t="s">
        <v>200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45805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45796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82A7572-6CCA-4C64-8DC0-11EBEB392671}"/>
</file>

<file path=customXml/itemProps2.xml><?xml version="1.0" encoding="utf-8"?>
<ds:datastoreItem xmlns:ds="http://schemas.openxmlformats.org/officeDocument/2006/customXml" ds:itemID="{C98352E0-CCE5-4812-9AE8-3C29C1B9702C}"/>
</file>

<file path=customXml/itemProps3.xml><?xml version="1.0" encoding="utf-8"?>
<ds:datastoreItem xmlns:ds="http://schemas.openxmlformats.org/officeDocument/2006/customXml" ds:itemID="{D8E2B79D-AB39-4029-B7D7-62CD0D410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2025-04-28T01:45:22Z</cp:lastPrinted>
  <dcterms:created xsi:type="dcterms:W3CDTF">2019-11-27T23:28:06Z</dcterms:created>
  <dcterms:modified xsi:type="dcterms:W3CDTF">2025-04-28T01:45:31Z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