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93B3B499-ED61-42C1-9652-7CC34A165F8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<sst xmlns="http://schemas.openxmlformats.org/spreadsheetml/2006/main" count="301" uniqueCount="199">
  <si>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</si>
  <si>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</si>
  <si>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</si>
  <si>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</si>
  <si>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</si>
  <si>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</si>
  <si>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</si>
  <si>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</si>
  <si>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</si>
  <si>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</si>
  <si>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</si>
  <si>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</si>
  <si>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</si>
  <si>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</si>
  <si>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</si>
  <si>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</si>
  <si>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</si>
  <si>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</si>
  <si>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</si>
  <si>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</si>
  <si>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</si>
  <si>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</si>
  <si>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</si>
  <si>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</si>
  <si>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</si>
  <si>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</si>
  <si>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</si>
  <si>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</si>
  <si>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</si>
  <si>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</si>
  <si>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</si>
  <si>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</si>
  <si>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</si>
  <si>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</si>
  <si>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</si>
  <si>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</si>
  <si>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</si>
  <si>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</si>
  <si>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</si>
  <si>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</si>
  <si>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</si>
  <si>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</si>
  <si>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</si>
  <si>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</si>
  <si>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</si>
  <si>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</si>
  <si>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</si>
  <si>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</si>
  <si>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</si>
  <si>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</si>
  <si>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</si>
  <si>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</si>
  <si>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</si>
  <si>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</si>
  <si>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</si>
  <si>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</si>
  <si>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</si>
  <si>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</si>
  <si>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</si>
  <si>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</si>
  <si>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</si>
  <si>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</si>
  <si>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</si>
  <si>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</si>
  <si>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</si>
  <si>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</si>
  <si>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</si>
  <si>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</si>
  <si>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</si>
  <si>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</si>
  <si>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</si>
  <si>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</si>
  <si>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</si>
  <si>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</si>
  <si>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</si>
  <si>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</si>
  <si>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</si>
  <si>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</si>
  <si>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</si>
  <si>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</si>
  <si>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</si>
  <si>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</si>
  <si>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</si>
  <si>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</si>
  <si>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</si>
  <si>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</si>
  <si>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</si>
  <si>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</si>
  <si>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</si>
  <si>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</si>
  <si>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</si>
  <si>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</si>
  <si>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</si>
  <si>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</si>
  <si>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</si>
  <si>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</si>
  <si>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</si>
  <si>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</si>
  <si>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</si>
  <si>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</si>
  <si>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</si>
  <si>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</si>
  <si>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</si>
  <si>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</si>
  <si>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</si>
  <si>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</si>
  <si>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</si>
  <si>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</si>
  <si>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</si>
  <si>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</si>
  <si>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</si>
  <si>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</si>
  <si>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</si>
  <si>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</si>
  <si>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</si>
  <si>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</si>
  <si>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</si>
  <si>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</si>
  <si>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</si>
  <si>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</si>
  <si>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</si>
  <si>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</si>
  <si>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</si>
  <si>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</si>
  <si>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</si>
  <si>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</si>
  <si>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</si>
  <si>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</si>
  <si>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</si>
  <si>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</si>
  <si>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</si>
  <si>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</si>
  <si>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</si>
  <si>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</si>
  <si>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</si>
  <si>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</si>
  <si>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</si>
  <si>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</si>
  <si>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</si>
  <si>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</si>
  <si>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</si>
  <si>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</si>
  <si>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</si>
  <si>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</si>
  <si>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</si>
  <si>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</si>
  <si>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</si>
  <si>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</si>
  <si>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</si>
  <si>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</si>
  <si>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</si>
  <si>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</si>
  <si>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</si>
  <si>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</si>
  <si>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</si>
  <si>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</si>
  <si>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</si>
  <si>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</si>
  <si>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</si>
  <si>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</si>
  <si>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</si>
  <si>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</si>
  <si>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</si>
  <si>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</si>
  <si>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</si>
  <si>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</si>
  <si>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</si>
  <si>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</si>
  <si>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</si>
  <si>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</si>
  <si>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</si>
  <si>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</si>
  <si>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</si>
  <si>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</si>
  <si>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</si>
  <si>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</si>
  <si>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</si>
  <si>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</si>
  <si>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</si>
  <si>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</si>
  <si>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</si>
  <si>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</si>
  <si>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</si>
  <si>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</si>
  <si>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</si>
  <si>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</si>
  <si>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</si>
  <si>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</si>
  <si>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</si>
  <si>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</si>
  <si>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</si>
  <si>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</si>
  <si>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</si>
  <si>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</si>
  <si>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RUN AT 95um</t>
  </si>
  <si>
    <r>
      <t xml:space="preserve">PERF INLINE - </t>
    </r>
    <r>
      <rPr>
        <b/>
        <sz val="18"/>
        <color rgb="FFFF0000"/>
        <rFont val="Calibri"/>
        <family val="2"/>
        <scheme val="minor"/>
      </rPr>
      <t>MUST HAVE WATER TIGHT SEALS</t>
    </r>
  </si>
  <si>
    <t>ANTIBLOCK</t>
  </si>
  <si>
    <t>KAWANA PRIVATE</t>
  </si>
  <si>
    <t>(500+500)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</si>
</sst>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PBR1000G1200300</v>
      </c>
      <c r="C1" s="113"/>
      <c r="D1" s="114"/>
      <c r="E1" s="16" t="s">
        <v>56</v>
      </c>
      <c r="F1" s="94" t="s">
        <v>197</v>
      </c>
      <c r="G1" s="94"/>
      <c r="H1" s="95"/>
      <c r="I1" s="16" t="s">
        <v>179</v>
      </c>
      <c r="J1" s="134">
        <f ca="1">TODAY()</f>
        <v>45461</v>
      </c>
      <c r="K1" s="134"/>
      <c r="L1" s="135"/>
      <c r="M1" s="30"/>
      <c r="N1" s="16" t="s">
        <v>55</v>
      </c>
      <c r="O1" s="113" t="str">
        <f>B1</f>
        <v>PBR1000G1200300</v>
      </c>
      <c r="P1" s="113"/>
      <c r="Q1" s="114"/>
      <c r="R1" s="16" t="s">
        <v>56</v>
      </c>
      <c r="S1" s="113" t="str">
        <f>F1</f>
        <v>KAWANA PRIVATE</v>
      </c>
      <c r="T1" s="113"/>
      <c r="U1" s="114"/>
      <c r="V1" s="16" t="s">
        <v>179</v>
      </c>
      <c r="W1" s="134">
        <f ca="1">J1</f>
        <v>45461</v>
      </c>
      <c r="X1" s="134"/>
      <c r="Y1" s="135"/>
    </row>
    <row r="2" spans="1:25" ht="20.149999999999999" customHeight="1" x14ac:dyDescent="0.8">
      <c r="A2" s="16" t="s">
        <v>98</v>
      </c>
      <c r="B2" s="113" t="str">
        <f>IF(U10="","",U10)</f>
        <v/>
      </c>
      <c r="C2" s="113"/>
      <c r="D2" s="114"/>
      <c r="E2" s="16" t="s">
        <v>57</v>
      </c>
      <c r="F2" s="94">
        <v>948056</v>
      </c>
      <c r="G2" s="94"/>
      <c r="H2" s="95"/>
      <c r="I2" s="16" t="s">
        <v>58</v>
      </c>
      <c r="J2" s="93">
        <v>45482</v>
      </c>
      <c r="K2" s="94"/>
      <c r="L2" s="95"/>
      <c r="M2" s="30"/>
      <c r="N2" s="16" t="s">
        <v>98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948056</v>
      </c>
      <c r="T2" s="113"/>
      <c r="U2" s="114"/>
      <c r="V2" s="16" t="s">
        <v>58</v>
      </c>
      <c r="W2" s="136">
        <f>J2</f>
        <v>45482</v>
      </c>
      <c r="X2" s="113"/>
      <c r="Y2" s="114"/>
    </row>
    <row r="3" spans="1:25" ht="20.149999999999999" customHeight="1" x14ac:dyDescent="0.7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PERF INLINE - MUST HAVE WATER TIGHT SEALS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161</v>
      </c>
      <c r="C7" s="123"/>
      <c r="D7" s="123"/>
      <c r="E7" s="123"/>
      <c r="F7" s="123"/>
      <c r="G7" s="123"/>
      <c r="H7" s="123"/>
      <c r="I7" s="124"/>
      <c r="J7" s="79" t="s">
        <v>177</v>
      </c>
      <c r="K7" s="79"/>
      <c r="L7" s="77"/>
      <c r="M7" s="30"/>
      <c r="N7" s="16" t="str">
        <f>IF(ISNUMBER(SEARCH("roll",O8,1)),"No. Rolls","No. Cartons")</f>
        <v>No. Rolls</v>
      </c>
      <c r="O7" s="94">
        <v>30</v>
      </c>
      <c r="P7" s="95"/>
      <c r="Q7" s="16" t="str">
        <f>IF(ISNUMBER(SEARCH("roll",O8,1)),"Per Roll","Per Carton")</f>
        <v>Per Roll</v>
      </c>
      <c r="R7" s="94">
        <v>200</v>
      </c>
      <c r="S7" s="95"/>
      <c r="T7" s="16" t="str">
        <f>IF(ISNUMBER(SEARCH("bag",O8,1)),"Total Bags","Total Sheets")</f>
        <v>Total Bags</v>
      </c>
      <c r="U7" s="113">
        <f>R7*O7</f>
        <v>6000</v>
      </c>
      <c r="V7" s="114"/>
      <c r="W7" s="16" t="s">
        <v>100</v>
      </c>
      <c r="X7" s="94" t="s">
        <v>30</v>
      </c>
      <c r="Y7" s="95"/>
    </row>
    <row r="8" spans="1:25" ht="20.149999999999999" customHeight="1" x14ac:dyDescent="0.8">
      <c r="A8" s="17" t="s">
        <v>15</v>
      </c>
      <c r="B8" s="103">
        <f>R9</f>
        <v>1000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(500+500)</v>
      </c>
      <c r="F8" s="106"/>
      <c r="G8" s="17" t="s">
        <v>51</v>
      </c>
      <c r="H8" s="103">
        <f>(IF(V9&lt;30,"30",V9))</f>
        <v>30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163</v>
      </c>
      <c r="P8" s="105"/>
      <c r="Q8" s="18" t="s">
        <v>188</v>
      </c>
      <c r="R8" s="19" t="s">
        <v>15</v>
      </c>
      <c r="S8" s="19"/>
      <c r="T8" s="19" t="s">
        <v>77</v>
      </c>
      <c r="U8" s="19"/>
      <c r="V8" s="19" t="s">
        <v>78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49999999999999" customHeight="1" x14ac:dyDescent="0.9">
      <c r="A9" s="21" t="s">
        <v>47</v>
      </c>
      <c r="B9" s="111" t="s">
        <v>193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194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1000</v>
      </c>
      <c r="S9" s="23" t="s">
        <v>76</v>
      </c>
      <c r="T9" s="31">
        <v>1200</v>
      </c>
      <c r="U9" s="23" t="s">
        <v>76</v>
      </c>
      <c r="V9" s="31">
        <v>30</v>
      </c>
      <c r="W9" s="22"/>
      <c r="X9" s="100" t="s">
        <v>198</v>
      </c>
      <c r="Y9" s="101"/>
    </row>
    <row r="10" spans="1:25" ht="20.149999999999999" customHeight="1" x14ac:dyDescent="0.8">
      <c r="A10" s="16" t="s">
        <v>50</v>
      </c>
      <c r="B10" s="94">
        <v>30</v>
      </c>
      <c r="C10" s="95"/>
      <c r="D10" s="49" t="s">
        <v>132</v>
      </c>
      <c r="E10" s="115">
        <f>IF(ISNUMBER(SEARCH("sheet",O8,1)),((R9*T9*H8/540000)*U7/2000*1.3),((R9*T9*H8/540000)*U7/1000*1.08))</f>
        <v>432</v>
      </c>
      <c r="F10" s="116"/>
      <c r="G10" s="16" t="s">
        <v>52</v>
      </c>
      <c r="H10" s="119">
        <f>IF(ISNUMBER(SEARCH("sheet",O8,1)),(U7*T9/2000*1.08),(U7*T9/1000*1.08))</f>
        <v>7776.0000000000009</v>
      </c>
      <c r="I10" s="120"/>
      <c r="J10" s="16" t="s">
        <v>40</v>
      </c>
      <c r="K10" s="94" t="s">
        <v>43</v>
      </c>
      <c r="L10" s="95"/>
      <c r="M10" s="30"/>
      <c r="N10" s="18" t="s">
        <v>139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98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133</v>
      </c>
      <c r="E11" s="117">
        <f>E10/B10</f>
        <v>14.4</v>
      </c>
      <c r="F11" s="118"/>
      <c r="G11" s="16" t="s">
        <v>14</v>
      </c>
      <c r="H11" s="117">
        <f>H10/B10</f>
        <v>259.20000000000005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>
        <v>10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70</v>
      </c>
      <c r="O13" s="32" t="s">
        <v>75</v>
      </c>
      <c r="P13" s="16" t="s">
        <v>71</v>
      </c>
      <c r="Q13" s="25">
        <f>O7</f>
        <v>30</v>
      </c>
      <c r="R13" s="16" t="s">
        <v>72</v>
      </c>
      <c r="S13" s="32" t="s">
        <v>22</v>
      </c>
      <c r="T13" s="16" t="s">
        <v>176</v>
      </c>
      <c r="U13" s="25" t="str">
        <f>IF(S13="No","",(ROUNDUP(U7/W13/24,0)))</f>
        <v/>
      </c>
      <c r="V13" s="16" t="s">
        <v>73</v>
      </c>
      <c r="W13" s="32"/>
      <c r="X13" s="16" t="s">
        <v>74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108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180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106</v>
      </c>
      <c r="O15" s="79"/>
      <c r="P15" s="77"/>
      <c r="Q15" s="76" t="s">
        <v>105</v>
      </c>
      <c r="R15" s="79"/>
      <c r="S15" s="77"/>
      <c r="T15" s="76" t="s">
        <v>116</v>
      </c>
      <c r="U15" s="79"/>
      <c r="V15" s="77"/>
      <c r="W15" s="76" t="s">
        <v>115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140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103</v>
      </c>
      <c r="R16" s="94" t="s">
        <v>30</v>
      </c>
      <c r="S16" s="95"/>
      <c r="T16" s="16" t="s">
        <v>101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145</v>
      </c>
      <c r="D17" s="81"/>
      <c r="E17" s="85"/>
      <c r="F17" s="86"/>
      <c r="G17" s="34" t="s">
        <v>79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102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144</v>
      </c>
      <c r="D18" s="81"/>
      <c r="E18" s="85"/>
      <c r="F18" s="86"/>
      <c r="G18" s="34" t="s">
        <v>80</v>
      </c>
      <c r="H18" s="35"/>
      <c r="I18" s="62"/>
      <c r="J18" s="63"/>
      <c r="K18" s="62"/>
      <c r="L18" s="63"/>
      <c r="M18" s="30"/>
      <c r="N18" s="16" t="s">
        <v>99</v>
      </c>
      <c r="O18" s="94"/>
      <c r="P18" s="95"/>
      <c r="Q18" s="16" t="s">
        <v>104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107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143</v>
      </c>
      <c r="D19" s="81"/>
      <c r="E19" s="85"/>
      <c r="F19" s="86"/>
      <c r="G19" s="34" t="s">
        <v>81</v>
      </c>
      <c r="H19" s="35"/>
      <c r="I19" s="62"/>
      <c r="J19" s="63"/>
      <c r="K19" s="62"/>
      <c r="L19" s="63"/>
      <c r="M19" s="30"/>
      <c r="N19" s="64" t="s">
        <v>114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142</v>
      </c>
      <c r="D20" s="81"/>
      <c r="E20" s="85"/>
      <c r="F20" s="86"/>
      <c r="G20" s="34" t="s">
        <v>82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141</v>
      </c>
      <c r="D21" s="81"/>
      <c r="E21" s="85"/>
      <c r="F21" s="86"/>
      <c r="G21" s="34" t="s">
        <v>83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84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196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>
        <v>0.01</v>
      </c>
      <c r="F23" s="86"/>
      <c r="G23" s="34" t="s">
        <v>85</v>
      </c>
      <c r="H23" s="35"/>
      <c r="I23" s="62"/>
      <c r="J23" s="63"/>
      <c r="K23" s="62"/>
      <c r="L23" s="63"/>
      <c r="M23" s="30"/>
      <c r="N23" s="144" t="s">
        <v>131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86</v>
      </c>
      <c r="H24" s="35"/>
      <c r="I24" s="62"/>
      <c r="J24" s="63"/>
      <c r="K24" s="62"/>
      <c r="L24" s="63"/>
      <c r="M24" s="30"/>
      <c r="N24" s="15"/>
      <c r="O24" s="14" t="s">
        <v>117</v>
      </c>
      <c r="P24" s="14" t="s">
        <v>127</v>
      </c>
      <c r="Q24" s="14" t="s">
        <v>118</v>
      </c>
      <c r="R24" s="14" t="s">
        <v>119</v>
      </c>
      <c r="S24" s="14" t="s">
        <v>120</v>
      </c>
      <c r="T24" s="14" t="s">
        <v>121</v>
      </c>
      <c r="U24" s="14" t="s">
        <v>122</v>
      </c>
      <c r="V24" s="14" t="s">
        <v>123</v>
      </c>
      <c r="W24" s="14" t="s">
        <v>124</v>
      </c>
      <c r="X24" s="14" t="s">
        <v>125</v>
      </c>
      <c r="Y24" s="14" t="s">
        <v>174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94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178</v>
      </c>
      <c r="C26" s="14" t="s">
        <v>90</v>
      </c>
      <c r="D26" s="11" t="s">
        <v>88</v>
      </c>
      <c r="E26" s="11" t="s">
        <v>89</v>
      </c>
      <c r="F26" s="11" t="s">
        <v>91</v>
      </c>
      <c r="G26" s="145" t="s">
        <v>130</v>
      </c>
      <c r="H26" s="145"/>
      <c r="I26" s="145" t="s">
        <v>129</v>
      </c>
      <c r="J26" s="145"/>
      <c r="K26" s="11" t="s">
        <v>92</v>
      </c>
      <c r="L26" s="11" t="s">
        <v>93</v>
      </c>
      <c r="M26" s="30"/>
      <c r="N26" s="90" t="s">
        <v>135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94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181</v>
      </c>
      <c r="O27" s="11" t="s">
        <v>20</v>
      </c>
      <c r="P27" s="11" t="s">
        <v>16</v>
      </c>
      <c r="Q27" s="11" t="s">
        <v>13</v>
      </c>
      <c r="R27" s="11" t="s">
        <v>126</v>
      </c>
      <c r="S27" s="11" t="s">
        <v>127</v>
      </c>
      <c r="T27" s="11" t="s">
        <v>110</v>
      </c>
      <c r="U27" s="11" t="s">
        <v>128</v>
      </c>
      <c r="V27" s="11" t="s">
        <v>114</v>
      </c>
      <c r="W27" s="11" t="s">
        <v>189</v>
      </c>
      <c r="X27" s="11" t="s">
        <v>190</v>
      </c>
      <c r="Y27" s="11" t="s">
        <v>21</v>
      </c>
    </row>
    <row r="28" spans="1:25" ht="20.149999999999999" customHeight="1" x14ac:dyDescent="0.75">
      <c r="A28" s="14" t="s">
        <v>95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97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113</v>
      </c>
      <c r="B30" s="37"/>
      <c r="C30" s="33"/>
      <c r="D30" s="26" t="s">
        <v>90</v>
      </c>
      <c r="E30" s="38"/>
      <c r="F30" s="33"/>
      <c r="G30" s="27" t="s">
        <v>96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112</v>
      </c>
      <c r="B31" s="37"/>
      <c r="C31" s="33"/>
      <c r="D31" s="26" t="s">
        <v>110</v>
      </c>
      <c r="E31" s="38"/>
      <c r="F31" s="42"/>
      <c r="G31" s="26" t="s">
        <v>96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111</v>
      </c>
      <c r="B32" s="43"/>
      <c r="C32" s="41"/>
      <c r="D32" s="28" t="s">
        <v>87</v>
      </c>
      <c r="E32" s="39"/>
      <c r="F32" s="41"/>
      <c r="G32" s="28" t="s">
        <v>109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133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133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181</v>
      </c>
      <c r="O44" s="11" t="s">
        <v>20</v>
      </c>
      <c r="P44" s="11" t="s">
        <v>16</v>
      </c>
      <c r="Q44" s="11" t="s">
        <v>13</v>
      </c>
      <c r="R44" s="11" t="s">
        <v>126</v>
      </c>
      <c r="S44" s="11" t="s">
        <v>127</v>
      </c>
      <c r="T44" s="11" t="s">
        <v>110</v>
      </c>
      <c r="U44" s="11" t="s">
        <v>128</v>
      </c>
      <c r="V44" s="11" t="s">
        <v>114</v>
      </c>
      <c r="W44" s="11" t="s">
        <v>189</v>
      </c>
      <c r="X44" s="11" t="s">
        <v>190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45491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45482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161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136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146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137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148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149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150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151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192</v>
      </c>
      <c r="T19" s="1"/>
      <c r="V19" s="1"/>
    </row>
    <row r="20" spans="1:23" x14ac:dyDescent="0.75">
      <c r="A20" s="59" t="s">
        <v>154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164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165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139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182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138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166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167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168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169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99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170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183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184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171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175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153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146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172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152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91D0DA-D049-4A7F-A3E4-9D9FA8F3088B}"/>
</file>

<file path=customXml/itemProps2.xml><?xml version="1.0" encoding="utf-8"?>
<ds:datastoreItem xmlns:ds="http://schemas.openxmlformats.org/officeDocument/2006/customXml" ds:itemID="{31280AC7-8913-4FC5-9621-E6AB0F0CD6AC}"/>
</file>

<file path=customXml/itemProps3.xml><?xml version="1.0" encoding="utf-8"?>
<ds:datastoreItem xmlns:ds="http://schemas.openxmlformats.org/officeDocument/2006/customXml" ds:itemID="{0D87E03C-B8E4-48D1-AC0F-71B461382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2024-06-17T23:30:55Z</cp:lastPrinted>
  <dcterms:created xsi:type="dcterms:W3CDTF">2019-11-27T23:28:06Z</dcterms:created>
  <dcterms:modified xsi:type="dcterms:W3CDTF">2024-07-01T01:35:14Z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