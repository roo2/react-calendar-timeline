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F90FD0D-40C2-4177-A086-41E0A9F978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" i="1" l="1"/>
  <c r="N3" i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A5" i="2" l="1"/>
  <c r="A4" i="2"/>
  <c r="W1" i="1"/>
  <c r="S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<sst xmlns="http://schemas.openxmlformats.org/spreadsheetml/2006/main" count="306" uniqueCount="201">
  <si>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</si>
  <si>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</si>
  <si>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</si>
  <si>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</si>
  <si>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</si>
  <si>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</si>
  <si>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</si>
  <si>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</si>
  <si>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</si>
  <si>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</si>
  <si>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</si>
  <si>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</si>
  <si>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</si>
  <si>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</si>
  <si>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</si>
  <si>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</si>
  <si>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</si>
  <si>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</si>
  <si>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</si>
  <si>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</si>
  <si>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</si>
  <si>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</si>
  <si>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</si>
  <si>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</si>
  <si>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</si>
  <si>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</si>
  <si>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</si>
  <si>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</si>
  <si>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</si>
  <si>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</si>
  <si>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</si>
  <si>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</si>
  <si>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</si>
  <si>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</si>
  <si>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</si>
  <si>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</si>
  <si>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</si>
  <si>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</si>
  <si>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</si>
  <si>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</si>
  <si>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</si>
  <si>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</si>
  <si>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</si>
  <si>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</si>
  <si>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</si>
  <si>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</si>
  <si>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</si>
  <si>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</si>
  <si>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</si>
  <si>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</si>
  <si>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</si>
  <si>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</si>
  <si>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</si>
  <si>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</si>
  <si>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</si>
  <si>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</si>
  <si>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</si>
  <si>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</si>
  <si>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</si>
  <si>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</si>
  <si>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</si>
  <si>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</si>
  <si>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</si>
  <si>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</si>
  <si>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</si>
  <si>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</si>
  <si>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</si>
  <si>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</si>
  <si>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</si>
  <si>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</si>
  <si>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</si>
  <si>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</si>
  <si>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</si>
  <si>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</si>
  <si>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</si>
  <si>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</si>
  <si>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</si>
  <si>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</si>
  <si>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</si>
  <si>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</si>
  <si>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</si>
  <si>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</si>
  <si>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</si>
  <si>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</si>
  <si>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</si>
  <si>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</si>
  <si>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</si>
  <si>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</si>
  <si>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</si>
  <si>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</si>
  <si>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</si>
  <si>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</si>
  <si>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</si>
  <si>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</si>
  <si>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</si>
  <si>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</si>
  <si>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</si>
  <si>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</si>
  <si>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</si>
  <si>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</si>
  <si>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</si>
  <si>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</si>
  <si>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</si>
  <si>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</si>
  <si>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</si>
  <si>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</si>
  <si>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</si>
  <si>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</si>
  <si>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</si>
  <si>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</si>
  <si>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</si>
  <si>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</si>
  <si>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</si>
  <si>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</si>
  <si>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</si>
  <si>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</si>
  <si>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</si>
  <si>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</si>
  <si>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</si>
  <si>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</si>
  <si>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</si>
  <si>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</si>
  <si>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</si>
  <si>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</si>
  <si>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</si>
  <si>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</si>
  <si>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</si>
  <si>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</si>
  <si>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</si>
  <si>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</si>
  <si>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</si>
  <si>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</si>
  <si>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</si>
  <si>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</si>
  <si>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</si>
  <si>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</si>
  <si>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</si>
  <si>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</si>
  <si>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</si>
  <si>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</si>
  <si>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</si>
  <si>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</si>
  <si>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</si>
  <si>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</si>
  <si>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</si>
  <si>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</si>
  <si>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</si>
  <si>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</si>
  <si>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</si>
  <si>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</si>
  <si>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</si>
  <si>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</si>
  <si>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</si>
  <si>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</si>
  <si>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</si>
  <si>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</si>
  <si>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</si>
  <si>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</si>
  <si>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</si>
  <si>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</si>
  <si>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</si>
  <si>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</si>
  <si>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</si>
  <si>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</si>
  <si>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</si>
  <si>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</si>
  <si>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</si>
  <si>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</si>
  <si>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</si>
  <si>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</si>
  <si>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</si>
  <si>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</si>
  <si>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</si>
  <si>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</si>
  <si>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</si>
  <si>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</si>
  <si>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</si>
  <si>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</si>
  <si>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</si>
  <si>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</si>
  <si>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</si>
  <si>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</si>
  <si>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</si>
  <si>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</si>
  <si>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</si>
  <si>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</si>
  <si>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</si>
  <si>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</si>
  <si>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</si>
  <si>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</si>
  <si>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</si>
  <si>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</si>
  <si>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</si>
  <si>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</si>
  <si>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</si>
  <si>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LIMAX</t>
  </si>
  <si>
    <t xml:space="preserve"> +/- 5um</t>
  </si>
  <si>
    <t xml:space="preserve">PAC FOODS </t>
  </si>
  <si>
    <t>PB35050050RT</t>
  </si>
  <si>
    <t>PAC FOODS LABEL ONLY - SEE SHEET FOR CORRECT TINT SHADE - CUSTOMER REQUIRES BY 24.09.2021</t>
  </si>
  <si>
    <t>26.08.2021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</si>
</sst>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5" fillId="8" borderId="6" xfId="0" applyFont="1" applyFill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15" fillId="8" borderId="4" xfId="0" applyFont="1" applyFill="1" applyBorder="1" applyAlignment="1" applyProtection="1">
      <alignment horizontal="center"/>
    </xf>
    <xf numFmtId="0" fontId="15" fillId="8" borderId="5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9" fontId="16" fillId="0" borderId="4" xfId="0" applyNumberFormat="1" applyFont="1" applyBorder="1" applyAlignment="1" applyProtection="1">
      <alignment horizontal="center"/>
      <protection locked="0"/>
    </xf>
    <xf numFmtId="0" fontId="16" fillId="0" borderId="5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CC0000"/>
      <color rgb="FFFF99CC"/>
      <color rgb="FFE8407C"/>
      <color rgb="FFE04882"/>
      <color rgb="FFF14D9F"/>
      <color rgb="FFD7AFFF"/>
      <color rgb="FFFA2A5C"/>
      <color rgb="FFFD9803"/>
      <color rgb="FFFF9F11"/>
      <color rgb="FFEF97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7" t="s">
        <v>198</v>
      </c>
      <c r="C1" s="127"/>
      <c r="D1" s="128"/>
      <c r="E1" s="12" t="s">
        <v>57</v>
      </c>
      <c r="F1" s="138" t="s">
        <v>197</v>
      </c>
      <c r="G1" s="138"/>
      <c r="H1" s="139"/>
      <c r="I1" s="13" t="s">
        <v>181</v>
      </c>
      <c r="J1" s="140" t="s">
        <v>200</v>
      </c>
      <c r="K1" s="140"/>
      <c r="L1" s="141"/>
      <c r="M1" s="34"/>
      <c r="N1" s="12" t="s">
        <v>56</v>
      </c>
      <c r="O1" s="127" t="str">
        <f>B1</f>
        <v>PB35050050RT</v>
      </c>
      <c r="P1" s="127"/>
      <c r="Q1" s="128"/>
      <c r="R1" s="12" t="s">
        <v>57</v>
      </c>
      <c r="S1" s="127" t="str">
        <f>F1</f>
        <v xml:space="preserve">PAC FOODS </v>
      </c>
      <c r="T1" s="127"/>
      <c r="U1" s="128"/>
      <c r="V1" s="12" t="s">
        <v>181</v>
      </c>
      <c r="W1" s="140" t="str">
        <f>J1</f>
        <v>26.08.2021</v>
      </c>
      <c r="X1" s="140"/>
      <c r="Y1" s="141"/>
    </row>
    <row r="2" spans="1:28" ht="20.100000000000001" customHeight="1" x14ac:dyDescent="0.25">
      <c r="A2" s="12" t="s">
        <v>100</v>
      </c>
      <c r="B2" s="127" t="str">
        <f>IF(U10="","",U10)</f>
        <v/>
      </c>
      <c r="C2" s="127"/>
      <c r="D2" s="128"/>
      <c r="E2" s="12" t="s">
        <v>58</v>
      </c>
      <c r="F2" s="73">
        <v>941225</v>
      </c>
      <c r="G2" s="73"/>
      <c r="H2" s="74"/>
      <c r="I2" s="12" t="s">
        <v>59</v>
      </c>
      <c r="J2" s="143" t="s">
        <v>192</v>
      </c>
      <c r="K2" s="73"/>
      <c r="L2" s="74"/>
      <c r="M2" s="34"/>
      <c r="N2" s="12" t="s">
        <v>100</v>
      </c>
      <c r="O2" s="127" t="str">
        <f>IF(B2="","",B2)</f>
        <v/>
      </c>
      <c r="P2" s="127"/>
      <c r="Q2" s="128"/>
      <c r="R2" s="12" t="s">
        <v>58</v>
      </c>
      <c r="S2" s="127">
        <f>IF(F2="","",F2)</f>
        <v>941225</v>
      </c>
      <c r="T2" s="127"/>
      <c r="U2" s="128"/>
      <c r="V2" s="12" t="s">
        <v>59</v>
      </c>
      <c r="W2" s="142" t="str">
        <f>J2</f>
        <v>ASAP</v>
      </c>
      <c r="X2" s="127"/>
      <c r="Y2" s="128"/>
    </row>
    <row r="3" spans="1:28" ht="20.100000000000001" customHeight="1" x14ac:dyDescent="0.25">
      <c r="A3" s="129" t="s">
        <v>199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1"/>
      <c r="M3" s="34"/>
      <c r="N3" s="129" t="str">
        <f>A3</f>
        <v>PAC FOODS LABEL ONLY - SEE SHEET FOR CORRECT TINT SHADE - CUSTOMER REQUIRES BY 24.09.2021</v>
      </c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1"/>
    </row>
    <row r="4" spans="1:28" ht="20.100000000000001" customHeight="1" x14ac:dyDescent="0.25">
      <c r="A4" s="132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4"/>
      <c r="M4" s="34"/>
      <c r="N4" s="132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4"/>
    </row>
    <row r="5" spans="1:28" ht="20.100000000000001" customHeight="1" x14ac:dyDescent="0.25">
      <c r="A5" s="135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7"/>
      <c r="M5" s="34"/>
      <c r="N5" s="135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7"/>
    </row>
    <row r="6" spans="1:28" ht="20.100000000000001" customHeight="1" x14ac:dyDescent="0.25">
      <c r="A6" s="145" t="s">
        <v>2</v>
      </c>
      <c r="B6" s="146"/>
      <c r="C6" s="146"/>
      <c r="D6" s="146"/>
      <c r="E6" s="146"/>
      <c r="F6" s="146"/>
      <c r="G6" s="146"/>
      <c r="H6" s="146"/>
      <c r="I6" s="146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9" t="s">
        <v>160</v>
      </c>
      <c r="C7" s="119"/>
      <c r="D7" s="119"/>
      <c r="E7" s="119"/>
      <c r="F7" s="119"/>
      <c r="G7" s="119"/>
      <c r="H7" s="119"/>
      <c r="I7" s="120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17</v>
      </c>
      <c r="P7" s="74"/>
      <c r="Q7" s="12" t="str">
        <f>IF(ISNUMBER(SEARCH("roll",O8,1)),"Per Roll","Per Carton")</f>
        <v>Per Carton</v>
      </c>
      <c r="R7" s="73">
        <v>1000</v>
      </c>
      <c r="S7" s="74"/>
      <c r="T7" s="12" t="str">
        <f>IF(ISNUMBER(SEARCH("bag",O8,1)),"Total Bags","Total Sheets")</f>
        <v>Total Bags</v>
      </c>
      <c r="U7" s="127">
        <f>R7*O7</f>
        <v>17000</v>
      </c>
      <c r="V7" s="128"/>
      <c r="W7" s="12" t="s">
        <v>102</v>
      </c>
      <c r="X7" s="73" t="s">
        <v>31</v>
      </c>
      <c r="Y7" s="74"/>
      <c r="AB7" s="14"/>
    </row>
    <row r="8" spans="1:28" ht="20.100000000000001" customHeight="1" x14ac:dyDescent="0.25">
      <c r="A8" s="15" t="s">
        <v>16</v>
      </c>
      <c r="B8" s="115">
        <f>R9</f>
        <v>350</v>
      </c>
      <c r="C8" s="116"/>
      <c r="D8" s="32" t="str">
        <f>IF(ISNUMBER(SEARCH("bag",O8,1)),"Gusset","Centrefold")</f>
        <v>Gusset</v>
      </c>
      <c r="E8" s="115" t="str">
        <f>IF(O8="Centrefold Roll",B8*2,IF(X9="","None",X9))</f>
        <v>None</v>
      </c>
      <c r="F8" s="116"/>
      <c r="G8" s="15" t="s">
        <v>52</v>
      </c>
      <c r="H8" s="115">
        <f>(IF(V9&lt;30,"30",V9))</f>
        <v>50</v>
      </c>
      <c r="I8" s="116"/>
      <c r="J8" s="12" t="s">
        <v>54</v>
      </c>
      <c r="K8" s="127" t="str">
        <f>IF(X8="None","Layflat Tube",IF(X8="","Layflat Tube",IF(X8="CF","Layflat Tube",IF(X8="G","Gusset Tube",IF(X9="","Layflat Tube",)))))</f>
        <v>Layflat Tube</v>
      </c>
      <c r="L8" s="128"/>
      <c r="M8" s="34"/>
      <c r="N8" s="16" t="s">
        <v>54</v>
      </c>
      <c r="O8" s="117" t="s">
        <v>164</v>
      </c>
      <c r="P8" s="118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13" t="str">
        <f>IF(AND(W8="Gusset",X9=""), "None",IF(AND(W8="Centrefold",X9=""),"None",IF(W8="Gusset","G",IF(W8="Centrefold","CF"))))</f>
        <v>None</v>
      </c>
      <c r="Y8" s="114"/>
    </row>
    <row r="9" spans="1:28" ht="20.100000000000001" customHeight="1" x14ac:dyDescent="0.3">
      <c r="A9" s="18" t="s">
        <v>48</v>
      </c>
      <c r="B9" s="147" t="s">
        <v>194</v>
      </c>
      <c r="C9" s="148"/>
      <c r="D9" s="155" t="str">
        <f>IF(K10="Middle","RUN 2 UP",IF(AND(O8="Centrefold Roll",B8=380),"RUN 2 UP",""))</f>
        <v/>
      </c>
      <c r="E9" s="119"/>
      <c r="F9" s="120"/>
      <c r="G9" s="18" t="s">
        <v>48</v>
      </c>
      <c r="H9" s="147" t="s">
        <v>196</v>
      </c>
      <c r="I9" s="148"/>
      <c r="J9" s="12" t="s">
        <v>55</v>
      </c>
      <c r="K9" s="73" t="s">
        <v>30</v>
      </c>
      <c r="L9" s="74"/>
      <c r="M9" s="34"/>
      <c r="N9" s="19"/>
      <c r="O9" s="121" t="str">
        <f>IF(O8="Poly Bag","PB",IF(O8="Poly Bag Roll","PBR",IF(O8="Centrefold Roll","CFR",IF(O8="Sheet","S",IF(O8="Sheet Roll","SR")))))</f>
        <v>PB</v>
      </c>
      <c r="P9" s="122"/>
      <c r="Q9" s="19"/>
      <c r="R9" s="35">
        <v>350</v>
      </c>
      <c r="S9" s="20" t="s">
        <v>78</v>
      </c>
      <c r="T9" s="35">
        <v>550</v>
      </c>
      <c r="U9" s="20" t="s">
        <v>78</v>
      </c>
      <c r="V9" s="35">
        <v>50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12</v>
      </c>
      <c r="C10" s="74"/>
      <c r="D10" s="54" t="s">
        <v>134</v>
      </c>
      <c r="E10" s="149">
        <f>IF(ISNUMBER(SEARCH("sheet",O8,1)),((R9*T9*H8/540000)*U7/2000*1.3),((R9*T9*H8/540000)*U7/1000*1.08))</f>
        <v>327.25</v>
      </c>
      <c r="F10" s="150"/>
      <c r="G10" s="12" t="s">
        <v>53</v>
      </c>
      <c r="H10" s="153">
        <f>IF(ISNUMBER(SEARCH("sheet",O8,1)),(U7*T9/2000*1.08),(U7*T9/1000*1.08))</f>
        <v>10098</v>
      </c>
      <c r="I10" s="154"/>
      <c r="J10" s="12" t="s">
        <v>41</v>
      </c>
      <c r="K10" s="73" t="s">
        <v>44</v>
      </c>
      <c r="L10" s="74"/>
      <c r="M10" s="34"/>
      <c r="N10" s="21" t="s">
        <v>141</v>
      </c>
      <c r="O10" s="117" t="s">
        <v>44</v>
      </c>
      <c r="P10" s="118"/>
      <c r="Q10" s="16" t="s">
        <v>50</v>
      </c>
      <c r="R10" s="113" t="str">
        <f>IF(K11="NONE","None",IF(K11="INLINE","Yes",IF(K11="OUT OF LINE","Yes")))</f>
        <v>None</v>
      </c>
      <c r="S10" s="113"/>
      <c r="T10" s="16" t="s">
        <v>100</v>
      </c>
      <c r="U10" s="123"/>
      <c r="V10" s="123"/>
      <c r="W10" s="123"/>
      <c r="X10" s="123"/>
      <c r="Y10" s="12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7" t="str">
        <f>IF(AND(O8="Centrefold Roll",D9="RUN 2 UP"),B10*2,IF(ISNUMBER(SEARCH("sheet",O8,1)),B10*2,""))</f>
        <v/>
      </c>
      <c r="C11" s="128"/>
      <c r="D11" s="12" t="s">
        <v>135</v>
      </c>
      <c r="E11" s="151">
        <f>E10/B10</f>
        <v>27.270833333333332</v>
      </c>
      <c r="F11" s="152"/>
      <c r="G11" s="12" t="s">
        <v>15</v>
      </c>
      <c r="H11" s="151">
        <f>H10/B10</f>
        <v>841.5</v>
      </c>
      <c r="I11" s="152"/>
      <c r="J11" s="12" t="s">
        <v>50</v>
      </c>
      <c r="K11" s="73" t="s">
        <v>44</v>
      </c>
      <c r="L11" s="74"/>
      <c r="M11" s="34"/>
      <c r="N11" s="15"/>
      <c r="O11" s="115" t="str">
        <f>IF(O10="NONE","","V")</f>
        <v/>
      </c>
      <c r="P11" s="116"/>
      <c r="Q11" s="15"/>
      <c r="R11" s="115" t="str">
        <f>IF(R10="None","","P")</f>
        <v/>
      </c>
      <c r="S11" s="116"/>
      <c r="T11" s="15"/>
      <c r="U11" s="125"/>
      <c r="V11" s="125"/>
      <c r="W11" s="125"/>
      <c r="X11" s="125"/>
      <c r="Y11" s="126"/>
    </row>
    <row r="12" spans="1:28" ht="20.100000000000001" customHeight="1" x14ac:dyDescent="0.25">
      <c r="A12" s="144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57</v>
      </c>
      <c r="P13" s="12" t="s">
        <v>73</v>
      </c>
      <c r="Q13" s="24">
        <f>O7</f>
        <v>17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60" t="s">
        <v>4</v>
      </c>
      <c r="F16" s="160"/>
      <c r="G16" s="160" t="s">
        <v>5</v>
      </c>
      <c r="H16" s="160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180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159" t="s">
        <v>6</v>
      </c>
      <c r="B17" s="159"/>
      <c r="C17" s="109" t="s">
        <v>147</v>
      </c>
      <c r="D17" s="110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159" t="s">
        <v>7</v>
      </c>
      <c r="B18" s="159"/>
      <c r="C18" s="109" t="s">
        <v>146</v>
      </c>
      <c r="D18" s="110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159" t="s">
        <v>8</v>
      </c>
      <c r="B19" s="159"/>
      <c r="C19" s="109" t="s">
        <v>145</v>
      </c>
      <c r="D19" s="110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159" t="s">
        <v>9</v>
      </c>
      <c r="B20" s="159"/>
      <c r="C20" s="109" t="s">
        <v>144</v>
      </c>
      <c r="D20" s="110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159" t="s">
        <v>10</v>
      </c>
      <c r="B21" s="159"/>
      <c r="C21" s="109" t="s">
        <v>143</v>
      </c>
      <c r="D21" s="110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35">
      <c r="A22" s="72" t="str">
        <f>(IF(B7="NATURAL","",B7))</f>
        <v>RED TINT</v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RT</v>
      </c>
      <c r="D22" s="108"/>
      <c r="E22" s="111">
        <v>0.01</v>
      </c>
      <c r="F22" s="112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61"/>
      <c r="B23" s="161"/>
      <c r="C23" s="10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10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62"/>
      <c r="B24" s="163"/>
      <c r="C24" s="10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10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195</v>
      </c>
      <c r="P25" s="39"/>
      <c r="Q25" s="10">
        <v>26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6" t="s">
        <v>136</v>
      </c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8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dataValidations count="1">
    <dataValidation allowBlank="1" showInputMessage="1" sqref="A3:L5" xr:uid="{0402CEA8-2E15-4616-8A22-0DFD55D03729}"/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 t="e">
        <f>DATE(YEAR(Sheet1!J1),MONTH(Sheet1!J1)+1,DAY(Sheet1!J1))</f>
        <v>#VALUE!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 t="e">
        <f>DATE(YEAR(Sheet1!J1),MONTH(Sheet1!J1),DAY(Sheet1!J1)+21)</f>
        <v>#VALUE!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B543292-1C2B-4434-A266-2A07DC4FA93F}"/>
</file>

<file path=customXml/itemProps2.xml><?xml version="1.0" encoding="utf-8"?>
<ds:datastoreItem xmlns:ds="http://schemas.openxmlformats.org/officeDocument/2006/customXml" ds:itemID="{85959A6E-10F6-45E4-88E9-32526B31861F}"/>
</file>

<file path=customXml/itemProps3.xml><?xml version="1.0" encoding="utf-8"?>
<ds:datastoreItem xmlns:ds="http://schemas.openxmlformats.org/officeDocument/2006/customXml" ds:itemID="{1E3F7411-4360-406E-A2C4-2124424FF2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2021-09-09T04:50:40Z</cp:lastPrinted>
  <dcterms:created xsi:type="dcterms:W3CDTF">2019-11-27T23:28:06Z</dcterms:created>
  <dcterms:modified xsi:type="dcterms:W3CDTF">2021-09-28T22:15:06Z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