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87A35430-E44D-4A99-BFBE-36FC2D64C4ED}" xr6:coauthVersionLast="44" xr6:coauthVersionMax="44" xr10:uidLastSave="{00000000-0000-0000-0000-000000000000}"/>
  <bookViews>
    <workbookView xWindow="-8339" yWindow="589" windowWidth="18031" windowHeight="939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<sst xmlns="http://schemas.openxmlformats.org/spreadsheetml/2006/main" count="226" uniqueCount="168">
  <si>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</si>
  <si>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</si>
  <si>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</si>
  <si>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</si>
  <si>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</si>
  <si>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</si>
  <si>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</si>
  <si>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</si>
  <si>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</si>
  <si>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</si>
  <si>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</si>
  <si>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</si>
  <si>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</si>
  <si>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</si>
  <si>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</si>
  <si>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</si>
  <si>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</si>
  <si>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</si>
  <si>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</si>
  <si>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</si>
  <si>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</si>
  <si>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</si>
  <si>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</si>
  <si>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</si>
  <si>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</si>
  <si>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</si>
  <si>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</si>
  <si>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</si>
  <si>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</si>
  <si>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</si>
  <si>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</si>
  <si>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</si>
  <si>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</si>
  <si>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</si>
  <si>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</si>
  <si>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</si>
  <si>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</si>
  <si>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</si>
  <si>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</si>
  <si>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</si>
  <si>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</si>
  <si>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</si>
  <si>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</si>
  <si>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</si>
  <si>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</si>
  <si>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</si>
  <si>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</si>
  <si>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</si>
  <si>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</si>
  <si>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</si>
  <si>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</si>
  <si>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</si>
  <si>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</si>
  <si>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</si>
  <si>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</si>
  <si>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</si>
  <si>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</si>
  <si>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</si>
  <si>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</si>
  <si>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</si>
  <si>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</si>
  <si>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</si>
  <si>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</si>
  <si>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</si>
  <si>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</si>
  <si>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</si>
  <si>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</si>
  <si>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</si>
  <si>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</si>
  <si>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</si>
  <si>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</si>
  <si>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</si>
  <si>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</si>
  <si>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</si>
  <si>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</si>
  <si>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</si>
  <si>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</si>
  <si>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</si>
  <si>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</si>
  <si>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</si>
  <si>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</si>
  <si>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</si>
  <si>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</si>
  <si>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</si>
  <si>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</si>
  <si>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</si>
  <si>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</si>
  <si>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</si>
  <si>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</si>
  <si>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</si>
  <si>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</si>
  <si>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</si>
  <si>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</si>
  <si>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</si>
  <si>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</si>
  <si>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</si>
  <si>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</si>
  <si>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</si>
  <si>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</si>
  <si>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</si>
  <si>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</si>
  <si>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</si>
  <si>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</si>
  <si>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</si>
  <si>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</si>
  <si>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</si>
  <si>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</si>
  <si>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</si>
  <si>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</si>
  <si>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</si>
  <si>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</si>
  <si>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</si>
  <si>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</si>
  <si>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</si>
  <si>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</si>
  <si>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</si>
  <si>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</si>
  <si>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</si>
  <si>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</si>
  <si>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</si>
  <si>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</si>
  <si>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</si>
  <si>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</si>
  <si>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</si>
  <si>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</si>
  <si>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</si>
  <si>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</si>
  <si>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</si>
  <si>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</si>
  <si>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</si>
  <si>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</si>
  <si>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</si>
  <si>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</si>
  <si>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</si>
  <si>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</si>
  <si>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</si>
  <si>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</si>
  <si>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</si>
  <si>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</si>
  <si>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</si>
  <si>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</si>
  <si>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</si>
  <si>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</si>
  <si>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</si>
  <si>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</si>
  <si>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</si>
  <si>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</si>
  <si>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</si>
  <si>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</si>
  <si>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</si>
  <si>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</si>
  <si>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</si>
  <si>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</si>
  <si>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</si>
  <si>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</si>
  <si>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</si>
  <si>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</si>
  <si>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</si>
  <si>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</si>
  <si>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</si>
  <si>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</si>
  <si>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</si>
  <si>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</si>
  <si>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70UM</t>
  </si>
  <si>
    <t xml:space="preserve"> +/- 10mm</t>
  </si>
  <si>
    <t>SPADE SOLUTIONS</t>
  </si>
  <si>
    <t>"BUNDABERG WALKERS"</t>
  </si>
  <si>
    <t>SHRINK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</si>
</sst>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5.05" x14ac:dyDescent="0.3"/>
  <sheetData>
    <row r="1" spans="1:14" ht="20.05" customHeight="1" x14ac:dyDescent="0.3">
      <c r="A1" s="12" t="s">
        <v>54</v>
      </c>
      <c r="B1" s="70" t="str">
        <f>IF(B7="Tube","T",IF(B7="Cont Sheet Roll","SR",IF(B7="Cont Centrefold","CFR")))&amp;B8&amp;IF(E8="","",E8)&amp;H8&amp;(IF(K11="INLINE","P",IF(K11="OUT OF LINE","P",IF(K11="NONE",""))))&amp;C24&amp;C25</f>
        <v>CFR900(1800)200PBK</v>
      </c>
      <c r="C1" s="70"/>
      <c r="D1" s="71"/>
      <c r="E1" s="12" t="s">
        <v>55</v>
      </c>
      <c r="F1" s="85" t="s">
        <v>165</v>
      </c>
      <c r="G1" s="85"/>
      <c r="H1" s="86"/>
      <c r="I1" s="12" t="s">
        <v>148</v>
      </c>
      <c r="J1" s="87">
        <f ca="1">TODAY()</f>
        <v>43992</v>
      </c>
      <c r="K1" s="87"/>
      <c r="L1" s="88"/>
    </row>
    <row r="2" spans="1:14" ht="20.05" customHeight="1" x14ac:dyDescent="0.3">
      <c r="A2" s="12" t="s">
        <v>94</v>
      </c>
      <c r="B2" s="74" t="str">
        <f>IF(B7="Tube",(ROUNDUP(E11,0)&amp;"KG"),(ROUNDUP(H11,0)&amp;"M"))</f>
        <v>60M</v>
      </c>
      <c r="C2" s="74"/>
      <c r="D2" s="75"/>
      <c r="E2" s="12" t="s">
        <v>56</v>
      </c>
      <c r="F2" s="60">
        <v>937490</v>
      </c>
      <c r="G2" s="60"/>
      <c r="H2" s="61"/>
      <c r="I2" s="12" t="s">
        <v>57</v>
      </c>
      <c r="J2" s="89">
        <v>44022</v>
      </c>
      <c r="K2" s="60"/>
      <c r="L2" s="61"/>
    </row>
    <row r="3" spans="1:14" ht="20.05" customHeight="1" x14ac:dyDescent="0.3">
      <c r="A3" s="76" t="s">
        <v>167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05" customHeight="1" x14ac:dyDescent="0.3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05" customHeight="1" x14ac:dyDescent="0.3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05" customHeight="1" x14ac:dyDescent="0.3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05" customHeight="1" x14ac:dyDescent="0.35">
      <c r="A7" s="12" t="s">
        <v>158</v>
      </c>
      <c r="B7" s="60" t="s">
        <v>161</v>
      </c>
      <c r="C7" s="61"/>
      <c r="D7" s="12" t="s">
        <v>47</v>
      </c>
      <c r="E7" s="122" t="s">
        <v>145</v>
      </c>
      <c r="F7" s="122"/>
      <c r="G7" s="122"/>
      <c r="H7" s="122"/>
      <c r="I7" s="122"/>
      <c r="J7" s="102" t="s">
        <v>146</v>
      </c>
      <c r="K7" s="102"/>
      <c r="L7" s="103"/>
    </row>
    <row r="8" spans="1:14" ht="20.05" customHeight="1" x14ac:dyDescent="0.3">
      <c r="A8" s="13" t="s">
        <v>14</v>
      </c>
      <c r="B8" s="108">
        <v>900</v>
      </c>
      <c r="C8" s="109"/>
      <c r="D8" s="13" t="str">
        <f>IF(B7="Tube","Gusset","Centrefold")</f>
        <v>Centrefold</v>
      </c>
      <c r="E8" s="104" t="str">
        <f>IF(B7="Cont Centrefold","("&amp;B8*2&amp;")","")</f>
        <v>(1800)</v>
      </c>
      <c r="F8" s="105"/>
      <c r="G8" s="13" t="s">
        <v>50</v>
      </c>
      <c r="H8" s="108">
        <v>200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05" customHeight="1" x14ac:dyDescent="0.35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05" customHeight="1" x14ac:dyDescent="0.3">
      <c r="A10" s="12" t="s">
        <v>49</v>
      </c>
      <c r="B10" s="60">
        <v>30</v>
      </c>
      <c r="C10" s="61"/>
      <c r="D10" s="42" t="s">
        <v>104</v>
      </c>
      <c r="E10" s="96">
        <f>E11*B10</f>
        <v>600</v>
      </c>
      <c r="F10" s="97"/>
      <c r="G10" s="12" t="s">
        <v>51</v>
      </c>
      <c r="H10" s="74">
        <f>H11*B10</f>
        <v>1800</v>
      </c>
      <c r="I10" s="75"/>
      <c r="J10" s="12" t="s">
        <v>39</v>
      </c>
      <c r="K10" s="60" t="s">
        <v>40</v>
      </c>
      <c r="L10" s="61"/>
    </row>
    <row r="11" spans="1:14" s="52" customFormat="1" ht="20.05" customHeight="1" x14ac:dyDescent="0.3">
      <c r="A11" s="51" t="str">
        <f>IF(B7="Cont Sheet Roll","Sheet Rolls",IF(B7="Cont Centrefold","CF Rolls",""))</f>
        <v>CF Rolls</v>
      </c>
      <c r="B11" s="94">
        <f>IF(AND(B7="Cont Centrefold",D9="RUN 2 UP"),B10*2,IF(B7="Cont Centrefold",B10,IF(B7="Cont Sheet Roll",B10*2,"")))</f>
        <v>30</v>
      </c>
      <c r="C11" s="95"/>
      <c r="D11" s="51" t="s">
        <v>105</v>
      </c>
      <c r="E11" s="98">
        <f>IF(D9="RUN 2 UP",(B8*H8*H11/540000)*2,(B8*H8*H11/540000))</f>
        <v>20</v>
      </c>
      <c r="F11" s="99"/>
      <c r="G11" s="51" t="s">
        <v>13</v>
      </c>
      <c r="H11" s="100">
        <v>60</v>
      </c>
      <c r="I11" s="101"/>
      <c r="J11" s="51" t="s">
        <v>48</v>
      </c>
      <c r="K11" s="106" t="s">
        <v>64</v>
      </c>
      <c r="L11" s="107"/>
      <c r="N11"/>
    </row>
    <row r="12" spans="1:14" ht="20.05" customHeight="1" x14ac:dyDescent="0.3">
      <c r="A12" s="120" t="s">
        <v>11</v>
      </c>
      <c r="B12" s="121"/>
      <c r="C12" s="121"/>
      <c r="D12" s="121"/>
      <c r="E12" s="116"/>
      <c r="F12" s="116"/>
      <c r="G12" s="116"/>
      <c r="H12" s="116"/>
      <c r="I12" s="116"/>
      <c r="J12" s="116"/>
      <c r="K12" s="116"/>
      <c r="L12" s="117"/>
    </row>
    <row r="13" spans="1:14" ht="20.05" customHeight="1" x14ac:dyDescent="0.3">
      <c r="A13" s="12" t="s">
        <v>59</v>
      </c>
      <c r="B13" s="60" t="s">
        <v>69</v>
      </c>
      <c r="C13" s="60"/>
      <c r="D13" s="61"/>
      <c r="E13" s="16" t="s">
        <v>60</v>
      </c>
      <c r="F13" s="60" t="s">
        <v>65</v>
      </c>
      <c r="G13" s="60"/>
      <c r="H13" s="61"/>
      <c r="I13" s="17" t="s">
        <v>61</v>
      </c>
      <c r="J13" s="60" t="s">
        <v>123</v>
      </c>
      <c r="K13" s="60"/>
      <c r="L13" s="61"/>
    </row>
    <row r="14" spans="1:14" ht="20.05" customHeight="1" x14ac:dyDescent="0.35">
      <c r="A14" s="13" t="s">
        <v>58</v>
      </c>
      <c r="B14" s="122" t="s">
        <v>166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3"/>
    </row>
    <row r="15" spans="1:14" ht="20.05" customHeight="1" x14ac:dyDescent="0.3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05" customHeight="1" x14ac:dyDescent="0.3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30</v>
      </c>
      <c r="G16" s="70"/>
      <c r="H16" s="71"/>
      <c r="I16" s="12" t="s">
        <v>74</v>
      </c>
      <c r="J16" s="60"/>
      <c r="K16" s="60"/>
      <c r="L16" s="61"/>
    </row>
    <row r="17" spans="1:12" ht="20.05" customHeight="1" x14ac:dyDescent="0.3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05" customHeight="1" x14ac:dyDescent="0.3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05" customHeight="1" x14ac:dyDescent="0.3">
      <c r="A19" s="114" t="s">
        <v>5</v>
      </c>
      <c r="B19" s="114"/>
      <c r="C19" s="72" t="s">
        <v>115</v>
      </c>
      <c r="D19" s="73"/>
      <c r="E19" s="118"/>
      <c r="F19" s="119"/>
      <c r="G19" s="11" t="s">
        <v>76</v>
      </c>
      <c r="H19" s="35"/>
      <c r="I19" s="65"/>
      <c r="J19" s="66"/>
      <c r="K19" s="65"/>
      <c r="L19" s="66"/>
    </row>
    <row r="20" spans="1:12" ht="20.05" customHeight="1" x14ac:dyDescent="0.3">
      <c r="A20" s="114" t="s">
        <v>6</v>
      </c>
      <c r="B20" s="114"/>
      <c r="C20" s="72" t="s">
        <v>114</v>
      </c>
      <c r="D20" s="73"/>
      <c r="E20" s="118"/>
      <c r="F20" s="119"/>
      <c r="G20" s="11" t="s">
        <v>77</v>
      </c>
      <c r="H20" s="35"/>
      <c r="I20" s="65"/>
      <c r="J20" s="66"/>
      <c r="K20" s="65"/>
      <c r="L20" s="66"/>
    </row>
    <row r="21" spans="1:12" ht="20.05" customHeight="1" x14ac:dyDescent="0.3">
      <c r="A21" s="114" t="s">
        <v>7</v>
      </c>
      <c r="B21" s="114"/>
      <c r="C21" s="72" t="s">
        <v>113</v>
      </c>
      <c r="D21" s="73"/>
      <c r="E21" s="118"/>
      <c r="F21" s="119"/>
      <c r="G21" s="11" t="s">
        <v>78</v>
      </c>
      <c r="H21" s="35"/>
      <c r="I21" s="65"/>
      <c r="J21" s="66"/>
      <c r="K21" s="65"/>
      <c r="L21" s="66"/>
    </row>
    <row r="22" spans="1:12" ht="20.05" customHeight="1" x14ac:dyDescent="0.3">
      <c r="A22" s="114" t="s">
        <v>8</v>
      </c>
      <c r="B22" s="114"/>
      <c r="C22" s="72" t="s">
        <v>112</v>
      </c>
      <c r="D22" s="73"/>
      <c r="E22" s="118"/>
      <c r="F22" s="119"/>
      <c r="G22" s="11" t="s">
        <v>79</v>
      </c>
      <c r="H22" s="35"/>
      <c r="I22" s="65"/>
      <c r="J22" s="66"/>
      <c r="K22" s="65"/>
      <c r="L22" s="66"/>
    </row>
    <row r="23" spans="1:12" ht="20.05" customHeight="1" x14ac:dyDescent="0.3">
      <c r="A23" s="114" t="s">
        <v>150</v>
      </c>
      <c r="B23" s="114"/>
      <c r="C23" s="72" t="s">
        <v>151</v>
      </c>
      <c r="D23" s="73"/>
      <c r="E23" s="118"/>
      <c r="F23" s="119"/>
      <c r="G23" s="11" t="s">
        <v>80</v>
      </c>
      <c r="H23" s="35"/>
      <c r="I23" s="65"/>
      <c r="J23" s="66"/>
      <c r="K23" s="65"/>
      <c r="L23" s="66"/>
    </row>
    <row r="24" spans="1:12" ht="20.05" customHeight="1" x14ac:dyDescent="0.3">
      <c r="A24" s="58" t="str">
        <f>(IF(E7="NATURAL","",E7))</f>
        <v>BLACK</v>
      </c>
      <c r="B24" s="58"/>
      <c r="C24" s="7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BK</v>
      </c>
      <c r="D24" s="73"/>
      <c r="E24" s="118"/>
      <c r="F24" s="119"/>
      <c r="G24" s="11" t="s">
        <v>81</v>
      </c>
      <c r="H24" s="35"/>
      <c r="I24" s="65"/>
      <c r="J24" s="66"/>
      <c r="K24" s="65"/>
      <c r="L24" s="66"/>
    </row>
    <row r="25" spans="1:12" ht="20.05" customHeight="1" x14ac:dyDescent="0.3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73"/>
      <c r="E25" s="118"/>
      <c r="F25" s="119"/>
      <c r="G25" s="11" t="s">
        <v>82</v>
      </c>
      <c r="H25" s="35"/>
      <c r="I25" s="65"/>
      <c r="J25" s="66"/>
      <c r="K25" s="65"/>
      <c r="L25" s="66"/>
    </row>
    <row r="26" spans="1:12" ht="20.05" customHeight="1" x14ac:dyDescent="0.3">
      <c r="A26" s="115" t="s">
        <v>0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7"/>
    </row>
    <row r="27" spans="1:12" ht="20.05" customHeight="1" x14ac:dyDescent="0.3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05" customHeight="1" x14ac:dyDescent="0.3">
      <c r="A30" s="133" t="s">
        <v>93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5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124" t="s">
        <v>101</v>
      </c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6"/>
    </row>
    <row r="35" spans="1:12" ht="20.05" customHeight="1" x14ac:dyDescent="0.3">
      <c r="A35" s="127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9"/>
    </row>
    <row r="36" spans="1:12" ht="20.05" customHeight="1" x14ac:dyDescent="0.3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2"/>
    </row>
    <row r="37" spans="1:12" ht="20.05" customHeight="1" x14ac:dyDescent="0.3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44022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44013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3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145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143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143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1BDA176-E9F5-4161-B560-F98613F3F392}"/>
</file>

<file path=customXml/itemProps2.xml><?xml version="1.0" encoding="utf-8"?>
<ds:datastoreItem xmlns:ds="http://schemas.openxmlformats.org/officeDocument/2006/customXml" ds:itemID="{18A866E7-90F5-4EC3-8641-1A0AB048983B}"/>
</file>

<file path=customXml/itemProps3.xml><?xml version="1.0" encoding="utf-8"?>
<ds:datastoreItem xmlns:ds="http://schemas.openxmlformats.org/officeDocument/2006/customXml" ds:itemID="{2B1460D5-8B06-49B4-9095-200442D54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2020-06-10T01:05:49Z</cp:lastPrinted>
  <dcterms:created xsi:type="dcterms:W3CDTF">2019-11-27T23:28:06Z</dcterms:created>
  <dcterms:modified xsi:type="dcterms:W3CDTF">2020-06-10T01:05:53Z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