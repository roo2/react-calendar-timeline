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D6888EE-E6F1-4E38-A826-84E8A87CF7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<sst xmlns="http://schemas.openxmlformats.org/spreadsheetml/2006/main" count="224" uniqueCount="166">
  <si>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</si>
  <si>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</si>
  <si>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</si>
  <si>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</si>
  <si>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</si>
  <si>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</si>
  <si>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</si>
  <si>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</si>
  <si>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</si>
  <si>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</si>
  <si>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</si>
  <si>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</si>
  <si>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</si>
  <si>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</si>
  <si>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</si>
  <si>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</si>
  <si>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</si>
  <si>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</si>
  <si>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</si>
  <si>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</si>
  <si>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</si>
  <si>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</si>
  <si>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</si>
  <si>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</si>
  <si>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</si>
  <si>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</si>
  <si>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</si>
  <si>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</si>
  <si>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</si>
  <si>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</si>
  <si>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</si>
  <si>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</si>
  <si>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</si>
  <si>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</si>
  <si>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</si>
  <si>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</si>
  <si>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</si>
  <si>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</si>
  <si>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</si>
  <si>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</si>
  <si>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</si>
  <si>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</si>
  <si>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</si>
  <si>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</si>
  <si>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</si>
  <si>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</si>
  <si>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</si>
  <si>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</si>
  <si>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</si>
  <si>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</si>
  <si>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</si>
  <si>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</si>
  <si>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</si>
  <si>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</si>
  <si>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</si>
  <si>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</si>
  <si>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</si>
  <si>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</si>
  <si>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</si>
  <si>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</si>
  <si>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</si>
  <si>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</si>
  <si>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</si>
  <si>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</si>
  <si>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</si>
  <si>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</si>
  <si>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</si>
  <si>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</si>
  <si>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</si>
  <si>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</si>
  <si>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</si>
  <si>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</si>
  <si>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</si>
  <si>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</si>
  <si>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</si>
  <si>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</si>
  <si>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</si>
  <si>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</si>
  <si>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</si>
  <si>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</si>
  <si>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</si>
  <si>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</si>
  <si>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</si>
  <si>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</si>
  <si>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</si>
  <si>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</si>
  <si>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</si>
  <si>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</si>
  <si>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</si>
  <si>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</si>
  <si>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</si>
  <si>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</si>
  <si>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</si>
  <si>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</si>
  <si>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</si>
  <si>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</si>
  <si>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</si>
  <si>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</si>
  <si>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</si>
  <si>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</si>
  <si>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</si>
  <si>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</si>
  <si>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</si>
  <si>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</si>
  <si>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</si>
  <si>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</si>
  <si>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</si>
  <si>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</si>
  <si>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</si>
  <si>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</si>
  <si>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</si>
  <si>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</si>
  <si>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</si>
  <si>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</si>
  <si>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</si>
  <si>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</si>
  <si>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</si>
  <si>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</si>
  <si>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</si>
  <si>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</si>
  <si>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</si>
  <si>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</si>
  <si>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</si>
  <si>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</si>
  <si>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</si>
  <si>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</si>
  <si>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</si>
  <si>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</si>
  <si>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</si>
  <si>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</si>
  <si>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</si>
  <si>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</si>
  <si>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</si>
  <si>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</si>
  <si>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</si>
  <si>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</si>
  <si>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</si>
  <si>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</si>
  <si>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</si>
  <si>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</si>
  <si>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</si>
  <si>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</si>
  <si>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</si>
  <si>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</si>
  <si>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</si>
  <si>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</si>
  <si>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</si>
  <si>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</si>
  <si>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</si>
  <si>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</si>
  <si>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</si>
  <si>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</si>
  <si>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</si>
  <si>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</si>
  <si>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</si>
  <si>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</si>
  <si>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</si>
  <si>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</si>
  <si>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</si>
  <si>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</si>
  <si>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</si>
  <si>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</si>
  <si>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</si>
  <si>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</si>
  <si>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RUN AT 115um</t>
  </si>
  <si>
    <t>ADVANTAGE SCREENS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</si>
</sst>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T200120</v>
      </c>
      <c r="C1" s="61"/>
      <c r="D1" s="62"/>
      <c r="E1" s="11" t="s">
        <v>55</v>
      </c>
      <c r="F1" s="51" t="s">
        <v>165</v>
      </c>
      <c r="G1" s="51"/>
      <c r="H1" s="52"/>
      <c r="I1" s="11" t="s">
        <v>147</v>
      </c>
      <c r="J1" s="76">
        <f ca="1">TODAY()</f>
        <v>46085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15KG</v>
      </c>
      <c r="C2" s="65"/>
      <c r="D2" s="66"/>
      <c r="E2" s="11" t="s">
        <v>56</v>
      </c>
      <c r="F2" s="51">
        <v>950879</v>
      </c>
      <c r="G2" s="51"/>
      <c r="H2" s="52"/>
      <c r="I2" s="11" t="s">
        <v>57</v>
      </c>
      <c r="J2" s="78">
        <v>46106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157</v>
      </c>
      <c r="B7" s="51" t="s">
        <v>158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200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120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10</v>
      </c>
      <c r="C10" s="52"/>
      <c r="D10" s="36" t="s">
        <v>104</v>
      </c>
      <c r="E10" s="85">
        <f>E11*B10</f>
        <v>150</v>
      </c>
      <c r="F10" s="86"/>
      <c r="G10" s="11" t="s">
        <v>51</v>
      </c>
      <c r="H10" s="65">
        <f>H11*B10</f>
        <v>3375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15</v>
      </c>
      <c r="F11" s="88"/>
      <c r="G11" s="42" t="s">
        <v>13</v>
      </c>
      <c r="H11" s="89">
        <f>E11*540000/B8/H8</f>
        <v>337.5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10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dataConsolidate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46116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46106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5DDEA81-EFAE-4B87-8BAD-106774309026}"/>
</file>

<file path=customXml/itemProps2.xml><?xml version="1.0" encoding="utf-8"?>
<ds:datastoreItem xmlns:ds="http://schemas.openxmlformats.org/officeDocument/2006/customXml" ds:itemID="{D1DF9382-109E-416B-9812-F85EEBD9D01E}"/>
</file>

<file path=customXml/itemProps3.xml><?xml version="1.0" encoding="utf-8"?>
<ds:datastoreItem xmlns:ds="http://schemas.openxmlformats.org/officeDocument/2006/customXml" ds:itemID="{E4234106-CC07-43F0-B828-9ECCE4BEB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2025-01-15T03:46:16Z</cp:lastPrinted>
  <dcterms:created xsi:type="dcterms:W3CDTF">2019-11-27T23:28:06Z</dcterms:created>
  <dcterms:modified xsi:type="dcterms:W3CDTF">2026-03-04T08:48:47Z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