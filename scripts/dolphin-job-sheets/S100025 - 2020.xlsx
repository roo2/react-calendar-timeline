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7223E16-B750-4800-8BEF-E24864997B0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E10" i="1"/>
  <c r="E8" i="1" l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<sst xmlns="http://schemas.openxmlformats.org/spreadsheetml/2006/main" count="224" uniqueCount="166">
  <si>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</si>
  <si>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</si>
  <si>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</si>
  <si>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</si>
  <si>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</si>
  <si>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</si>
  <si>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</si>
  <si>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</si>
  <si>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</si>
  <si>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</si>
  <si>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</si>
  <si>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</si>
  <si>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</si>
  <si>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</si>
  <si>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</si>
  <si>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</si>
  <si>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</si>
  <si>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</si>
  <si>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</si>
  <si>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</si>
  <si>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</si>
  <si>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</si>
  <si>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</si>
  <si>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</si>
  <si>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</si>
  <si>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</si>
  <si>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</si>
  <si>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</si>
  <si>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</si>
  <si>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</si>
  <si>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</si>
  <si>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</si>
  <si>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</si>
  <si>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</si>
  <si>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</si>
  <si>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</si>
  <si>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</si>
  <si>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</si>
  <si>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</si>
  <si>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</si>
  <si>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</si>
  <si>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</si>
  <si>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</si>
  <si>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</si>
  <si>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</si>
  <si>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</si>
  <si>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</si>
  <si>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</si>
  <si>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</si>
  <si>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</si>
  <si>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</si>
  <si>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</si>
  <si>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</si>
  <si>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</si>
  <si>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</si>
  <si>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</si>
  <si>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</si>
  <si>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</si>
  <si>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</si>
  <si>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</si>
  <si>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</si>
  <si>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</si>
  <si>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</si>
  <si>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</si>
  <si>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</si>
  <si>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</si>
  <si>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</si>
  <si>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</si>
  <si>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</si>
  <si>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</si>
  <si>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</si>
  <si>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</si>
  <si>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</si>
  <si>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</si>
  <si>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</si>
  <si>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</si>
  <si>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</si>
  <si>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</si>
  <si>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</si>
  <si>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</si>
  <si>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</si>
  <si>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</si>
  <si>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</si>
  <si>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</si>
  <si>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</si>
  <si>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</si>
  <si>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</si>
  <si>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</si>
  <si>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</si>
  <si>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</si>
  <si>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</si>
  <si>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</si>
  <si>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</si>
  <si>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</si>
  <si>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</si>
  <si>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</si>
  <si>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</si>
  <si>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</si>
  <si>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</si>
  <si>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</si>
  <si>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</si>
  <si>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</si>
  <si>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</si>
  <si>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</si>
  <si>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</si>
  <si>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</si>
  <si>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</si>
  <si>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</si>
  <si>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</si>
  <si>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</si>
  <si>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</si>
  <si>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</si>
  <si>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</si>
  <si>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</si>
  <si>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</si>
  <si>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</si>
  <si>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</si>
  <si>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</si>
  <si>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</si>
  <si>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</si>
  <si>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</si>
  <si>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</si>
  <si>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</si>
  <si>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</si>
  <si>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</si>
  <si>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</si>
  <si>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</si>
  <si>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</si>
  <si>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</si>
  <si>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</si>
  <si>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</si>
  <si>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</si>
  <si>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</si>
  <si>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</si>
  <si>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</si>
  <si>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</si>
  <si>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</si>
  <si>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</si>
  <si>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</si>
  <si>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</si>
  <si>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</si>
  <si>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</si>
  <si>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</si>
  <si>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</si>
  <si>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</si>
  <si>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</si>
  <si>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</si>
  <si>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</si>
  <si>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</si>
  <si>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</si>
  <si>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</si>
  <si>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</si>
  <si>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</si>
  <si>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</si>
  <si>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</si>
  <si>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</si>
  <si>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</si>
  <si>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</si>
  <si>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</si>
  <si>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</si>
  <si>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</si>
  <si>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</si>
  <si>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</si>
  <si>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</si>
  <si>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25UM</t>
  </si>
  <si>
    <t>EVERGUARD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</si>
</sst>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SR100025</v>
      </c>
      <c r="C1" s="61"/>
      <c r="D1" s="62"/>
      <c r="E1" s="11" t="s">
        <v>55</v>
      </c>
      <c r="F1" s="51" t="s">
        <v>165</v>
      </c>
      <c r="G1" s="51"/>
      <c r="H1" s="52"/>
      <c r="I1" s="11" t="s">
        <v>148</v>
      </c>
      <c r="J1" s="76">
        <f ca="1">TODAY()</f>
        <v>45323</v>
      </c>
      <c r="K1" s="76"/>
      <c r="L1" s="77"/>
    </row>
    <row r="2" spans="1:14" ht="20.149999999999999" customHeight="1" x14ac:dyDescent="0.8">
      <c r="A2" s="11" t="s">
        <v>94</v>
      </c>
      <c r="B2" s="65" t="str">
        <f>(ROUNDUP(E11,0)&amp;"KG")&amp;" "&amp;(ROUNDUP(H11,0)&amp;"M")</f>
        <v>10KG 432M</v>
      </c>
      <c r="C2" s="65"/>
      <c r="D2" s="66"/>
      <c r="E2" s="11" t="s">
        <v>56</v>
      </c>
      <c r="F2" s="51">
        <v>947261</v>
      </c>
      <c r="G2" s="51"/>
      <c r="H2" s="52"/>
      <c r="I2" s="11" t="s">
        <v>57</v>
      </c>
      <c r="J2" s="78">
        <v>45344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160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1000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50</v>
      </c>
      <c r="H8" s="97">
        <v>25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10</v>
      </c>
      <c r="C10" s="52"/>
      <c r="D10" s="36" t="s">
        <v>104</v>
      </c>
      <c r="E10" s="85">
        <f>E11*B10*2</f>
        <v>200</v>
      </c>
      <c r="F10" s="86"/>
      <c r="G10" s="11" t="s">
        <v>51</v>
      </c>
      <c r="H10" s="65">
        <f>H11*B10</f>
        <v>4320</v>
      </c>
      <c r="I10" s="66"/>
      <c r="J10" s="11" t="s">
        <v>39</v>
      </c>
      <c r="K10" s="51" t="s">
        <v>41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20</v>
      </c>
      <c r="C11" s="84"/>
      <c r="D11" s="42" t="s">
        <v>105</v>
      </c>
      <c r="E11" s="87">
        <f>IF(D9="RUN 2 UP",(B8*H8*H11/540000),(B8*H8*H11/540000)/2)</f>
        <v>10</v>
      </c>
      <c r="F11" s="88"/>
      <c r="G11" s="42" t="s">
        <v>13</v>
      </c>
      <c r="H11" s="89">
        <v>432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10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4"/>
      <c r="E24" s="103">
        <v>0.05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errorStyle="warning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1" workbookViewId="0">
      <selection activeCell="H46" sqref="H46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45352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45344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8B19F5B-F521-4CDC-9CC0-1FAB041D7469}"/>
</file>

<file path=customXml/itemProps2.xml><?xml version="1.0" encoding="utf-8"?>
<ds:datastoreItem xmlns:ds="http://schemas.openxmlformats.org/officeDocument/2006/customXml" ds:itemID="{92177972-1411-4E39-9F2B-4C245D0F1C0A}"/>
</file>

<file path=customXml/itemProps3.xml><?xml version="1.0" encoding="utf-8"?>
<ds:datastoreItem xmlns:ds="http://schemas.openxmlformats.org/officeDocument/2006/customXml" ds:itemID="{B7B520D7-3029-4B79-8D55-3275B72E9D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2024-02-01T02:17:54Z</cp:lastPrinted>
  <dcterms:created xsi:type="dcterms:W3CDTF">2019-11-27T23:28:06Z</dcterms:created>
  <dcterms:modified xsi:type="dcterms:W3CDTF">2024-02-05T00:23:15Z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