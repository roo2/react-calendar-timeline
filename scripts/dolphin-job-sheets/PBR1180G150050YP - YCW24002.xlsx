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AB8CB41-0462-43DA-8806-CBCA3AF0986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<sst xmlns="http://schemas.openxmlformats.org/spreadsheetml/2006/main" count="304" uniqueCount="202">
  <si>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</si>
  <si>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</si>
  <si>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</si>
  <si>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</si>
  <si>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</si>
  <si>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</si>
  <si>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</si>
  <si>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</si>
  <si>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</si>
  <si>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</si>
  <si>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</si>
  <si>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</si>
  <si>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</si>
  <si>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</si>
  <si>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</si>
  <si>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</si>
  <si>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</si>
  <si>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</si>
  <si>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</si>
  <si>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</si>
  <si>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</si>
  <si>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</si>
  <si>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</si>
  <si>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</si>
  <si>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</si>
  <si>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</si>
  <si>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</si>
  <si>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</si>
  <si>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</si>
  <si>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</si>
  <si>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</si>
  <si>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</si>
  <si>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</si>
  <si>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</si>
  <si>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</si>
  <si>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</si>
  <si>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</si>
  <si>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</si>
  <si>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</si>
  <si>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</si>
  <si>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</si>
  <si>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</si>
  <si>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</si>
  <si>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</si>
  <si>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</si>
  <si>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</si>
  <si>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</si>
  <si>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</si>
  <si>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</si>
  <si>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</si>
  <si>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</si>
  <si>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</si>
  <si>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</si>
  <si>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</si>
  <si>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</si>
  <si>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</si>
  <si>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</si>
  <si>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</si>
  <si>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</si>
  <si>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</si>
  <si>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</si>
  <si>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</si>
  <si>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</si>
  <si>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</si>
  <si>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</si>
  <si>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</si>
  <si>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</si>
  <si>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</si>
  <si>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</si>
  <si>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</si>
  <si>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</si>
  <si>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</si>
  <si>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</si>
  <si>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</si>
  <si>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</si>
  <si>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</si>
  <si>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</si>
  <si>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</si>
  <si>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</si>
  <si>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</si>
  <si>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</si>
  <si>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</si>
  <si>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</si>
  <si>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</si>
  <si>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</si>
  <si>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</si>
  <si>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</si>
  <si>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</si>
  <si>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</si>
  <si>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</si>
  <si>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</si>
  <si>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</si>
  <si>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</si>
  <si>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</si>
  <si>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</si>
  <si>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</si>
  <si>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</si>
  <si>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</si>
  <si>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</si>
  <si>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</si>
  <si>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</si>
  <si>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</si>
  <si>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</si>
  <si>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</si>
  <si>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</si>
  <si>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</si>
  <si>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</si>
  <si>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</si>
  <si>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</si>
  <si>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</si>
  <si>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</si>
  <si>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</si>
  <si>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</si>
  <si>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</si>
  <si>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</si>
  <si>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</si>
  <si>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</si>
  <si>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</si>
  <si>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</si>
  <si>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</si>
  <si>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</si>
  <si>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</si>
  <si>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</si>
  <si>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</si>
  <si>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</si>
  <si>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</si>
  <si>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</si>
  <si>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</si>
  <si>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</si>
  <si>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</si>
  <si>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</si>
  <si>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</si>
  <si>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</si>
  <si>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</si>
  <si>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</si>
  <si>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</si>
  <si>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</si>
  <si>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</si>
  <si>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</si>
  <si>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</si>
  <si>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</si>
  <si>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</si>
  <si>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</si>
  <si>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</si>
  <si>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</si>
  <si>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</si>
  <si>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</si>
  <si>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</si>
  <si>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</si>
  <si>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</si>
  <si>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</si>
  <si>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</si>
  <si>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</si>
  <si>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</si>
  <si>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</si>
  <si>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</si>
  <si>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</si>
  <si>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</si>
  <si>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</si>
  <si>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</si>
  <si>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</si>
  <si>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</si>
  <si>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</si>
  <si>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</si>
  <si>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</si>
  <si>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</si>
  <si>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</si>
  <si>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</si>
  <si>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</si>
  <si>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</si>
  <si>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</si>
  <si>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</si>
  <si>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</si>
  <si>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</si>
  <si>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</si>
  <si>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</si>
  <si>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</si>
  <si>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</si>
  <si>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</si>
  <si>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</si>
  <si>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</si>
  <si>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</si>
  <si>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</si>
  <si>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</si>
  <si>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</si>
  <si>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</si>
  <si>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</si>
  <si>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</si>
  <si>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</si>
  <si>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</si>
  <si>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</si>
  <si>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</si>
  <si>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</si>
  <si>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</si>
  <si>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(750+430)</t>
  </si>
  <si>
    <t>NOT OVER</t>
  </si>
  <si>
    <t xml:space="preserve"> +/- 10mm</t>
  </si>
  <si>
    <t>YCW24002</t>
  </si>
  <si>
    <t>"CLINICAL WASTE"</t>
  </si>
  <si>
    <t>PERF</t>
  </si>
  <si>
    <t>J J RICHARDS</t>
  </si>
  <si>
    <t>MUST BE COMPLETE BY 11.04.2022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</si>
</sst>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PBR1180G150050YP</v>
      </c>
      <c r="C1" s="125"/>
      <c r="D1" s="126"/>
      <c r="E1" s="18" t="s">
        <v>56</v>
      </c>
      <c r="F1" s="145" t="s">
        <v>200</v>
      </c>
      <c r="G1" s="145"/>
      <c r="H1" s="146"/>
      <c r="I1" s="18" t="s">
        <v>180</v>
      </c>
      <c r="J1" s="142">
        <f ca="1">TODAY()</f>
        <v>44636</v>
      </c>
      <c r="K1" s="142"/>
      <c r="L1" s="143"/>
      <c r="M1" s="35"/>
      <c r="N1" s="18" t="s">
        <v>55</v>
      </c>
      <c r="O1" s="125" t="str">
        <f>B1</f>
        <v>PBR1180G150050YP</v>
      </c>
      <c r="P1" s="125"/>
      <c r="Q1" s="126"/>
      <c r="R1" s="18" t="s">
        <v>56</v>
      </c>
      <c r="S1" s="125" t="str">
        <f>F1</f>
        <v>J J RICHARDS</v>
      </c>
      <c r="T1" s="125"/>
      <c r="U1" s="126"/>
      <c r="V1" s="18" t="s">
        <v>180</v>
      </c>
      <c r="W1" s="142">
        <f ca="1">J1</f>
        <v>44636</v>
      </c>
      <c r="X1" s="142"/>
      <c r="Y1" s="143"/>
    </row>
    <row r="2" spans="1:25" ht="20.100000000000001" customHeight="1" x14ac:dyDescent="0.25">
      <c r="A2" s="18" t="s">
        <v>99</v>
      </c>
      <c r="B2" s="125" t="str">
        <f>IF(U10="","",U10)</f>
        <v>YCW24002</v>
      </c>
      <c r="C2" s="125"/>
      <c r="D2" s="126"/>
      <c r="E2" s="18" t="s">
        <v>57</v>
      </c>
      <c r="F2" s="104">
        <v>942860</v>
      </c>
      <c r="G2" s="104"/>
      <c r="H2" s="105"/>
      <c r="I2" s="18" t="s">
        <v>58</v>
      </c>
      <c r="J2" s="103">
        <v>44657</v>
      </c>
      <c r="K2" s="104"/>
      <c r="L2" s="105"/>
      <c r="M2" s="35"/>
      <c r="N2" s="18" t="s">
        <v>99</v>
      </c>
      <c r="O2" s="125" t="str">
        <f>IF(B2="","",B2)</f>
        <v>YCW24002</v>
      </c>
      <c r="P2" s="125"/>
      <c r="Q2" s="126"/>
      <c r="R2" s="18" t="s">
        <v>57</v>
      </c>
      <c r="S2" s="125">
        <f>IF(F2="","",F2)</f>
        <v>942860</v>
      </c>
      <c r="T2" s="125"/>
      <c r="U2" s="126"/>
      <c r="V2" s="18" t="s">
        <v>58</v>
      </c>
      <c r="W2" s="144">
        <f>J2</f>
        <v>44657</v>
      </c>
      <c r="X2" s="125"/>
      <c r="Y2" s="126"/>
    </row>
    <row r="3" spans="1:25" ht="20.100000000000001" customHeight="1" x14ac:dyDescent="0.25">
      <c r="A3" s="137" t="s">
        <v>201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  <c r="M3" s="35"/>
      <c r="N3" s="137" t="str">
        <f>A3</f>
        <v>MUST BE COMPLETE BY 11.04.2022</v>
      </c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7"/>
    </row>
    <row r="4" spans="1:25" ht="20.100000000000001" customHeight="1" x14ac:dyDescent="0.25">
      <c r="A4" s="138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40"/>
      <c r="M4" s="35"/>
      <c r="N4" s="138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40"/>
    </row>
    <row r="5" spans="1:25" ht="20.100000000000001" customHeight="1" x14ac:dyDescent="0.25">
      <c r="A5" s="141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  <c r="M5" s="35"/>
      <c r="N5" s="141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9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48" t="s">
        <v>1</v>
      </c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50"/>
    </row>
    <row r="7" spans="1:25" ht="20.100000000000001" customHeight="1" x14ac:dyDescent="0.3">
      <c r="A7" s="18" t="s">
        <v>48</v>
      </c>
      <c r="B7" s="135" t="s">
        <v>147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80</v>
      </c>
      <c r="P7" s="105"/>
      <c r="Q7" s="18" t="str">
        <f>IF(ISNUMBER(SEARCH("roll",O8,1)),"Per Roll","Per Carton")</f>
        <v>Per Roll</v>
      </c>
      <c r="R7" s="104">
        <v>100</v>
      </c>
      <c r="S7" s="105"/>
      <c r="T7" s="18" t="str">
        <f>IF(ISNUMBER(SEARCH("bag",O8,1)),"Total Bags","Total Sheets")</f>
        <v>Total Bags</v>
      </c>
      <c r="U7" s="125">
        <f>R7*O7</f>
        <v>8000</v>
      </c>
      <c r="V7" s="126"/>
      <c r="W7" s="18" t="s">
        <v>101</v>
      </c>
      <c r="X7" s="104" t="s">
        <v>30</v>
      </c>
      <c r="Y7" s="105"/>
    </row>
    <row r="8" spans="1:25" ht="20.100000000000001" customHeight="1" x14ac:dyDescent="0.25">
      <c r="A8" s="19" t="s">
        <v>15</v>
      </c>
      <c r="B8" s="113">
        <f>R9</f>
        <v>1180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(750+430)</v>
      </c>
      <c r="F8" s="116"/>
      <c r="G8" s="19" t="s">
        <v>51</v>
      </c>
      <c r="H8" s="113">
        <f>(IF(V9&lt;30,"30",V9))</f>
        <v>50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47"/>
    </row>
    <row r="9" spans="1:25" ht="20.100000000000001" customHeight="1" x14ac:dyDescent="0.3">
      <c r="A9" s="23" t="s">
        <v>47</v>
      </c>
      <c r="B9" s="123" t="s">
        <v>196</v>
      </c>
      <c r="C9" s="124"/>
      <c r="D9" s="154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195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1180</v>
      </c>
      <c r="S9" s="25" t="s">
        <v>77</v>
      </c>
      <c r="T9" s="36">
        <v>1500</v>
      </c>
      <c r="U9" s="25" t="s">
        <v>77</v>
      </c>
      <c r="V9" s="36">
        <v>50</v>
      </c>
      <c r="W9" s="24"/>
      <c r="X9" s="110" t="s">
        <v>194</v>
      </c>
      <c r="Y9" s="111"/>
    </row>
    <row r="10" spans="1:25" ht="20.100000000000001" customHeight="1" x14ac:dyDescent="0.25">
      <c r="A10" s="18" t="s">
        <v>50</v>
      </c>
      <c r="B10" s="104">
        <v>80</v>
      </c>
      <c r="C10" s="105"/>
      <c r="D10" s="56" t="s">
        <v>133</v>
      </c>
      <c r="E10" s="127">
        <f>IF(ISNUMBER(SEARCH("sheet",O8,1)),((R9*T9*H8/540000)*U7/2000*1.3),((R9*T9*H8/540000)*U7/1000*1.08))</f>
        <v>1416</v>
      </c>
      <c r="F10" s="128"/>
      <c r="G10" s="18" t="s">
        <v>52</v>
      </c>
      <c r="H10" s="131">
        <f>IF(ISNUMBER(SEARCH("sheet",O8,1)),(U7*T9/2000*1.08),(U7*T9/1000*1.08))</f>
        <v>12960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Yes</v>
      </c>
      <c r="S10" s="112"/>
      <c r="T10" s="20" t="s">
        <v>99</v>
      </c>
      <c r="U10" s="106" t="s">
        <v>197</v>
      </c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17.7</v>
      </c>
      <c r="F11" s="130"/>
      <c r="G11" s="18" t="s">
        <v>14</v>
      </c>
      <c r="H11" s="129">
        <f>H10/B10</f>
        <v>162</v>
      </c>
      <c r="I11" s="130"/>
      <c r="J11" s="18" t="s">
        <v>49</v>
      </c>
      <c r="K11" s="104" t="s">
        <v>64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>P</v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1" t="s">
        <v>70</v>
      </c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3"/>
    </row>
    <row r="13" spans="1:25" ht="20.100000000000001" customHeight="1" x14ac:dyDescent="0.25">
      <c r="A13" s="18" t="s">
        <v>67</v>
      </c>
      <c r="B13" s="104" t="s">
        <v>69</v>
      </c>
      <c r="C13" s="104"/>
      <c r="D13" s="105"/>
      <c r="E13" s="28" t="s">
        <v>60</v>
      </c>
      <c r="F13" s="104" t="s">
        <v>65</v>
      </c>
      <c r="G13" s="104"/>
      <c r="H13" s="105"/>
      <c r="I13" s="29" t="s">
        <v>61</v>
      </c>
      <c r="J13" s="104" t="s">
        <v>176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80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 t="s">
        <v>198</v>
      </c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0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5"/>
      <c r="Y16" s="156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22</v>
      </c>
      <c r="V17" s="105"/>
      <c r="W17" s="18" t="str">
        <f>IF(ISNUMBER(SEARCH("roll",O8,1)),"Total Rolls","Total Ctns")</f>
        <v>Total Rolls</v>
      </c>
      <c r="X17" s="155"/>
      <c r="Y17" s="156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5"/>
      <c r="Y18" s="156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>YELLOW</v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0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 t="s">
        <v>199</v>
      </c>
      <c r="P25" s="41"/>
      <c r="Q25" s="10">
        <v>21</v>
      </c>
      <c r="R25" s="10">
        <v>9</v>
      </c>
      <c r="S25" s="10"/>
      <c r="T25" s="10">
        <v>11</v>
      </c>
      <c r="U25" s="10"/>
      <c r="V25" s="10">
        <v>3</v>
      </c>
      <c r="W25" s="10">
        <v>150</v>
      </c>
      <c r="X25" s="10">
        <v>150</v>
      </c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1" t="s">
        <v>131</v>
      </c>
      <c r="H26" s="161"/>
      <c r="I26" s="161" t="s">
        <v>130</v>
      </c>
      <c r="J26" s="161"/>
      <c r="K26" s="12" t="s">
        <v>93</v>
      </c>
      <c r="L26" s="12" t="s">
        <v>94</v>
      </c>
      <c r="M26" s="35"/>
      <c r="N26" s="157" t="s">
        <v>136</v>
      </c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9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44667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44657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0B336D3-F40F-4FD0-8673-8C6831D29C79}"/>
</file>

<file path=customXml/itemProps2.xml><?xml version="1.0" encoding="utf-8"?>
<ds:datastoreItem xmlns:ds="http://schemas.openxmlformats.org/officeDocument/2006/customXml" ds:itemID="{A2B31D99-0D13-4253-842A-D5515CEDE28A}"/>
</file>

<file path=customXml/itemProps3.xml><?xml version="1.0" encoding="utf-8"?>
<ds:datastoreItem xmlns:ds="http://schemas.openxmlformats.org/officeDocument/2006/customXml" ds:itemID="{55F1D2AF-37CB-4F40-80BC-ED3E3082E2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2022-03-16T01:04:56Z</cp:lastPrinted>
  <dcterms:created xsi:type="dcterms:W3CDTF">2019-11-27T23:28:06Z</dcterms:created>
  <dcterms:modified xsi:type="dcterms:W3CDTF">2022-03-16T01:30:47Z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