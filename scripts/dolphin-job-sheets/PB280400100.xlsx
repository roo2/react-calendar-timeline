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675E0BE-94FA-4C13-AC2A-83E674BF057D}" xr6:coauthVersionLast="47" xr6:coauthVersionMax="47" xr10:uidLastSave="{00000000-0000-0000-0000-000000000000}"/>
  <bookViews>
    <workbookView xWindow="0" yWindow="30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  <c r="X8" i="1" s="1"/>
  <c r="E8" i="1"/>
  <c r="D8" i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J1" i="1" l="1"/>
  <c r="A5" i="2" l="1"/>
  <c r="A4" i="2"/>
  <c r="W1" i="1"/>
  <c r="O9" i="1" l="1"/>
  <c r="B1" i="1" s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<sst xmlns="http://schemas.openxmlformats.org/spreadsheetml/2006/main" count="306" uniqueCount="201">
  <si>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</si>
  <si>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</si>
  <si>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</si>
  <si>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</si>
  <si>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</si>
  <si>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</si>
  <si>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</si>
  <si>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</si>
  <si>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</si>
  <si>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</si>
  <si>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</si>
  <si>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</si>
  <si>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</si>
  <si>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</si>
  <si>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</si>
  <si>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</si>
  <si>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</si>
  <si>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</si>
  <si>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</si>
  <si>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</si>
  <si>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</si>
  <si>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</si>
  <si>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</si>
  <si>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</si>
  <si>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</si>
  <si>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</si>
  <si>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</si>
  <si>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</si>
  <si>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</si>
  <si>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</si>
  <si>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</si>
  <si>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</si>
  <si>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</si>
  <si>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</si>
  <si>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</si>
  <si>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</si>
  <si>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</si>
  <si>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</si>
  <si>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</si>
  <si>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</si>
  <si>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</si>
  <si>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</si>
  <si>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</si>
  <si>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</si>
  <si>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</si>
  <si>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</si>
  <si>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</si>
  <si>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</si>
  <si>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</si>
  <si>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</si>
  <si>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</si>
  <si>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</si>
  <si>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</si>
  <si>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</si>
  <si>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</si>
  <si>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</si>
  <si>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</si>
  <si>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</si>
  <si>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</si>
  <si>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</si>
  <si>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</si>
  <si>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</si>
  <si>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</si>
  <si>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</si>
  <si>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</si>
  <si>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</si>
  <si>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</si>
  <si>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</si>
  <si>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</si>
  <si>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</si>
  <si>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</si>
  <si>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</si>
  <si>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</si>
  <si>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</si>
  <si>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</si>
  <si>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</si>
  <si>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</si>
  <si>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</si>
  <si>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</si>
  <si>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</si>
  <si>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</si>
  <si>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</si>
  <si>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</si>
  <si>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</si>
  <si>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</si>
  <si>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</si>
  <si>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</si>
  <si>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</si>
  <si>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</si>
  <si>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</si>
  <si>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</si>
  <si>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</si>
  <si>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</si>
  <si>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</si>
  <si>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</si>
  <si>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</si>
  <si>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</si>
  <si>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</si>
  <si>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</si>
  <si>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</si>
  <si>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</si>
  <si>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</si>
  <si>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</si>
  <si>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</si>
  <si>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</si>
  <si>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</si>
  <si>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</si>
  <si>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</si>
  <si>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</si>
  <si>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</si>
  <si>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</si>
  <si>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</si>
  <si>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</si>
  <si>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</si>
  <si>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</si>
  <si>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</si>
  <si>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</si>
  <si>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</si>
  <si>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</si>
  <si>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</si>
  <si>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</si>
  <si>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</si>
  <si>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</si>
  <si>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</si>
  <si>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</si>
  <si>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</si>
  <si>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</si>
  <si>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</si>
  <si>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</si>
  <si>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</si>
  <si>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</si>
  <si>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</si>
  <si>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</si>
  <si>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</si>
  <si>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</si>
  <si>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</si>
  <si>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</si>
  <si>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</si>
  <si>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</si>
  <si>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</si>
  <si>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</si>
  <si>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</si>
  <si>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</si>
  <si>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</si>
  <si>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</si>
  <si>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</si>
  <si>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</si>
  <si>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</si>
  <si>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</si>
  <si>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</si>
  <si>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</si>
  <si>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</si>
  <si>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</si>
  <si>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</si>
  <si>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</si>
  <si>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</si>
  <si>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</si>
  <si>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</si>
  <si>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</si>
  <si>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</si>
  <si>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</si>
  <si>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</si>
  <si>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</si>
  <si>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</si>
  <si>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</si>
  <si>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</si>
  <si>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</si>
  <si>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</si>
  <si>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</si>
  <si>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</si>
  <si>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</si>
  <si>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</si>
  <si>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</si>
  <si>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</si>
  <si>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</si>
  <si>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</si>
  <si>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</si>
  <si>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</si>
  <si>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</si>
  <si>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</si>
  <si>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</si>
  <si>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</si>
  <si>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</si>
  <si>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</si>
  <si>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</si>
  <si>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</si>
  <si>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</si>
  <si>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</si>
  <si>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</si>
  <si>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</si>
  <si>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</si>
  <si>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</si>
  <si>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</si>
  <si>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RUN AT 90-95UM</t>
  </si>
  <si>
    <t>Centrefold Roll</t>
  </si>
  <si>
    <t>LABELS TO READ 100UM -  MUST BE STRONG SEALS NO LEAKS -  TAILS NOT TO STICK TOGETHER</t>
  </si>
  <si>
    <t>CLEAR REMILL</t>
  </si>
  <si>
    <t>ANTIBLOCK</t>
  </si>
  <si>
    <t>LINE 3</t>
  </si>
  <si>
    <t>line 2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</si>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</sst>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S1" sqref="S1:U1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7" t="str">
        <f>O9&amp;R9&amp;IF(X8="G","G","")&amp;IF(O8="Centrefold Roll","("&amp;E8&amp;")","")&amp;T9&amp;V9&amp;C22&amp;C23&amp;C24&amp;O11&amp;R11</f>
        <v>PB28040095</v>
      </c>
      <c r="C1" s="107"/>
      <c r="D1" s="108"/>
      <c r="E1" s="9" t="s">
        <v>57</v>
      </c>
      <c r="F1" s="61"/>
      <c r="G1" s="61"/>
      <c r="H1" s="62"/>
      <c r="I1" s="10" t="s">
        <v>180</v>
      </c>
      <c r="J1" s="118">
        <f ca="1">TODAY()</f>
        <v>45988</v>
      </c>
      <c r="K1" s="118"/>
      <c r="L1" s="119"/>
      <c r="M1" s="27"/>
      <c r="N1" s="9" t="s">
        <v>56</v>
      </c>
      <c r="O1" s="107" t="str">
        <f>B1</f>
        <v>PB28040095</v>
      </c>
      <c r="P1" s="107"/>
      <c r="Q1" s="108"/>
      <c r="R1" s="9" t="s">
        <v>57</v>
      </c>
      <c r="S1" s="107"/>
      <c r="T1" s="107"/>
      <c r="U1" s="108"/>
      <c r="V1" s="9" t="s">
        <v>180</v>
      </c>
      <c r="W1" s="118">
        <f ca="1">J1</f>
        <v>45988</v>
      </c>
      <c r="X1" s="118"/>
      <c r="Y1" s="119"/>
    </row>
    <row r="2" spans="1:25" ht="20.149999999999999" customHeight="1" x14ac:dyDescent="0.8">
      <c r="A2" s="9" t="s">
        <v>100</v>
      </c>
      <c r="B2" s="107" t="str">
        <f>IF(U10="","",U10)</f>
        <v/>
      </c>
      <c r="C2" s="107"/>
      <c r="D2" s="108"/>
      <c r="E2" s="9" t="s">
        <v>58</v>
      </c>
      <c r="F2" s="61">
        <v>981132</v>
      </c>
      <c r="G2" s="61"/>
      <c r="H2" s="62"/>
      <c r="I2" s="9" t="s">
        <v>59</v>
      </c>
      <c r="J2" s="121">
        <v>45719</v>
      </c>
      <c r="K2" s="61"/>
      <c r="L2" s="62"/>
      <c r="M2" s="27"/>
      <c r="N2" s="9" t="s">
        <v>100</v>
      </c>
      <c r="O2" s="107" t="str">
        <f>IF(B2="","",B2)</f>
        <v/>
      </c>
      <c r="P2" s="107"/>
      <c r="Q2" s="108"/>
      <c r="R2" s="9" t="s">
        <v>58</v>
      </c>
      <c r="S2" s="107">
        <f>IF(F2="","",F2)</f>
        <v>981132</v>
      </c>
      <c r="T2" s="107"/>
      <c r="U2" s="108"/>
      <c r="V2" s="9" t="s">
        <v>59</v>
      </c>
      <c r="W2" s="120">
        <f>J2</f>
        <v>45719</v>
      </c>
      <c r="X2" s="107"/>
      <c r="Y2" s="108"/>
    </row>
    <row r="3" spans="1:25" ht="20.149999999999999" customHeight="1" x14ac:dyDescent="0.75">
      <c r="A3" s="109" t="s">
        <v>195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09" t="str">
        <f>A3</f>
        <v>LABELS TO READ 100UM -  MUST BE STRONG SEALS NO LEAKS -  TAILS NOT TO STICK TOGETHER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49999999999999" customHeight="1" x14ac:dyDescent="0.7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49999999999999" customHeight="1" x14ac:dyDescent="0.7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49999999999999" customHeight="1" x14ac:dyDescent="0.7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99" t="s">
        <v>162</v>
      </c>
      <c r="C7" s="99"/>
      <c r="D7" s="99"/>
      <c r="E7" s="99"/>
      <c r="F7" s="99"/>
      <c r="G7" s="99"/>
      <c r="H7" s="99"/>
      <c r="I7" s="100"/>
      <c r="J7" s="66" t="s">
        <v>178</v>
      </c>
      <c r="K7" s="66"/>
      <c r="L7" s="67"/>
      <c r="M7" s="27"/>
      <c r="N7" s="9" t="str">
        <f>IF(ISNUMBER(SEARCH("roll",O8,1)),"No. Rolls","No. Cartons")</f>
        <v>No. Cartons</v>
      </c>
      <c r="O7" s="61">
        <v>440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07">
        <f>R7*O7</f>
        <v>440000</v>
      </c>
      <c r="V7" s="108"/>
      <c r="W7" s="9" t="s">
        <v>102</v>
      </c>
      <c r="X7" s="61" t="s">
        <v>31</v>
      </c>
      <c r="Y7" s="62"/>
    </row>
    <row r="8" spans="1:25" ht="20.149999999999999" customHeight="1" x14ac:dyDescent="0.8">
      <c r="A8" s="11" t="s">
        <v>16</v>
      </c>
      <c r="B8" s="95">
        <f>R9</f>
        <v>280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1" t="s">
        <v>52</v>
      </c>
      <c r="H8" s="95">
        <f>(IF(V9&lt;30,"30",V9))</f>
        <v>95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7"/>
      <c r="N8" s="12" t="s">
        <v>54</v>
      </c>
      <c r="O8" s="97" t="s">
        <v>163</v>
      </c>
      <c r="P8" s="98"/>
      <c r="Q8" s="12" t="s">
        <v>188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49999999999999" customHeight="1" x14ac:dyDescent="0.9">
      <c r="A9" s="14" t="s">
        <v>48</v>
      </c>
      <c r="B9" s="124" t="s">
        <v>192</v>
      </c>
      <c r="C9" s="125"/>
      <c r="D9" s="132" t="str">
        <f>IF(K10="Middle","RUN 2 UP",IF(AND(O8="Centrefold Roll",B8=380),"RUN 2 UP",""))</f>
        <v/>
      </c>
      <c r="E9" s="99"/>
      <c r="F9" s="100"/>
      <c r="G9" s="14" t="s">
        <v>48</v>
      </c>
      <c r="H9" s="124" t="s">
        <v>193</v>
      </c>
      <c r="I9" s="125"/>
      <c r="J9" s="9" t="s">
        <v>55</v>
      </c>
      <c r="K9" s="61" t="s">
        <v>30</v>
      </c>
      <c r="L9" s="62"/>
      <c r="M9" s="27"/>
      <c r="N9" s="15"/>
      <c r="O9" s="101" t="str">
        <f>IF(LEN(O8)-LEN(SUBSTITUTE(O8," ",""))=0,LEFT(O8,1),IF(LEN(O8)-LEN(SUBSTITUTE(O8," ",""))=1,LEFT(O8,1)&amp;MID(O8,FIND(" ",O8)+1,1),LEFT(O8,1)&amp;MID(O8,FIND(" ",O8)+1,1)&amp;MID(O8,FIND(" ",O8,FIND(" ",O8)+1)+1,1)))</f>
        <v>PB</v>
      </c>
      <c r="P9" s="102"/>
      <c r="Q9" s="15"/>
      <c r="R9" s="28">
        <v>280</v>
      </c>
      <c r="S9" s="16" t="s">
        <v>78</v>
      </c>
      <c r="T9" s="28">
        <v>400</v>
      </c>
      <c r="U9" s="16" t="s">
        <v>78</v>
      </c>
      <c r="V9" s="28">
        <v>95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60</v>
      </c>
      <c r="C10" s="62"/>
      <c r="D10" s="45" t="s">
        <v>134</v>
      </c>
      <c r="E10" s="126">
        <f>IF(ISNUMBER(SEARCH("sheet",O8,1)),((R9*T9*H8/540000)*U7/2000*1.3),((R9*T9*H8/540000)*U7/1000*1.08))</f>
        <v>9363.2000000000007</v>
      </c>
      <c r="F10" s="127"/>
      <c r="G10" s="9" t="s">
        <v>53</v>
      </c>
      <c r="H10" s="130">
        <f>IF(ISNUMBER(SEARCH("sheet",O8,1)),(U7*T9/2000*1.08),(U7*T9/1000*1.08))</f>
        <v>190080</v>
      </c>
      <c r="I10" s="131"/>
      <c r="J10" s="9" t="s">
        <v>41</v>
      </c>
      <c r="K10" s="61" t="s">
        <v>44</v>
      </c>
      <c r="L10" s="62"/>
      <c r="M10" s="27"/>
      <c r="N10" s="12" t="s">
        <v>141</v>
      </c>
      <c r="O10" s="97" t="s">
        <v>44</v>
      </c>
      <c r="P10" s="98"/>
      <c r="Q10" s="12" t="s">
        <v>50</v>
      </c>
      <c r="R10" s="93" t="str">
        <f>IF(K11="NONE","None",IF(K11="INLINE","Yes",IF(K11="OUT OF LINE","Yes")))</f>
        <v>None</v>
      </c>
      <c r="S10" s="93"/>
      <c r="T10" s="12" t="s">
        <v>100</v>
      </c>
      <c r="U10" s="103"/>
      <c r="V10" s="103"/>
      <c r="W10" s="103"/>
      <c r="X10" s="103"/>
      <c r="Y10" s="104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28">
        <f>E10/B10</f>
        <v>156.05333333333334</v>
      </c>
      <c r="F11" s="129"/>
      <c r="G11" s="9" t="s">
        <v>15</v>
      </c>
      <c r="H11" s="128">
        <f>H10/B10</f>
        <v>3168</v>
      </c>
      <c r="I11" s="129"/>
      <c r="J11" s="9" t="s">
        <v>50</v>
      </c>
      <c r="K11" s="61" t="s">
        <v>44</v>
      </c>
      <c r="L11" s="62"/>
      <c r="M11" s="27"/>
      <c r="N11" s="11"/>
      <c r="O11" s="95" t="str">
        <f>IF(O10="NONE","","V")</f>
        <v/>
      </c>
      <c r="P11" s="96"/>
      <c r="Q11" s="11"/>
      <c r="R11" s="95" t="str">
        <f>IF(R10="None","","P")</f>
        <v/>
      </c>
      <c r="S11" s="96"/>
      <c r="T11" s="11"/>
      <c r="U11" s="105"/>
      <c r="V11" s="105"/>
      <c r="W11" s="105"/>
      <c r="X11" s="105"/>
      <c r="Y11" s="106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440</v>
      </c>
      <c r="R13" s="9" t="s">
        <v>74</v>
      </c>
      <c r="S13" s="29" t="s">
        <v>23</v>
      </c>
      <c r="T13" s="9" t="s">
        <v>177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45" t="s">
        <v>4</v>
      </c>
      <c r="F16" s="145"/>
      <c r="G16" s="145" t="s">
        <v>5</v>
      </c>
      <c r="H16" s="145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 t="s">
        <v>168</v>
      </c>
      <c r="P16" s="62"/>
      <c r="Q16" s="9" t="s">
        <v>105</v>
      </c>
      <c r="R16" s="61" t="s">
        <v>31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1" t="s">
        <v>146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1" t="s">
        <v>145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32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1" t="s">
        <v>144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1" t="s">
        <v>143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1" t="s">
        <v>196</v>
      </c>
      <c r="D21" s="92"/>
      <c r="E21" s="149">
        <v>0.2</v>
      </c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46" t="s">
        <v>197</v>
      </c>
      <c r="B23" s="146"/>
      <c r="C23" s="91"/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47"/>
      <c r="B24" s="148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175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200</v>
      </c>
      <c r="P25" s="32"/>
      <c r="Q25" s="8">
        <v>26</v>
      </c>
      <c r="R25" s="8"/>
      <c r="S25" s="8"/>
      <c r="T25" s="8"/>
      <c r="U25" s="8"/>
      <c r="V25" s="8"/>
      <c r="W25" s="8">
        <v>17</v>
      </c>
      <c r="X25" s="8">
        <v>13</v>
      </c>
      <c r="Y25" s="8"/>
    </row>
    <row r="26" spans="1:25" ht="20.149999999999999" customHeight="1" x14ac:dyDescent="0.75">
      <c r="A26" s="21"/>
      <c r="B26" s="20" t="s">
        <v>179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198</v>
      </c>
      <c r="C27" s="7"/>
      <c r="D27" s="8">
        <v>26</v>
      </c>
      <c r="E27" s="57">
        <v>2.6</v>
      </c>
      <c r="F27" s="7"/>
      <c r="G27" s="89"/>
      <c r="H27" s="89"/>
      <c r="I27" s="89"/>
      <c r="J27" s="89"/>
      <c r="K27" s="7"/>
      <c r="L27" s="8"/>
      <c r="M27" s="27"/>
      <c r="N27" s="22" t="s">
        <v>181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189</v>
      </c>
      <c r="X27" s="22" t="s">
        <v>190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199</v>
      </c>
      <c r="C28" s="7"/>
      <c r="D28" s="8">
        <v>70</v>
      </c>
      <c r="E28" s="57">
        <v>3.4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133" t="s">
        <v>116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5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1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42" t="s">
        <v>136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181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189</v>
      </c>
      <c r="X44" s="22" t="s">
        <v>190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46018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46009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149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75">
      <c r="A20" s="53" t="s">
        <v>155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165</v>
      </c>
      <c r="T20" s="1"/>
      <c r="V20" s="1"/>
    </row>
    <row r="21" spans="1:23" x14ac:dyDescent="0.75">
      <c r="A21" s="53" t="s">
        <v>156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166</v>
      </c>
      <c r="T21" s="1"/>
      <c r="V21" s="1"/>
      <c r="W21" s="2"/>
    </row>
    <row r="22" spans="1:23" x14ac:dyDescent="0.75">
      <c r="A22" s="53" t="s">
        <v>157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158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159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160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167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168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169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170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171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182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184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172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176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154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147</v>
      </c>
    </row>
    <row r="60" spans="1:20" x14ac:dyDescent="0.75">
      <c r="A60" s="53" t="s">
        <v>148</v>
      </c>
      <c r="O60" s="1"/>
      <c r="Q60" s="1"/>
      <c r="R60" s="3"/>
      <c r="S60" s="1"/>
    </row>
    <row r="61" spans="1:20" x14ac:dyDescent="0.75">
      <c r="A61" s="53" t="s">
        <v>149</v>
      </c>
      <c r="O61" s="1"/>
      <c r="Q61" s="1"/>
      <c r="R61" s="1"/>
      <c r="S61" s="1"/>
    </row>
    <row r="62" spans="1:20" x14ac:dyDescent="0.75">
      <c r="A62" s="53" t="s">
        <v>150</v>
      </c>
      <c r="O62" s="1"/>
      <c r="Q62" s="1"/>
      <c r="R62" s="1"/>
      <c r="S62" s="1"/>
    </row>
    <row r="63" spans="1:20" x14ac:dyDescent="0.75">
      <c r="A63" s="53" t="s">
        <v>151</v>
      </c>
      <c r="O63" s="1"/>
      <c r="Q63" s="1"/>
      <c r="R63" s="1"/>
      <c r="S63" s="1"/>
      <c r="T63" s="1"/>
    </row>
    <row r="64" spans="1:20" x14ac:dyDescent="0.75">
      <c r="A64" s="53" t="s">
        <v>152</v>
      </c>
      <c r="O64" s="1"/>
      <c r="Q64" s="1"/>
      <c r="R64" s="1"/>
      <c r="S64" s="1"/>
      <c r="T64" s="1"/>
    </row>
    <row r="65" spans="1:20" x14ac:dyDescent="0.75">
      <c r="A65" s="53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D453FDA-CF19-45BB-8483-D5A7C7A158FF}"/>
</file>

<file path=customXml/itemProps2.xml><?xml version="1.0" encoding="utf-8"?>
<ds:datastoreItem xmlns:ds="http://schemas.openxmlformats.org/officeDocument/2006/customXml" ds:itemID="{68F7E38C-BA41-4073-B60E-A742492DA405}"/>
</file>

<file path=customXml/itemProps3.xml><?xml version="1.0" encoding="utf-8"?>
<ds:datastoreItem xmlns:ds="http://schemas.openxmlformats.org/officeDocument/2006/customXml" ds:itemID="{45C9E648-1E74-45EC-BF97-E79955ECF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2025-11-27T00:21:26Z</cp:lastPrinted>
  <dcterms:created xsi:type="dcterms:W3CDTF">2019-11-27T23:28:06Z</dcterms:created>
  <dcterms:modified xsi:type="dcterms:W3CDTF">2026-01-05T04:43:56Z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