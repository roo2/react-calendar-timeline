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36F6EF9-8A9B-4F5B-8227-DF144887F6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<sst xmlns="http://schemas.openxmlformats.org/spreadsheetml/2006/main" count="307" uniqueCount="204">
  <si>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</si>
  <si>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</si>
  <si>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</si>
  <si>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</si>
  <si>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</si>
  <si>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</si>
  <si>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</si>
  <si>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</si>
  <si>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</si>
  <si>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</si>
  <si>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</si>
  <si>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</si>
  <si>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</si>
  <si>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</si>
  <si>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</si>
  <si>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</si>
  <si>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</si>
  <si>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</si>
  <si>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</si>
  <si>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</si>
  <si>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</si>
  <si>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</si>
  <si>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</si>
  <si>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</si>
  <si>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</si>
  <si>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</si>
  <si>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</si>
  <si>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</si>
  <si>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</si>
  <si>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</si>
  <si>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</si>
  <si>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</si>
  <si>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</si>
  <si>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</si>
  <si>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</si>
  <si>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</si>
  <si>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</si>
  <si>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</si>
  <si>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</si>
  <si>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</si>
  <si>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</si>
  <si>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</si>
  <si>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</si>
  <si>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</si>
  <si>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</si>
  <si>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</si>
  <si>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</si>
  <si>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</si>
  <si>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</si>
  <si>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</si>
  <si>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</si>
  <si>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</si>
  <si>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</si>
  <si>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</si>
  <si>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</si>
  <si>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</si>
  <si>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</si>
  <si>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</si>
  <si>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</si>
  <si>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</si>
  <si>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</si>
  <si>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</si>
  <si>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</si>
  <si>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</si>
  <si>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</si>
  <si>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</si>
  <si>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</si>
  <si>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</si>
  <si>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</si>
  <si>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</si>
  <si>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</si>
  <si>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</si>
  <si>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</si>
  <si>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</si>
  <si>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</si>
  <si>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</si>
  <si>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</si>
  <si>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</si>
  <si>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</si>
  <si>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</si>
  <si>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</si>
  <si>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</si>
  <si>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</si>
  <si>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</si>
  <si>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</si>
  <si>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</si>
  <si>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</si>
  <si>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</si>
  <si>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</si>
  <si>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</si>
  <si>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</si>
  <si>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</si>
  <si>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</si>
  <si>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</si>
  <si>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</si>
  <si>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</si>
  <si>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</si>
  <si>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</si>
  <si>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</si>
  <si>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</si>
  <si>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</si>
  <si>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</si>
  <si>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</si>
  <si>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</si>
  <si>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</si>
  <si>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</si>
  <si>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</si>
  <si>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</si>
  <si>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</si>
  <si>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</si>
  <si>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</si>
  <si>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</si>
  <si>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</si>
  <si>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</si>
  <si>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</si>
  <si>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</si>
  <si>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</si>
  <si>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</si>
  <si>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</si>
  <si>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</si>
  <si>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</si>
  <si>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</si>
  <si>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</si>
  <si>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</si>
  <si>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</si>
  <si>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</si>
  <si>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</si>
  <si>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</si>
  <si>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</si>
  <si>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</si>
  <si>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</si>
  <si>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</si>
  <si>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</si>
  <si>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</si>
  <si>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</si>
  <si>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</si>
  <si>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</si>
  <si>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</si>
  <si>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</si>
  <si>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</si>
  <si>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</si>
  <si>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</si>
  <si>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</si>
  <si>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</si>
  <si>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</si>
  <si>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</si>
  <si>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</si>
  <si>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</si>
  <si>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</si>
  <si>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</si>
  <si>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</si>
  <si>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</si>
  <si>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</si>
  <si>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</si>
  <si>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</si>
  <si>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</si>
  <si>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</si>
  <si>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</si>
  <si>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</si>
  <si>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</si>
  <si>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</si>
  <si>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</si>
  <si>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</si>
  <si>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</si>
  <si>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</si>
  <si>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</si>
  <si>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</si>
  <si>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</si>
  <si>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</si>
  <si>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</si>
  <si>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</si>
  <si>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</si>
  <si>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</si>
  <si>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</si>
  <si>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</si>
  <si>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</si>
  <si>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</si>
  <si>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</si>
  <si>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</si>
  <si>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</si>
  <si>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</si>
  <si>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</si>
  <si>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</si>
  <si>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</si>
  <si>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</si>
  <si>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</si>
  <si>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</si>
  <si>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</si>
  <si>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</si>
  <si>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</si>
  <si>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</si>
  <si>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</si>
  <si>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</si>
  <si>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</si>
  <si>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</si>
  <si>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RUN AT 190um</t>
  </si>
  <si>
    <t>CORROSION INHIBITOR</t>
  </si>
  <si>
    <t>UV</t>
  </si>
  <si>
    <t>"DAYWALK" LOGO</t>
  </si>
  <si>
    <t>DAYWALK</t>
  </si>
  <si>
    <t>12-BUC600/900/200R</t>
  </si>
  <si>
    <t>MUST HAVE UV AND CORROSION INHIBITOR</t>
  </si>
  <si>
    <t>PERF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</si>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</sst>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9" fillId="5" borderId="4" xfId="0" applyNumberFormat="1" applyFont="1" applyFill="1" applyBorder="1" applyAlignment="1" applyProtection="1">
      <alignment horizontal="center"/>
      <protection locked="0"/>
    </xf>
    <xf numFmtId="10" fontId="9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PBR600900200CIUVP</v>
      </c>
      <c r="C1" s="113"/>
      <c r="D1" s="114"/>
      <c r="E1" s="15" t="s">
        <v>56</v>
      </c>
      <c r="F1" s="94" t="s">
        <v>199</v>
      </c>
      <c r="G1" s="94"/>
      <c r="H1" s="95"/>
      <c r="I1" s="15" t="s">
        <v>180</v>
      </c>
      <c r="J1" s="130">
        <f ca="1">TODAY()</f>
        <v>46104</v>
      </c>
      <c r="K1" s="130"/>
      <c r="L1" s="131"/>
      <c r="M1" s="29"/>
      <c r="N1" s="15" t="s">
        <v>55</v>
      </c>
      <c r="O1" s="113" t="str">
        <f>B1</f>
        <v>PBR600900200CIUVP</v>
      </c>
      <c r="P1" s="113"/>
      <c r="Q1" s="114"/>
      <c r="R1" s="15" t="s">
        <v>56</v>
      </c>
      <c r="S1" s="113" t="str">
        <f>F1</f>
        <v>DAYWALK</v>
      </c>
      <c r="T1" s="113"/>
      <c r="U1" s="114"/>
      <c r="V1" s="15" t="s">
        <v>180</v>
      </c>
      <c r="W1" s="130">
        <f ca="1">J1</f>
        <v>46104</v>
      </c>
      <c r="X1" s="130"/>
      <c r="Y1" s="131"/>
    </row>
    <row r="2" spans="1:25" ht="20.100000000000001" customHeight="1" x14ac:dyDescent="0.25">
      <c r="A2" s="15" t="s">
        <v>99</v>
      </c>
      <c r="B2" s="113" t="str">
        <f>IF(U10="","",U10)</f>
        <v>12-BUC600/900/200R</v>
      </c>
      <c r="C2" s="113"/>
      <c r="D2" s="114"/>
      <c r="E2" s="15" t="s">
        <v>57</v>
      </c>
      <c r="F2" s="94">
        <v>951583</v>
      </c>
      <c r="G2" s="94"/>
      <c r="H2" s="95"/>
      <c r="I2" s="15" t="s">
        <v>58</v>
      </c>
      <c r="J2" s="93" t="s">
        <v>192</v>
      </c>
      <c r="K2" s="94"/>
      <c r="L2" s="95"/>
      <c r="M2" s="29"/>
      <c r="N2" s="15" t="s">
        <v>99</v>
      </c>
      <c r="O2" s="113" t="str">
        <f>IF(B2="","",B2)</f>
        <v>12-BUC600/900/200R</v>
      </c>
      <c r="P2" s="113"/>
      <c r="Q2" s="114"/>
      <c r="R2" s="15" t="s">
        <v>57</v>
      </c>
      <c r="S2" s="113">
        <f>IF(F2="","",F2)</f>
        <v>951583</v>
      </c>
      <c r="T2" s="113"/>
      <c r="U2" s="114"/>
      <c r="V2" s="15" t="s">
        <v>58</v>
      </c>
      <c r="W2" s="132" t="str">
        <f>J2</f>
        <v>ASAP</v>
      </c>
      <c r="X2" s="113"/>
      <c r="Y2" s="114"/>
    </row>
    <row r="3" spans="1:25" ht="20.100000000000001" customHeight="1" x14ac:dyDescent="0.25">
      <c r="A3" s="125" t="s">
        <v>201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29"/>
      <c r="N3" s="125" t="str">
        <f>A3</f>
        <v>MUST HAVE UV AND CORROSION INHIBITOR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29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40</v>
      </c>
      <c r="P7" s="95"/>
      <c r="Q7" s="15" t="str">
        <f>IF(ISNUMBER(SEARCH("roll",O8,1)),"Per Roll","Per Carton")</f>
        <v>Per Roll</v>
      </c>
      <c r="R7" s="94">
        <v>50</v>
      </c>
      <c r="S7" s="95"/>
      <c r="T7" s="15" t="str">
        <f>IF(ISNUMBER(SEARCH("bag",O8,1)),"Total Bags","Total Sheets")</f>
        <v>Total Bags</v>
      </c>
      <c r="U7" s="113">
        <f>R7*O7</f>
        <v>2000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600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200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00000000000001" customHeight="1" x14ac:dyDescent="0.3">
      <c r="A9" s="20" t="s">
        <v>47</v>
      </c>
      <c r="B9" s="111" t="s">
        <v>194</v>
      </c>
      <c r="C9" s="112"/>
      <c r="D9" s="137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195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600</v>
      </c>
      <c r="S9" s="22" t="s">
        <v>77</v>
      </c>
      <c r="T9" s="30">
        <v>900</v>
      </c>
      <c r="U9" s="22" t="s">
        <v>77</v>
      </c>
      <c r="V9" s="30">
        <v>200</v>
      </c>
      <c r="W9" s="21"/>
      <c r="X9" s="100"/>
      <c r="Y9" s="101"/>
    </row>
    <row r="10" spans="1:25" ht="20.100000000000001" customHeight="1" x14ac:dyDescent="0.25">
      <c r="A10" s="15" t="s">
        <v>50</v>
      </c>
      <c r="B10" s="94">
        <v>25</v>
      </c>
      <c r="C10" s="95"/>
      <c r="D10" s="48" t="s">
        <v>133</v>
      </c>
      <c r="E10" s="115">
        <f>IF(ISNUMBER(SEARCH("sheet",O8,1)),((R9*T9*H8/540000)*U7/2000*1.3),((R9*T9*H8/540000)*U7/1000*1.08))</f>
        <v>432</v>
      </c>
      <c r="F10" s="116"/>
      <c r="G10" s="15" t="s">
        <v>52</v>
      </c>
      <c r="H10" s="119">
        <f>IF(ISNUMBER(SEARCH("sheet",O8,1)),(U7*T9/2000*1.08),(U7*T9/1000*1.08))</f>
        <v>1944.0000000000002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Yes</v>
      </c>
      <c r="S10" s="102"/>
      <c r="T10" s="17" t="s">
        <v>99</v>
      </c>
      <c r="U10" s="96" t="s">
        <v>200</v>
      </c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17.28</v>
      </c>
      <c r="F11" s="118"/>
      <c r="G11" s="15" t="s">
        <v>14</v>
      </c>
      <c r="H11" s="117">
        <f>H10/B10</f>
        <v>77.760000000000005</v>
      </c>
      <c r="I11" s="118"/>
      <c r="J11" s="15" t="s">
        <v>49</v>
      </c>
      <c r="K11" s="94" t="s">
        <v>64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>P</v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5" t="s">
        <v>67</v>
      </c>
      <c r="B13" s="94" t="s">
        <v>69</v>
      </c>
      <c r="C13" s="94"/>
      <c r="D13" s="95"/>
      <c r="E13" s="23" t="s">
        <v>60</v>
      </c>
      <c r="F13" s="94" t="s">
        <v>65</v>
      </c>
      <c r="G13" s="94"/>
      <c r="H13" s="95"/>
      <c r="I13" s="15" t="s">
        <v>61</v>
      </c>
      <c r="J13" s="94" t="s">
        <v>176</v>
      </c>
      <c r="K13" s="94"/>
      <c r="L13" s="95"/>
      <c r="M13" s="29"/>
      <c r="N13" s="15" t="s">
        <v>71</v>
      </c>
      <c r="O13" s="31" t="s">
        <v>56</v>
      </c>
      <c r="P13" s="15" t="s">
        <v>72</v>
      </c>
      <c r="Q13" s="24">
        <f>O7</f>
        <v>40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140" t="s">
        <v>198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1"/>
      <c r="M14" s="29"/>
      <c r="N14" s="142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30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22</v>
      </c>
      <c r="V17" s="95"/>
      <c r="W17" s="15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196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1"/>
      <c r="E23" s="144"/>
      <c r="F23" s="145"/>
      <c r="G23" s="33" t="s">
        <v>86</v>
      </c>
      <c r="H23" s="34"/>
      <c r="I23" s="62"/>
      <c r="J23" s="63"/>
      <c r="K23" s="62"/>
      <c r="L23" s="63"/>
      <c r="M23" s="29"/>
      <c r="N23" s="142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 t="s">
        <v>197</v>
      </c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1"/>
      <c r="E24" s="144"/>
      <c r="F24" s="145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 t="s">
        <v>202</v>
      </c>
      <c r="P25" s="35"/>
      <c r="Q25" s="9">
        <v>21</v>
      </c>
      <c r="R25" s="9">
        <v>9</v>
      </c>
      <c r="S25" s="9"/>
      <c r="T25" s="9">
        <v>10</v>
      </c>
      <c r="U25" s="9"/>
      <c r="V25" s="9">
        <v>3</v>
      </c>
      <c r="W25" s="9">
        <v>220</v>
      </c>
      <c r="X25" s="9">
        <v>220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3" t="s">
        <v>131</v>
      </c>
      <c r="H26" s="143"/>
      <c r="I26" s="143" t="s">
        <v>130</v>
      </c>
      <c r="J26" s="143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 t="s">
        <v>203</v>
      </c>
      <c r="C27" s="7"/>
      <c r="D27" s="9">
        <v>32.4</v>
      </c>
      <c r="E27" s="60">
        <v>2.4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46135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46125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7A76586-25D5-40A6-BC49-ECCD539B0752}"/>
</file>

<file path=customXml/itemProps2.xml><?xml version="1.0" encoding="utf-8"?>
<ds:datastoreItem xmlns:ds="http://schemas.openxmlformats.org/officeDocument/2006/customXml" ds:itemID="{8F874527-71E4-4446-834A-748D7BC4CA60}"/>
</file>

<file path=customXml/itemProps3.xml><?xml version="1.0" encoding="utf-8"?>
<ds:datastoreItem xmlns:ds="http://schemas.openxmlformats.org/officeDocument/2006/customXml" ds:itemID="{3C642F65-1B79-4E01-B04D-5F1BD030B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2025-10-02T04:13:44Z</cp:lastPrinted>
  <dcterms:created xsi:type="dcterms:W3CDTF">2019-11-27T23:28:06Z</dcterms:created>
  <dcterms:modified xsi:type="dcterms:W3CDTF">2026-03-26T03:57:27Z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