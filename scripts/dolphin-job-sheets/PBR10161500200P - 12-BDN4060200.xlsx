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34ADA1E-92F9-4D08-B27B-8E91B12B2E40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<sst xmlns="http://schemas.openxmlformats.org/spreadsheetml/2006/main" count="307" uniqueCount="204">
  <si>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</si>
  <si>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</si>
  <si>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</si>
  <si>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</si>
  <si>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</si>
  <si>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</si>
  <si>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</si>
  <si>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</si>
  <si>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</si>
  <si>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</si>
  <si>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</si>
  <si>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</si>
  <si>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</si>
  <si>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</si>
  <si>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</si>
  <si>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</si>
  <si>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</si>
  <si>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</si>
  <si>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</si>
  <si>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</si>
  <si>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</si>
  <si>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</si>
  <si>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</si>
  <si>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</si>
  <si>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</si>
  <si>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</si>
  <si>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</si>
  <si>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</si>
  <si>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</si>
  <si>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</si>
  <si>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</si>
  <si>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</si>
  <si>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</si>
  <si>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</si>
  <si>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</si>
  <si>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</si>
  <si>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</si>
  <si>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</si>
  <si>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</si>
  <si>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</si>
  <si>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</si>
  <si>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</si>
  <si>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</si>
  <si>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</si>
  <si>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</si>
  <si>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</si>
  <si>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</si>
  <si>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</si>
  <si>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</si>
  <si>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</si>
  <si>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</si>
  <si>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</si>
  <si>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</si>
  <si>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</si>
  <si>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</si>
  <si>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</si>
  <si>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</si>
  <si>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</si>
  <si>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</si>
  <si>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</si>
  <si>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</si>
  <si>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</si>
  <si>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</si>
  <si>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</si>
  <si>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</si>
  <si>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</si>
  <si>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</si>
  <si>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</si>
  <si>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</si>
  <si>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</si>
  <si>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</si>
  <si>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</si>
  <si>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</si>
  <si>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</si>
  <si>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</si>
  <si>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</si>
  <si>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</si>
  <si>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</si>
  <si>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</si>
  <si>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</si>
  <si>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</si>
  <si>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</si>
  <si>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</si>
  <si>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</si>
  <si>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</si>
  <si>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</si>
  <si>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</si>
  <si>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</si>
  <si>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</si>
  <si>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</si>
  <si>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</si>
  <si>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</si>
  <si>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</si>
  <si>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</si>
  <si>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</si>
  <si>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</si>
  <si>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</si>
  <si>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</si>
  <si>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</si>
  <si>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</si>
  <si>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</si>
  <si>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</si>
  <si>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</si>
  <si>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</si>
  <si>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</si>
  <si>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</si>
  <si>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</si>
  <si>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</si>
  <si>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</si>
  <si>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</si>
  <si>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</si>
  <si>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</si>
  <si>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</si>
  <si>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</si>
  <si>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</si>
  <si>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</si>
  <si>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</si>
  <si>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</si>
  <si>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</si>
  <si>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</si>
  <si>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</si>
  <si>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</si>
  <si>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</si>
  <si>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</si>
  <si>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</si>
  <si>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</si>
  <si>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</si>
  <si>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</si>
  <si>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</si>
  <si>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</si>
  <si>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</si>
  <si>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</si>
  <si>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</si>
  <si>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</si>
  <si>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</si>
  <si>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</si>
  <si>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</si>
  <si>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</si>
  <si>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</si>
  <si>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</si>
  <si>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</si>
  <si>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</si>
  <si>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</si>
  <si>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</si>
  <si>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</si>
  <si>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</si>
  <si>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</si>
  <si>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</si>
  <si>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</si>
  <si>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</si>
  <si>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</si>
  <si>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</si>
  <si>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</si>
  <si>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</si>
  <si>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</si>
  <si>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</si>
  <si>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</si>
  <si>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</si>
  <si>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</si>
  <si>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</si>
  <si>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</si>
  <si>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</si>
  <si>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</si>
  <si>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</si>
  <si>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</si>
  <si>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</si>
  <si>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</si>
  <si>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</si>
  <si>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</si>
  <si>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</si>
  <si>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</si>
  <si>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</si>
  <si>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</si>
  <si>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</si>
  <si>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</si>
  <si>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</si>
  <si>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</si>
  <si>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</si>
  <si>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</si>
  <si>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</si>
  <si>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</si>
  <si>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</si>
  <si>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</si>
  <si>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</si>
  <si>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</si>
  <si>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</si>
  <si>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</si>
  <si>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</si>
  <si>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</si>
  <si>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</si>
  <si>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</si>
  <si>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</si>
  <si>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</si>
  <si>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</si>
  <si>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DAYWALK LOGO</t>
  </si>
  <si>
    <t xml:space="preserve"> +/- 10mm</t>
  </si>
  <si>
    <t>RUN AT 190um</t>
  </si>
  <si>
    <t>12-BDN4060/200</t>
  </si>
  <si>
    <t>#65</t>
  </si>
  <si>
    <t>PERF</t>
  </si>
  <si>
    <r>
      <t xml:space="preserve">PRINT &amp; PERF INLINE - </t>
    </r>
    <r>
      <rPr>
        <b/>
        <u/>
        <sz val="22"/>
        <color rgb="FFFF0000"/>
        <rFont val="Calibri"/>
        <family val="2"/>
        <scheme val="minor"/>
      </rPr>
      <t>ONLY USE DAYWALK PALLET</t>
    </r>
  </si>
  <si>
    <t>DAYWALK</t>
  </si>
  <si>
    <t>UV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</si>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</sst>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B13" sqref="B13:D13"/>
    </sheetView>
  </sheetViews>
  <sheetFormatPr defaultRowHeight="14.75" x14ac:dyDescent="0.75"/>
  <sheetData>
    <row r="1" spans="1:25" ht="20.149999999999999" customHeight="1" x14ac:dyDescent="0.8">
      <c r="A1" s="15" t="s">
        <v>55</v>
      </c>
      <c r="B1" s="113" t="str">
        <f>O9&amp;R9&amp;IF(X8="G","G","")&amp;IF(O8="Centrefold Roll","("&amp;E8&amp;")","")&amp;T9&amp;V9&amp;C22&amp;C23&amp;C24&amp;O11&amp;R11</f>
        <v>PBR10161500200UV0P</v>
      </c>
      <c r="C1" s="113"/>
      <c r="D1" s="114"/>
      <c r="E1" s="15" t="s">
        <v>56</v>
      </c>
      <c r="F1" s="94" t="s">
        <v>201</v>
      </c>
      <c r="G1" s="94"/>
      <c r="H1" s="95"/>
      <c r="I1" s="15" t="s">
        <v>180</v>
      </c>
      <c r="J1" s="134">
        <f ca="1">TODAY()</f>
        <v>45357</v>
      </c>
      <c r="K1" s="134"/>
      <c r="L1" s="135"/>
      <c r="M1" s="29"/>
      <c r="N1" s="15" t="s">
        <v>55</v>
      </c>
      <c r="O1" s="113" t="str">
        <f>B1</f>
        <v>PBR10161500200UV0P</v>
      </c>
      <c r="P1" s="113"/>
      <c r="Q1" s="114"/>
      <c r="R1" s="15" t="s">
        <v>56</v>
      </c>
      <c r="S1" s="113" t="str">
        <f>F1</f>
        <v>DAYWALK</v>
      </c>
      <c r="T1" s="113"/>
      <c r="U1" s="114"/>
      <c r="V1" s="15" t="s">
        <v>180</v>
      </c>
      <c r="W1" s="134">
        <f ca="1">J1</f>
        <v>45357</v>
      </c>
      <c r="X1" s="134"/>
      <c r="Y1" s="135"/>
    </row>
    <row r="2" spans="1:25" ht="20.149999999999999" customHeight="1" x14ac:dyDescent="0.8">
      <c r="A2" s="15" t="s">
        <v>99</v>
      </c>
      <c r="B2" s="113" t="str">
        <f>IF(U10="","",U10)</f>
        <v>12-BDN4060/200</v>
      </c>
      <c r="C2" s="113"/>
      <c r="D2" s="114"/>
      <c r="E2" s="15" t="s">
        <v>57</v>
      </c>
      <c r="F2" s="94">
        <v>947467</v>
      </c>
      <c r="G2" s="94"/>
      <c r="H2" s="95"/>
      <c r="I2" s="15" t="s">
        <v>58</v>
      </c>
      <c r="J2" s="93" t="s">
        <v>192</v>
      </c>
      <c r="K2" s="94"/>
      <c r="L2" s="95"/>
      <c r="M2" s="29"/>
      <c r="N2" s="15" t="s">
        <v>99</v>
      </c>
      <c r="O2" s="113" t="str">
        <f>IF(B2="","",B2)</f>
        <v>12-BDN4060/200</v>
      </c>
      <c r="P2" s="113"/>
      <c r="Q2" s="114"/>
      <c r="R2" s="15" t="s">
        <v>57</v>
      </c>
      <c r="S2" s="113">
        <f>IF(F2="","",F2)</f>
        <v>947467</v>
      </c>
      <c r="T2" s="113"/>
      <c r="U2" s="114"/>
      <c r="V2" s="15" t="s">
        <v>58</v>
      </c>
      <c r="W2" s="136" t="str">
        <f>J2</f>
        <v>ASAP</v>
      </c>
      <c r="X2" s="113"/>
      <c r="Y2" s="114"/>
    </row>
    <row r="3" spans="1:25" ht="20.149999999999999" customHeight="1" x14ac:dyDescent="0.75">
      <c r="A3" s="125" t="s">
        <v>200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29"/>
      <c r="N3" s="125" t="str">
        <f>A3</f>
        <v>PRINT &amp; PERF INLINE - ONLY USE DAYWALK PALLET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5" ht="20.149999999999999" customHeight="1" x14ac:dyDescent="0.7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29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5" ht="20.149999999999999" customHeight="1" x14ac:dyDescent="0.7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29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5" ht="20.149999999999999" customHeight="1" x14ac:dyDescent="0.7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29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49999999999999" customHeight="1" x14ac:dyDescent="0.9">
      <c r="A7" s="15" t="s">
        <v>48</v>
      </c>
      <c r="B7" s="123" t="s">
        <v>162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29"/>
      <c r="N7" s="15" t="str">
        <f>IF(ISNUMBER(SEARCH("roll",O8,1)),"No. Rolls","No. Cartons")</f>
        <v>No. Rolls</v>
      </c>
      <c r="O7" s="94">
        <v>20</v>
      </c>
      <c r="P7" s="95"/>
      <c r="Q7" s="15" t="str">
        <f>IF(ISNUMBER(SEARCH("roll",O8,1)),"Per Roll","Per Carton")</f>
        <v>Per Roll</v>
      </c>
      <c r="R7" s="94">
        <v>30</v>
      </c>
      <c r="S7" s="95"/>
      <c r="T7" s="15" t="str">
        <f>IF(ISNUMBER(SEARCH("bag",O8,1)),"Total Bags","Total Sheets")</f>
        <v>Total Bags</v>
      </c>
      <c r="U7" s="113">
        <f>R7*O7</f>
        <v>600</v>
      </c>
      <c r="V7" s="114"/>
      <c r="W7" s="15" t="s">
        <v>101</v>
      </c>
      <c r="X7" s="94" t="s">
        <v>30</v>
      </c>
      <c r="Y7" s="95"/>
    </row>
    <row r="8" spans="1:25" ht="20.149999999999999" customHeight="1" x14ac:dyDescent="0.8">
      <c r="A8" s="16" t="s">
        <v>15</v>
      </c>
      <c r="B8" s="103">
        <f>R9</f>
        <v>1016</v>
      </c>
      <c r="C8" s="106"/>
      <c r="D8" s="19" t="str">
        <f>IF(ISNUMBER(SEARCH("bag",#REF!,1)),"Gusset","Centrefold")</f>
        <v>Centrefold</v>
      </c>
      <c r="E8" s="103" t="str">
        <f>IF(O8="Centrefold Roll",B8*2,IF(X9="","None",X9))</f>
        <v>None</v>
      </c>
      <c r="F8" s="106"/>
      <c r="G8" s="16" t="s">
        <v>51</v>
      </c>
      <c r="H8" s="103">
        <f>(IF(V9&lt;30,"30",V9))</f>
        <v>200</v>
      </c>
      <c r="I8" s="106"/>
      <c r="J8" s="15" t="s">
        <v>53</v>
      </c>
      <c r="K8" s="113" t="str">
        <f>IF(X8="None","Layflat Tube",IF(X8="","Layflat Tube",IF(X8="CF","Layflat Tube",IF(X8="G","Gusset Tube",IF(X9="","Layflat Tube",)))))</f>
        <v>Layflat Tube</v>
      </c>
      <c r="L8" s="114"/>
      <c r="M8" s="29"/>
      <c r="N8" s="17" t="s">
        <v>53</v>
      </c>
      <c r="O8" s="104" t="s">
        <v>164</v>
      </c>
      <c r="P8" s="105"/>
      <c r="Q8" s="17" t="s">
        <v>189</v>
      </c>
      <c r="R8" s="18" t="s">
        <v>15</v>
      </c>
      <c r="S8" s="18"/>
      <c r="T8" s="18" t="s">
        <v>78</v>
      </c>
      <c r="U8" s="18"/>
      <c r="V8" s="18" t="s">
        <v>79</v>
      </c>
      <c r="W8" s="19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None</v>
      </c>
      <c r="Y8" s="137"/>
    </row>
    <row r="9" spans="1:25" ht="20.149999999999999" customHeight="1" x14ac:dyDescent="0.9">
      <c r="A9" s="20" t="s">
        <v>47</v>
      </c>
      <c r="B9" s="111" t="s">
        <v>195</v>
      </c>
      <c r="C9" s="112"/>
      <c r="D9" s="141" t="str">
        <f>IF(K10="Middle","RUN 2 UP",IF(AND(O8="Centrefold Roll",B8=380),"RUN 2 UP",""))</f>
        <v/>
      </c>
      <c r="E9" s="123"/>
      <c r="F9" s="124"/>
      <c r="G9" s="20" t="s">
        <v>47</v>
      </c>
      <c r="H9" s="111" t="s">
        <v>196</v>
      </c>
      <c r="I9" s="112"/>
      <c r="J9" s="15" t="s">
        <v>54</v>
      </c>
      <c r="K9" s="94" t="s">
        <v>33</v>
      </c>
      <c r="L9" s="95"/>
      <c r="M9" s="29"/>
      <c r="N9" s="21"/>
      <c r="O9" s="121" t="str">
        <f>IF(O8="Poly Bag","PB",IF(O8="Poly Bag Roll","PBR",IF(O8="Centrefold Roll","CFR",IF(O8="Sheet","S",IF(O8="Sheet Roll","SR")))))</f>
        <v>PBR</v>
      </c>
      <c r="P9" s="122"/>
      <c r="Q9" s="21"/>
      <c r="R9" s="30">
        <v>1016</v>
      </c>
      <c r="S9" s="22" t="s">
        <v>77</v>
      </c>
      <c r="T9" s="30">
        <v>1500</v>
      </c>
      <c r="U9" s="22" t="s">
        <v>77</v>
      </c>
      <c r="V9" s="30">
        <v>200</v>
      </c>
      <c r="W9" s="21"/>
      <c r="X9" s="100"/>
      <c r="Y9" s="101"/>
    </row>
    <row r="10" spans="1:25" ht="20.149999999999999" customHeight="1" x14ac:dyDescent="0.8">
      <c r="A10" s="15" t="s">
        <v>50</v>
      </c>
      <c r="B10" s="94">
        <v>20</v>
      </c>
      <c r="C10" s="95"/>
      <c r="D10" s="48" t="s">
        <v>133</v>
      </c>
      <c r="E10" s="115">
        <f>IF(ISNUMBER(SEARCH("sheet",O8,1)),((R9*T9*H8/540000)*U7/2000*1.3),((R9*T9*H8/540000)*U7/1000*1.08))</f>
        <v>365.76000000000005</v>
      </c>
      <c r="F10" s="116"/>
      <c r="G10" s="15" t="s">
        <v>52</v>
      </c>
      <c r="H10" s="119">
        <f>IF(ISNUMBER(SEARCH("sheet",O8,1)),(U7*T9/2000*1.08),(U7*T9/1000*1.08))</f>
        <v>972.00000000000011</v>
      </c>
      <c r="I10" s="120"/>
      <c r="J10" s="15" t="s">
        <v>40</v>
      </c>
      <c r="K10" s="94" t="s">
        <v>43</v>
      </c>
      <c r="L10" s="95"/>
      <c r="M10" s="29"/>
      <c r="N10" s="17" t="s">
        <v>140</v>
      </c>
      <c r="O10" s="104" t="s">
        <v>43</v>
      </c>
      <c r="P10" s="105"/>
      <c r="Q10" s="17" t="s">
        <v>49</v>
      </c>
      <c r="R10" s="102" t="str">
        <f>IF(K11="NONE","None",IF(K11="INLINE","Yes",IF(K11="OUT OF LINE","Yes")))</f>
        <v>Yes</v>
      </c>
      <c r="S10" s="102"/>
      <c r="T10" s="17" t="s">
        <v>99</v>
      </c>
      <c r="U10" s="96" t="s">
        <v>197</v>
      </c>
      <c r="V10" s="96"/>
      <c r="W10" s="96"/>
      <c r="X10" s="96"/>
      <c r="Y10" s="97"/>
    </row>
    <row r="11" spans="1:25" ht="20.149999999999999" customHeight="1" x14ac:dyDescent="0.8">
      <c r="A11" s="15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5" t="s">
        <v>134</v>
      </c>
      <c r="E11" s="117">
        <f>E10/B10</f>
        <v>18.288000000000004</v>
      </c>
      <c r="F11" s="118"/>
      <c r="G11" s="15" t="s">
        <v>14</v>
      </c>
      <c r="H11" s="117">
        <f>H10/B10</f>
        <v>48.600000000000009</v>
      </c>
      <c r="I11" s="118"/>
      <c r="J11" s="15" t="s">
        <v>49</v>
      </c>
      <c r="K11" s="94" t="s">
        <v>64</v>
      </c>
      <c r="L11" s="95"/>
      <c r="M11" s="29"/>
      <c r="N11" s="16"/>
      <c r="O11" s="103" t="str">
        <f>IF(O10="NONE","","V")</f>
        <v/>
      </c>
      <c r="P11" s="106"/>
      <c r="Q11" s="16"/>
      <c r="R11" s="103" t="str">
        <f>IF(R10="None","","P")</f>
        <v>P</v>
      </c>
      <c r="S11" s="103"/>
      <c r="T11" s="16"/>
      <c r="U11" s="98"/>
      <c r="V11" s="98"/>
      <c r="W11" s="98"/>
      <c r="X11" s="98"/>
      <c r="Y11" s="99"/>
    </row>
    <row r="12" spans="1:25" ht="20.149999999999999" customHeight="1" x14ac:dyDescent="0.7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29"/>
      <c r="N12" s="138" t="s">
        <v>70</v>
      </c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40"/>
    </row>
    <row r="13" spans="1:25" ht="20.149999999999999" customHeight="1" x14ac:dyDescent="0.8">
      <c r="A13" s="15" t="s">
        <v>67</v>
      </c>
      <c r="B13" s="94" t="s">
        <v>69</v>
      </c>
      <c r="C13" s="94"/>
      <c r="D13" s="95"/>
      <c r="E13" s="23" t="s">
        <v>60</v>
      </c>
      <c r="F13" s="94" t="s">
        <v>65</v>
      </c>
      <c r="G13" s="94"/>
      <c r="H13" s="95"/>
      <c r="I13" s="15" t="s">
        <v>61</v>
      </c>
      <c r="J13" s="94" t="s">
        <v>176</v>
      </c>
      <c r="K13" s="94"/>
      <c r="L13" s="95"/>
      <c r="M13" s="29"/>
      <c r="N13" s="15" t="s">
        <v>71</v>
      </c>
      <c r="O13" s="31" t="s">
        <v>56</v>
      </c>
      <c r="P13" s="15" t="s">
        <v>72</v>
      </c>
      <c r="Q13" s="24">
        <f>O7</f>
        <v>20</v>
      </c>
      <c r="R13" s="15" t="s">
        <v>73</v>
      </c>
      <c r="S13" s="31" t="s">
        <v>22</v>
      </c>
      <c r="T13" s="15" t="s">
        <v>177</v>
      </c>
      <c r="U13" s="24" t="str">
        <f>IF(S13="No","",(ROUNDUP(U7/W13/24,0)))</f>
        <v/>
      </c>
      <c r="V13" s="15" t="s">
        <v>74</v>
      </c>
      <c r="W13" s="31"/>
      <c r="X13" s="15" t="s">
        <v>75</v>
      </c>
      <c r="Y13" s="32"/>
    </row>
    <row r="14" spans="1:25" ht="20.149999999999999" customHeight="1" x14ac:dyDescent="0.9">
      <c r="A14" s="16" t="s">
        <v>59</v>
      </c>
      <c r="B14" s="123" t="s">
        <v>194</v>
      </c>
      <c r="C14" s="123"/>
      <c r="D14" s="123"/>
      <c r="E14" s="123"/>
      <c r="F14" s="123"/>
      <c r="G14" s="123"/>
      <c r="H14" s="123"/>
      <c r="I14" s="123"/>
      <c r="J14" s="123"/>
      <c r="K14" s="123"/>
      <c r="L14" s="124"/>
      <c r="M14" s="29"/>
      <c r="N14" s="144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49999999999999" customHeight="1" x14ac:dyDescent="0.7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29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49999999999999" customHeight="1" x14ac:dyDescent="0.8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29"/>
      <c r="N16" s="15" t="s">
        <v>27</v>
      </c>
      <c r="O16" s="94"/>
      <c r="P16" s="95"/>
      <c r="Q16" s="15" t="s">
        <v>104</v>
      </c>
      <c r="R16" s="94" t="s">
        <v>22</v>
      </c>
      <c r="S16" s="95"/>
      <c r="T16" s="15" t="s">
        <v>102</v>
      </c>
      <c r="U16" s="94" t="s">
        <v>30</v>
      </c>
      <c r="V16" s="95"/>
      <c r="W16" s="15" t="str">
        <f>IF(ISNUMBER(SEARCH("bag",O8,1)),"Total Bags","Total Sheets")</f>
        <v>Total Bags</v>
      </c>
      <c r="X16" s="142"/>
      <c r="Y16" s="143"/>
    </row>
    <row r="17" spans="1:25" ht="20.149999999999999" customHeight="1" x14ac:dyDescent="0.8">
      <c r="A17" s="78" t="s">
        <v>5</v>
      </c>
      <c r="B17" s="78"/>
      <c r="C17" s="80" t="s">
        <v>146</v>
      </c>
      <c r="D17" s="81"/>
      <c r="E17" s="85"/>
      <c r="F17" s="86"/>
      <c r="G17" s="33" t="s">
        <v>80</v>
      </c>
      <c r="H17" s="34"/>
      <c r="I17" s="62"/>
      <c r="J17" s="63"/>
      <c r="K17" s="62"/>
      <c r="L17" s="63"/>
      <c r="M17" s="29"/>
      <c r="N17" s="15" t="s">
        <v>25</v>
      </c>
      <c r="O17" s="94"/>
      <c r="P17" s="95"/>
      <c r="Q17" s="15" t="s">
        <v>103</v>
      </c>
      <c r="R17" s="94" t="s">
        <v>30</v>
      </c>
      <c r="S17" s="95"/>
      <c r="T17" s="25" t="str">
        <f>IF(ISNUMBER(SEARCH("roll",O8,1)),"Part Rolls","Part Ctns")</f>
        <v>Part Rolls</v>
      </c>
      <c r="U17" s="94" t="s">
        <v>30</v>
      </c>
      <c r="V17" s="95"/>
      <c r="W17" s="15" t="str">
        <f>IF(ISNUMBER(SEARCH("roll",O8,1)),"Total Rolls","Total Ctns")</f>
        <v>Total Rolls</v>
      </c>
      <c r="X17" s="142"/>
      <c r="Y17" s="143"/>
    </row>
    <row r="18" spans="1:25" ht="20.149999999999999" customHeight="1" x14ac:dyDescent="0.8">
      <c r="A18" s="78" t="s">
        <v>6</v>
      </c>
      <c r="B18" s="78"/>
      <c r="C18" s="80" t="s">
        <v>145</v>
      </c>
      <c r="D18" s="81"/>
      <c r="E18" s="85"/>
      <c r="F18" s="86"/>
      <c r="G18" s="33" t="s">
        <v>81</v>
      </c>
      <c r="H18" s="34"/>
      <c r="I18" s="62"/>
      <c r="J18" s="63"/>
      <c r="K18" s="62"/>
      <c r="L18" s="63"/>
      <c r="M18" s="29"/>
      <c r="N18" s="15" t="s">
        <v>100</v>
      </c>
      <c r="O18" s="94"/>
      <c r="P18" s="95"/>
      <c r="Q18" s="15" t="s">
        <v>105</v>
      </c>
      <c r="R18" s="94" t="s">
        <v>30</v>
      </c>
      <c r="S18" s="95"/>
      <c r="T18" s="1" t="s">
        <v>26</v>
      </c>
      <c r="U18" s="94" t="s">
        <v>35</v>
      </c>
      <c r="V18" s="95"/>
      <c r="W18" s="15" t="s">
        <v>108</v>
      </c>
      <c r="X18" s="142"/>
      <c r="Y18" s="143"/>
    </row>
    <row r="19" spans="1:25" ht="20.149999999999999" customHeight="1" x14ac:dyDescent="0.75">
      <c r="A19" s="78" t="s">
        <v>7</v>
      </c>
      <c r="B19" s="78"/>
      <c r="C19" s="80" t="s">
        <v>144</v>
      </c>
      <c r="D19" s="81"/>
      <c r="E19" s="85"/>
      <c r="F19" s="86"/>
      <c r="G19" s="33" t="s">
        <v>82</v>
      </c>
      <c r="H19" s="34"/>
      <c r="I19" s="62"/>
      <c r="J19" s="63"/>
      <c r="K19" s="62"/>
      <c r="L19" s="63"/>
      <c r="M19" s="29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49999999999999" customHeight="1" x14ac:dyDescent="0.75">
      <c r="A20" s="78" t="s">
        <v>8</v>
      </c>
      <c r="B20" s="78"/>
      <c r="C20" s="80" t="s">
        <v>143</v>
      </c>
      <c r="D20" s="81"/>
      <c r="E20" s="85"/>
      <c r="F20" s="86"/>
      <c r="G20" s="33" t="s">
        <v>83</v>
      </c>
      <c r="H20" s="34"/>
      <c r="I20" s="62"/>
      <c r="J20" s="63"/>
      <c r="K20" s="62"/>
      <c r="L20" s="63"/>
      <c r="M20" s="29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49999999999999" customHeight="1" x14ac:dyDescent="0.75">
      <c r="A21" s="78" t="s">
        <v>9</v>
      </c>
      <c r="B21" s="78"/>
      <c r="C21" s="80" t="s">
        <v>142</v>
      </c>
      <c r="D21" s="81"/>
      <c r="E21" s="85"/>
      <c r="F21" s="86"/>
      <c r="G21" s="33" t="s">
        <v>84</v>
      </c>
      <c r="H21" s="34"/>
      <c r="I21" s="62"/>
      <c r="J21" s="63"/>
      <c r="K21" s="62"/>
      <c r="L21" s="63"/>
      <c r="M21" s="29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49999999999999" customHeight="1" x14ac:dyDescent="0.75">
      <c r="A22" s="78" t="str">
        <f>(IF(B7="NATURAL","",B7))</f>
        <v/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1"/>
      <c r="E22" s="85"/>
      <c r="F22" s="86"/>
      <c r="G22" s="33" t="s">
        <v>85</v>
      </c>
      <c r="H22" s="34"/>
      <c r="I22" s="62"/>
      <c r="J22" s="63"/>
      <c r="K22" s="62"/>
      <c r="L22" s="63"/>
      <c r="M22" s="29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49999999999999" customHeight="1" x14ac:dyDescent="0.75">
      <c r="A23" s="82" t="s">
        <v>202</v>
      </c>
      <c r="B23" s="82"/>
      <c r="C23" s="8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81"/>
      <c r="E23" s="85"/>
      <c r="F23" s="86"/>
      <c r="G23" s="33" t="s">
        <v>86</v>
      </c>
      <c r="H23" s="34"/>
      <c r="I23" s="62"/>
      <c r="J23" s="63"/>
      <c r="K23" s="62"/>
      <c r="L23" s="63"/>
      <c r="M23" s="29"/>
      <c r="N23" s="144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49999999999999" customHeight="1" x14ac:dyDescent="0.75">
      <c r="A24" s="83" t="s">
        <v>203</v>
      </c>
      <c r="B24" s="84"/>
      <c r="C24" s="80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81"/>
      <c r="E24" s="85"/>
      <c r="F24" s="86"/>
      <c r="G24" s="33" t="s">
        <v>87</v>
      </c>
      <c r="H24" s="34"/>
      <c r="I24" s="62"/>
      <c r="J24" s="63"/>
      <c r="K24" s="62"/>
      <c r="L24" s="63"/>
      <c r="M24" s="29"/>
      <c r="N24" s="14"/>
      <c r="O24" s="13" t="s">
        <v>118</v>
      </c>
      <c r="P24" s="13" t="s">
        <v>128</v>
      </c>
      <c r="Q24" s="13" t="s">
        <v>119</v>
      </c>
      <c r="R24" s="13" t="s">
        <v>120</v>
      </c>
      <c r="S24" s="13" t="s">
        <v>121</v>
      </c>
      <c r="T24" s="13" t="s">
        <v>122</v>
      </c>
      <c r="U24" s="13" t="s">
        <v>123</v>
      </c>
      <c r="V24" s="13" t="s">
        <v>124</v>
      </c>
      <c r="W24" s="13" t="s">
        <v>125</v>
      </c>
      <c r="X24" s="13" t="s">
        <v>126</v>
      </c>
      <c r="Y24" s="13" t="s">
        <v>175</v>
      </c>
    </row>
    <row r="25" spans="1:25" ht="20.149999999999999" customHeight="1" x14ac:dyDescent="0.7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29"/>
      <c r="N25" s="13" t="s">
        <v>95</v>
      </c>
      <c r="O25" s="9" t="s">
        <v>199</v>
      </c>
      <c r="P25" s="35"/>
      <c r="Q25" s="9">
        <v>13</v>
      </c>
      <c r="R25" s="9">
        <v>9</v>
      </c>
      <c r="S25" s="9"/>
      <c r="T25" s="9">
        <v>11</v>
      </c>
      <c r="U25" s="9"/>
      <c r="V25" s="9">
        <v>3</v>
      </c>
      <c r="W25" s="9">
        <v>205</v>
      </c>
      <c r="X25" s="9">
        <v>205</v>
      </c>
      <c r="Y25" s="9"/>
    </row>
    <row r="26" spans="1:25" ht="20.149999999999999" customHeight="1" x14ac:dyDescent="0.75">
      <c r="A26" s="12"/>
      <c r="B26" s="13" t="s">
        <v>179</v>
      </c>
      <c r="C26" s="13" t="s">
        <v>91</v>
      </c>
      <c r="D26" s="10" t="s">
        <v>89</v>
      </c>
      <c r="E26" s="10" t="s">
        <v>90</v>
      </c>
      <c r="F26" s="10" t="s">
        <v>92</v>
      </c>
      <c r="G26" s="145" t="s">
        <v>131</v>
      </c>
      <c r="H26" s="145"/>
      <c r="I26" s="145" t="s">
        <v>130</v>
      </c>
      <c r="J26" s="145"/>
      <c r="K26" s="10" t="s">
        <v>93</v>
      </c>
      <c r="L26" s="10" t="s">
        <v>94</v>
      </c>
      <c r="M26" s="29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49999999999999" customHeight="1" x14ac:dyDescent="0.75">
      <c r="A27" s="13" t="s">
        <v>95</v>
      </c>
      <c r="B27" s="7" t="s">
        <v>198</v>
      </c>
      <c r="C27" s="7"/>
      <c r="D27" s="9">
        <v>91</v>
      </c>
      <c r="E27" s="60">
        <v>1.8</v>
      </c>
      <c r="F27" s="7"/>
      <c r="G27" s="61"/>
      <c r="H27" s="61"/>
      <c r="I27" s="61"/>
      <c r="J27" s="61"/>
      <c r="K27" s="7"/>
      <c r="L27" s="9"/>
      <c r="M27" s="29"/>
      <c r="N27" s="10" t="s">
        <v>182</v>
      </c>
      <c r="O27" s="10" t="s">
        <v>20</v>
      </c>
      <c r="P27" s="10" t="s">
        <v>16</v>
      </c>
      <c r="Q27" s="10" t="s">
        <v>13</v>
      </c>
      <c r="R27" s="10" t="s">
        <v>127</v>
      </c>
      <c r="S27" s="10" t="s">
        <v>128</v>
      </c>
      <c r="T27" s="10" t="s">
        <v>111</v>
      </c>
      <c r="U27" s="10" t="s">
        <v>129</v>
      </c>
      <c r="V27" s="10" t="s">
        <v>115</v>
      </c>
      <c r="W27" s="10" t="s">
        <v>190</v>
      </c>
      <c r="X27" s="10" t="s">
        <v>191</v>
      </c>
      <c r="Y27" s="10" t="s">
        <v>21</v>
      </c>
    </row>
    <row r="28" spans="1:25" ht="20.149999999999999" customHeight="1" x14ac:dyDescent="0.75">
      <c r="A28" s="13" t="s">
        <v>96</v>
      </c>
      <c r="B28" s="7"/>
      <c r="C28" s="7"/>
      <c r="D28" s="7"/>
      <c r="E28" s="8"/>
      <c r="F28" s="7"/>
      <c r="G28" s="61"/>
      <c r="H28" s="61"/>
      <c r="I28" s="61"/>
      <c r="J28" s="61"/>
      <c r="K28" s="7"/>
      <c r="L28" s="9"/>
      <c r="M28" s="29"/>
      <c r="N28" s="49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49999999999999" customHeight="1" x14ac:dyDescent="0.7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29"/>
      <c r="N29" s="49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49999999999999" customHeight="1" x14ac:dyDescent="0.75">
      <c r="A30" s="25" t="s">
        <v>114</v>
      </c>
      <c r="B30" s="36"/>
      <c r="C30" s="32"/>
      <c r="D30" s="25" t="s">
        <v>91</v>
      </c>
      <c r="E30" s="37"/>
      <c r="F30" s="32"/>
      <c r="G30" s="26" t="s">
        <v>97</v>
      </c>
      <c r="H30" s="38"/>
      <c r="I30" s="38"/>
      <c r="J30" s="39"/>
      <c r="K30" s="38"/>
      <c r="L30" s="40"/>
      <c r="M30" s="29"/>
      <c r="N30" s="49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49999999999999" customHeight="1" x14ac:dyDescent="0.75">
      <c r="A31" s="25" t="s">
        <v>113</v>
      </c>
      <c r="B31" s="36"/>
      <c r="C31" s="32"/>
      <c r="D31" s="25" t="s">
        <v>111</v>
      </c>
      <c r="E31" s="37"/>
      <c r="F31" s="41"/>
      <c r="G31" s="25" t="s">
        <v>97</v>
      </c>
      <c r="H31" s="37"/>
      <c r="I31" s="37"/>
      <c r="J31" s="37"/>
      <c r="K31" s="37"/>
      <c r="L31" s="32"/>
      <c r="M31" s="29"/>
      <c r="N31" s="49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49999999999999" customHeight="1" x14ac:dyDescent="0.75">
      <c r="A32" s="27" t="s">
        <v>112</v>
      </c>
      <c r="B32" s="42"/>
      <c r="C32" s="40"/>
      <c r="D32" s="27" t="s">
        <v>88</v>
      </c>
      <c r="E32" s="38"/>
      <c r="F32" s="40"/>
      <c r="G32" s="27" t="s">
        <v>110</v>
      </c>
      <c r="H32" s="38"/>
      <c r="I32" s="38"/>
      <c r="J32" s="38"/>
      <c r="K32" s="38"/>
      <c r="L32" s="40"/>
      <c r="M32" s="29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49999999999999" customHeight="1" x14ac:dyDescent="0.7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29"/>
      <c r="N33" s="49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49999999999999" customHeight="1" x14ac:dyDescent="0.7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29"/>
      <c r="N34" s="49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49999999999999" customHeight="1" x14ac:dyDescent="0.7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29"/>
      <c r="N35" s="49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49999999999999" customHeight="1" x14ac:dyDescent="0.7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29"/>
      <c r="N36" s="49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49999999999999" customHeight="1" x14ac:dyDescent="0.75">
      <c r="A37" s="10" t="s">
        <v>13</v>
      </c>
      <c r="B37" s="1" t="s">
        <v>20</v>
      </c>
      <c r="C37" s="10" t="s">
        <v>134</v>
      </c>
      <c r="D37" s="10" t="s">
        <v>14</v>
      </c>
      <c r="E37" s="10" t="s">
        <v>15</v>
      </c>
      <c r="F37" s="10" t="s">
        <v>51</v>
      </c>
      <c r="G37" s="28" t="s">
        <v>16</v>
      </c>
      <c r="H37" s="28" t="s">
        <v>17</v>
      </c>
      <c r="I37" s="11" t="s">
        <v>28</v>
      </c>
      <c r="J37" s="10" t="s">
        <v>18</v>
      </c>
      <c r="K37" s="10" t="s">
        <v>19</v>
      </c>
      <c r="L37" s="10" t="s">
        <v>21</v>
      </c>
      <c r="M37" s="29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49999999999999" customHeight="1" x14ac:dyDescent="0.75">
      <c r="A38" s="13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9"/>
      <c r="N38" s="49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49999999999999" customHeight="1" x14ac:dyDescent="0.75">
      <c r="A39" s="13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9"/>
      <c r="N39" s="49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49999999999999" customHeight="1" x14ac:dyDescent="0.75">
      <c r="A40" s="13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9"/>
      <c r="N40" s="49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49999999999999" customHeight="1" x14ac:dyDescent="0.75">
      <c r="A41" s="13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9"/>
      <c r="N41" s="49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49999999999999" customHeight="1" x14ac:dyDescent="0.7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49999999999999" customHeight="1" x14ac:dyDescent="0.75">
      <c r="N43" s="51"/>
    </row>
    <row r="44" spans="1:25" ht="20.149999999999999" customHeight="1" x14ac:dyDescent="0.75">
      <c r="A44" s="10" t="s">
        <v>13</v>
      </c>
      <c r="B44" s="13" t="s">
        <v>20</v>
      </c>
      <c r="C44" s="10" t="s">
        <v>134</v>
      </c>
      <c r="D44" s="10" t="s">
        <v>14</v>
      </c>
      <c r="E44" s="10" t="s">
        <v>15</v>
      </c>
      <c r="F44" s="10" t="s">
        <v>51</v>
      </c>
      <c r="G44" s="28" t="s">
        <v>16</v>
      </c>
      <c r="H44" s="28" t="s">
        <v>17</v>
      </c>
      <c r="I44" s="10" t="s">
        <v>28</v>
      </c>
      <c r="J44" s="10" t="s">
        <v>18</v>
      </c>
      <c r="K44" s="10" t="s">
        <v>19</v>
      </c>
      <c r="L44" s="10" t="s">
        <v>21</v>
      </c>
      <c r="N44" s="10" t="s">
        <v>182</v>
      </c>
      <c r="O44" s="10" t="s">
        <v>20</v>
      </c>
      <c r="P44" s="10" t="s">
        <v>16</v>
      </c>
      <c r="Q44" s="10" t="s">
        <v>13</v>
      </c>
      <c r="R44" s="10" t="s">
        <v>127</v>
      </c>
      <c r="S44" s="10" t="s">
        <v>128</v>
      </c>
      <c r="T44" s="10" t="s">
        <v>111</v>
      </c>
      <c r="U44" s="10" t="s">
        <v>129</v>
      </c>
      <c r="V44" s="10" t="s">
        <v>115</v>
      </c>
      <c r="W44" s="10" t="s">
        <v>190</v>
      </c>
      <c r="X44" s="10" t="s">
        <v>191</v>
      </c>
      <c r="Y44" s="10" t="s">
        <v>21</v>
      </c>
    </row>
    <row r="45" spans="1:25" ht="20.149999999999999" customHeight="1" x14ac:dyDescent="0.75">
      <c r="A45" s="13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9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49999999999999" customHeight="1" x14ac:dyDescent="0.75">
      <c r="A46" s="13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9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49999999999999" customHeight="1" x14ac:dyDescent="0.75">
      <c r="A47" s="13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9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49999999999999" customHeight="1" x14ac:dyDescent="0.75">
      <c r="A48" s="13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9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49999999999999" customHeight="1" x14ac:dyDescent="0.7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49999999999999" customHeight="1" x14ac:dyDescent="0.75">
      <c r="A50" s="13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49999999999999" customHeight="1" x14ac:dyDescent="0.75">
      <c r="A51" s="13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49999999999999" customHeight="1" x14ac:dyDescent="0.75">
      <c r="A52" s="13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49999999999999" customHeight="1" x14ac:dyDescent="0.75">
      <c r="A53" s="13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49999999999999" customHeight="1" x14ac:dyDescent="0.7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49999999999999" customHeight="1" x14ac:dyDescent="0.75">
      <c r="A55" s="13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49999999999999" customHeight="1" x14ac:dyDescent="0.75">
      <c r="A56" s="13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49999999999999" customHeight="1" x14ac:dyDescent="0.75">
      <c r="A57" s="13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49999999999999" customHeight="1" x14ac:dyDescent="0.75">
      <c r="A58" s="13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49999999999999" customHeight="1" x14ac:dyDescent="0.7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49999999999999" customHeight="1" x14ac:dyDescent="0.75">
      <c r="A60" s="13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2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49999999999999" customHeight="1" x14ac:dyDescent="0.75">
      <c r="A61" s="13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2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49999999999999" customHeight="1" x14ac:dyDescent="0.75">
      <c r="A62" s="13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2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49999999999999" customHeight="1" x14ac:dyDescent="0.75">
      <c r="A63" s="13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2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49999999999999" customHeight="1" x14ac:dyDescent="0.7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3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49999999999999" customHeight="1" x14ac:dyDescent="0.75">
      <c r="A65" s="13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2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49999999999999" customHeight="1" x14ac:dyDescent="0.75">
      <c r="A66" s="13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2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49999999999999" customHeight="1" x14ac:dyDescent="0.75">
      <c r="A67" s="13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2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49999999999999" customHeight="1" x14ac:dyDescent="0.75">
      <c r="A68" s="13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2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49999999999999" customHeight="1" x14ac:dyDescent="0.7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3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49999999999999" customHeight="1" x14ac:dyDescent="0.75">
      <c r="A70" s="13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2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49999999999999" customHeight="1" x14ac:dyDescent="0.75">
      <c r="A71" s="13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2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49999999999999" customHeight="1" x14ac:dyDescent="0.75">
      <c r="A72" s="13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2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49999999999999" customHeight="1" x14ac:dyDescent="0.75">
      <c r="A73" s="13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2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49999999999999" customHeight="1" x14ac:dyDescent="0.7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3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49999999999999" customHeight="1" x14ac:dyDescent="0.75">
      <c r="A75" s="13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2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49999999999999" customHeight="1" x14ac:dyDescent="0.75">
      <c r="A76" s="13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2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49999999999999" customHeight="1" x14ac:dyDescent="0.75">
      <c r="A77" s="13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2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49999999999999" customHeight="1" x14ac:dyDescent="0.75">
      <c r="A78" s="13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2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49999999999999" customHeight="1" x14ac:dyDescent="0.7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3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49999999999999" customHeight="1" x14ac:dyDescent="0.75">
      <c r="A80" s="13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2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49999999999999" customHeight="1" x14ac:dyDescent="0.75">
      <c r="A81" s="13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2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49999999999999" customHeight="1" x14ac:dyDescent="0.75">
      <c r="A82" s="13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2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49999999999999" customHeight="1" x14ac:dyDescent="0.75">
      <c r="A83" s="13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2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49999999999999" customHeight="1" x14ac:dyDescent="0.7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3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49999999999999" customHeight="1" x14ac:dyDescent="0.75">
      <c r="A85" s="13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2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45388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45378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193</v>
      </c>
      <c r="T19" s="1"/>
      <c r="V19" s="1"/>
    </row>
    <row r="20" spans="1:23" x14ac:dyDescent="0.7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7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7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7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7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8" t="s">
        <v>183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7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7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7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7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7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7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7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7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7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7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7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7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7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7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7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7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7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7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7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7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7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184</v>
      </c>
    </row>
    <row r="50" spans="1:20" x14ac:dyDescent="0.7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185</v>
      </c>
    </row>
    <row r="51" spans="1:20" x14ac:dyDescent="0.7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7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7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7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7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7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7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7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75">
      <c r="A59" s="58" t="s">
        <v>147</v>
      </c>
    </row>
    <row r="60" spans="1:20" x14ac:dyDescent="0.75">
      <c r="A60" s="58" t="s">
        <v>148</v>
      </c>
      <c r="O60" s="1"/>
      <c r="Q60" s="1"/>
      <c r="R60" s="3"/>
      <c r="S60" s="1"/>
    </row>
    <row r="61" spans="1:20" x14ac:dyDescent="0.75">
      <c r="A61" s="58" t="s">
        <v>149</v>
      </c>
      <c r="O61" s="1"/>
      <c r="Q61" s="1"/>
      <c r="R61" s="1"/>
      <c r="S61" s="1"/>
    </row>
    <row r="62" spans="1:20" x14ac:dyDescent="0.75">
      <c r="A62" s="58" t="s">
        <v>150</v>
      </c>
      <c r="O62" s="1"/>
      <c r="Q62" s="1"/>
      <c r="R62" s="1"/>
      <c r="S62" s="1"/>
    </row>
    <row r="63" spans="1:20" x14ac:dyDescent="0.75">
      <c r="A63" s="58" t="s">
        <v>151</v>
      </c>
      <c r="O63" s="1"/>
      <c r="Q63" s="1"/>
      <c r="R63" s="1"/>
      <c r="S63" s="1"/>
      <c r="T63" s="1"/>
    </row>
    <row r="64" spans="1:20" x14ac:dyDescent="0.75">
      <c r="A64" s="58" t="s">
        <v>152</v>
      </c>
      <c r="O64" s="1"/>
      <c r="Q64" s="1"/>
      <c r="R64" s="1"/>
      <c r="S64" s="1"/>
      <c r="T64" s="1"/>
    </row>
    <row r="65" spans="1:20" x14ac:dyDescent="0.7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1E77A9F-F487-4365-996F-DDFE52E0182F}"/>
</file>

<file path=customXml/itemProps2.xml><?xml version="1.0" encoding="utf-8"?>
<ds:datastoreItem xmlns:ds="http://schemas.openxmlformats.org/officeDocument/2006/customXml" ds:itemID="{F2F33AA2-55AA-4A2A-A722-873F80D5877F}"/>
</file>

<file path=customXml/itemProps3.xml><?xml version="1.0" encoding="utf-8"?>
<ds:datastoreItem xmlns:ds="http://schemas.openxmlformats.org/officeDocument/2006/customXml" ds:itemID="{807CB39F-D83F-41F9-954D-C0A865AD9F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2024-03-06T04:53:28Z</cp:lastPrinted>
  <dcterms:created xsi:type="dcterms:W3CDTF">2019-11-27T23:28:06Z</dcterms:created>
  <dcterms:modified xsi:type="dcterms:W3CDTF">2024-03-07T00:18:16Z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