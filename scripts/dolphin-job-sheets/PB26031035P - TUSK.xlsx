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D2A62AD-FE7A-403E-92AF-4BB342B189F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<sst xmlns="http://schemas.openxmlformats.org/spreadsheetml/2006/main" count="306" uniqueCount="199">
  <si>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</si>
  <si>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</si>
  <si>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</si>
  <si>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</si>
  <si>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</si>
  <si>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</si>
  <si>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</si>
  <si>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</si>
  <si>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</si>
  <si>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</si>
  <si>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</si>
  <si>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</si>
  <si>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</si>
  <si>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</si>
  <si>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</si>
  <si>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</si>
  <si>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</si>
  <si>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</si>
  <si>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</si>
  <si>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</si>
  <si>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</si>
  <si>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</si>
  <si>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</si>
  <si>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</si>
  <si>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</si>
  <si>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</si>
  <si>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</si>
  <si>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</si>
  <si>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</si>
  <si>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</si>
  <si>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</si>
  <si>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</si>
  <si>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</si>
  <si>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</si>
  <si>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</si>
  <si>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</si>
  <si>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</si>
  <si>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</si>
  <si>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</si>
  <si>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</si>
  <si>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</si>
  <si>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</si>
  <si>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</si>
  <si>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</si>
  <si>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</si>
  <si>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</si>
  <si>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</si>
  <si>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</si>
  <si>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</si>
  <si>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</si>
  <si>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</si>
  <si>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</si>
  <si>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</si>
  <si>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</si>
  <si>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</si>
  <si>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</si>
  <si>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</si>
  <si>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</si>
  <si>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</si>
  <si>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</si>
  <si>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</si>
  <si>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</si>
  <si>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</si>
  <si>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</si>
  <si>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</si>
  <si>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</si>
  <si>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</si>
  <si>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</si>
  <si>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</si>
  <si>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</si>
  <si>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</si>
  <si>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</si>
  <si>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</si>
  <si>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</si>
  <si>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</si>
  <si>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</si>
  <si>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</si>
  <si>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</si>
  <si>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</si>
  <si>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</si>
  <si>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</si>
  <si>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</si>
  <si>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</si>
  <si>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</si>
  <si>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</si>
  <si>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</si>
  <si>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</si>
  <si>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</si>
  <si>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</si>
  <si>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</si>
  <si>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</si>
  <si>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</si>
  <si>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</si>
  <si>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</si>
  <si>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</si>
  <si>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</si>
  <si>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</si>
  <si>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</si>
  <si>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</si>
  <si>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</si>
  <si>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</si>
  <si>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</si>
  <si>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</si>
  <si>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</si>
  <si>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</si>
  <si>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</si>
  <si>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</si>
  <si>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</si>
  <si>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</si>
  <si>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</si>
  <si>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</si>
  <si>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</si>
  <si>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</si>
  <si>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</si>
  <si>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</si>
  <si>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</si>
  <si>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</si>
  <si>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</si>
  <si>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</si>
  <si>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</si>
  <si>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</si>
  <si>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</si>
  <si>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</si>
  <si>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</si>
  <si>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</si>
  <si>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</si>
  <si>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</si>
  <si>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</si>
  <si>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</si>
  <si>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</si>
  <si>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</si>
  <si>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</si>
  <si>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</si>
  <si>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</si>
  <si>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</si>
  <si>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</si>
  <si>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</si>
  <si>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</si>
  <si>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</si>
  <si>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</si>
  <si>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</si>
  <si>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</si>
  <si>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</si>
  <si>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</si>
  <si>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</si>
  <si>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</si>
  <si>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</si>
  <si>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</si>
  <si>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</si>
  <si>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</si>
  <si>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</si>
  <si>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</si>
  <si>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</si>
  <si>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</si>
  <si>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</si>
  <si>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</si>
  <si>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</si>
  <si>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</si>
  <si>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</si>
  <si>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</si>
  <si>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</si>
  <si>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</si>
  <si>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</si>
  <si>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</si>
  <si>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</si>
  <si>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</si>
  <si>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</si>
  <si>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</si>
  <si>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</si>
  <si>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</si>
  <si>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</si>
  <si>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</si>
  <si>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</si>
  <si>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</si>
  <si>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</si>
  <si>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</si>
  <si>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</si>
  <si>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</si>
  <si>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</si>
  <si>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</si>
  <si>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</si>
  <si>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</si>
  <si>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</si>
  <si>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</si>
  <si>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</si>
  <si>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</si>
  <si>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</si>
  <si>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</si>
  <si>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</si>
  <si>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</si>
  <si>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</si>
  <si>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</si>
  <si>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</si>
  <si>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</si>
  <si>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</si>
  <si>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TUSK</t>
  </si>
  <si>
    <t>"TUSK"</t>
  </si>
  <si>
    <t>MUST HAVE WATERPROOF SEALS - PLEASE CHECK FREQUENTLY - PRINT MUST ONLY SAY "TUSK" DO NOT USE NIGHT CROSSING PLATE</t>
  </si>
  <si>
    <t>ROB BEN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</si>
</sst>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PB26031035P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45793</v>
      </c>
      <c r="K1" s="119"/>
      <c r="L1" s="120"/>
      <c r="M1" s="29"/>
      <c r="N1" s="11" t="s">
        <v>56</v>
      </c>
      <c r="O1" s="108" t="str">
        <f>B1</f>
        <v>PB26031035P</v>
      </c>
      <c r="P1" s="108"/>
      <c r="Q1" s="109"/>
      <c r="R1" s="11" t="s">
        <v>57</v>
      </c>
      <c r="S1" s="108" t="str">
        <f>F1</f>
        <v>ROB BEN HOLDINGS</v>
      </c>
      <c r="T1" s="108"/>
      <c r="U1" s="109"/>
      <c r="V1" s="11" t="s">
        <v>181</v>
      </c>
      <c r="W1" s="119">
        <f ca="1">J1</f>
        <v>45793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TUSK</v>
      </c>
      <c r="C2" s="108"/>
      <c r="D2" s="109"/>
      <c r="E2" s="11" t="s">
        <v>58</v>
      </c>
      <c r="F2" s="62">
        <v>949953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>TUSK</v>
      </c>
      <c r="P2" s="108"/>
      <c r="Q2" s="109"/>
      <c r="R2" s="11" t="s">
        <v>58</v>
      </c>
      <c r="S2" s="108">
        <f>IF(F2="","",F2)</f>
        <v>949953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HAVE WATERPROOF SEALS - PLEASE CHECK FREQUENTLY - PRINT MUST ONLY SAY "TUSK" DO NOT USE NIGHT CROSSING PLATE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12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12000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260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260</v>
      </c>
      <c r="S9" s="18" t="s">
        <v>78</v>
      </c>
      <c r="T9" s="30">
        <v>310</v>
      </c>
      <c r="U9" s="18" t="s">
        <v>78</v>
      </c>
      <c r="V9" s="30">
        <v>35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27">
        <f>IF(ISNUMBER(SEARCH("sheet",O8,1)),((R9*T9*H8/540000)*U7/2000*1.3),((R9*T9*H8/540000)*U7/1000*1.08))</f>
        <v>67.703999999999994</v>
      </c>
      <c r="F10" s="128"/>
      <c r="G10" s="11" t="s">
        <v>53</v>
      </c>
      <c r="H10" s="131">
        <f>IF(ISNUMBER(SEARCH("sheet",O8,1)),(U7*T9/2000*1.08),(U7*T9/1000*1.08))</f>
        <v>4017.6000000000004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195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22.567999999999998</v>
      </c>
      <c r="F11" s="130"/>
      <c r="G11" s="11" t="s">
        <v>15</v>
      </c>
      <c r="H11" s="129">
        <f>H10/B10</f>
        <v>1339.2</v>
      </c>
      <c r="I11" s="130"/>
      <c r="J11" s="11" t="s">
        <v>50</v>
      </c>
      <c r="K11" s="62" t="s">
        <v>64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69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 t="s">
        <v>196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45814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67D2287-FD1F-4C72-8CB8-C549069D519A}"/>
</file>

<file path=customXml/itemProps2.xml><?xml version="1.0" encoding="utf-8"?>
<ds:datastoreItem xmlns:ds="http://schemas.openxmlformats.org/officeDocument/2006/customXml" ds:itemID="{D8629EA6-DAB8-4EE3-8FCA-C5AB6CC18B08}"/>
</file>

<file path=customXml/itemProps3.xml><?xml version="1.0" encoding="utf-8"?>
<ds:datastoreItem xmlns:ds="http://schemas.openxmlformats.org/officeDocument/2006/customXml" ds:itemID="{EA702E97-889A-4467-9021-AEC223A0A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2025-05-16T01:36:10Z</cp:lastPrinted>
  <dcterms:created xsi:type="dcterms:W3CDTF">2019-11-27T23:28:06Z</dcterms:created>
  <dcterms:modified xsi:type="dcterms:W3CDTF">2025-05-16T01:39:27Z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