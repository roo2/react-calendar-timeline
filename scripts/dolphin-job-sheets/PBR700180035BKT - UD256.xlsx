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1506280-93BB-42A4-A242-3EC0C70525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<sst xmlns="http://schemas.openxmlformats.org/spreadsheetml/2006/main" count="302" uniqueCount="200">
  <si>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</si>
  <si>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</si>
  <si>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</si>
  <si>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</si>
  <si>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</si>
  <si>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</si>
  <si>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</si>
  <si>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</si>
  <si>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</si>
  <si>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</si>
  <si>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</si>
  <si>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</si>
  <si>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</si>
  <si>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</si>
  <si>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</si>
  <si>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</si>
  <si>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</si>
  <si>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</si>
  <si>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</si>
  <si>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</si>
  <si>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</si>
  <si>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</si>
  <si>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</si>
  <si>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</si>
  <si>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</si>
  <si>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</si>
  <si>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</si>
  <si>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</si>
  <si>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</si>
  <si>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</si>
  <si>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</si>
  <si>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</si>
  <si>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</si>
  <si>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</si>
  <si>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</si>
  <si>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</si>
  <si>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</si>
  <si>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</si>
  <si>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</si>
  <si>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</si>
  <si>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</si>
  <si>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</si>
  <si>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</si>
  <si>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</si>
  <si>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</si>
  <si>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</si>
  <si>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</si>
  <si>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</si>
  <si>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</si>
  <si>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</si>
  <si>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</si>
  <si>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</si>
  <si>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</si>
  <si>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</si>
  <si>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</si>
  <si>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</si>
  <si>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</si>
  <si>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</si>
  <si>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</si>
  <si>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</si>
  <si>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</si>
  <si>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</si>
  <si>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</si>
  <si>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</si>
  <si>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</si>
  <si>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</si>
  <si>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</si>
  <si>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</si>
  <si>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</si>
  <si>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</si>
  <si>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</si>
  <si>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</si>
  <si>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</si>
  <si>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</si>
  <si>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</si>
  <si>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</si>
  <si>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</si>
  <si>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</si>
  <si>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</si>
  <si>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</si>
  <si>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</si>
  <si>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</si>
  <si>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</si>
  <si>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</si>
  <si>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</si>
  <si>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</si>
  <si>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</si>
  <si>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</si>
  <si>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</si>
  <si>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</si>
  <si>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</si>
  <si>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</si>
  <si>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</si>
  <si>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</si>
  <si>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</si>
  <si>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</si>
  <si>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</si>
  <si>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</si>
  <si>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</si>
  <si>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</si>
  <si>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</si>
  <si>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</si>
  <si>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</si>
  <si>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</si>
  <si>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</si>
  <si>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</si>
  <si>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</si>
  <si>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</si>
  <si>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</si>
  <si>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</si>
  <si>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</si>
  <si>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</si>
  <si>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</si>
  <si>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</si>
  <si>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</si>
  <si>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</si>
  <si>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</si>
  <si>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</si>
  <si>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</si>
  <si>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</si>
  <si>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</si>
  <si>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</si>
  <si>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</si>
  <si>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</si>
  <si>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</si>
  <si>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</si>
  <si>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</si>
  <si>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</si>
  <si>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</si>
  <si>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</si>
  <si>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</si>
  <si>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</si>
  <si>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</si>
  <si>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</si>
  <si>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</si>
  <si>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</si>
  <si>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</si>
  <si>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</si>
  <si>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</si>
  <si>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</si>
  <si>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</si>
  <si>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</si>
  <si>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</si>
  <si>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</si>
  <si>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</si>
  <si>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</si>
  <si>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</si>
  <si>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</si>
  <si>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</si>
  <si>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</si>
  <si>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</si>
  <si>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</si>
  <si>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</si>
  <si>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</si>
  <si>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</si>
  <si>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</si>
  <si>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</si>
  <si>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</si>
  <si>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</si>
  <si>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</si>
  <si>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</si>
  <si>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</si>
  <si>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</si>
  <si>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</si>
  <si>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</si>
  <si>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</si>
  <si>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</si>
  <si>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</si>
  <si>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</si>
  <si>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</si>
  <si>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</si>
  <si>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</si>
  <si>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</si>
  <si>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</si>
  <si>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</si>
  <si>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</si>
  <si>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</si>
  <si>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</si>
  <si>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</si>
  <si>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</si>
  <si>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</si>
  <si>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</si>
  <si>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</si>
  <si>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</si>
  <si>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</si>
  <si>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</si>
  <si>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</si>
  <si>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</si>
  <si>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</si>
  <si>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</si>
  <si>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</si>
  <si>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</si>
  <si>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</si>
  <si>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</si>
  <si>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</si>
  <si>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PERF INLINE - USE REMILL</t>
  </si>
  <si>
    <t>ADVANTAGE AIR</t>
  </si>
  <si>
    <t xml:space="preserve"> +/- 5um</t>
  </si>
  <si>
    <t>UD256</t>
  </si>
  <si>
    <t>BLACK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</si>
</sst>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PBR7001800350</v>
      </c>
      <c r="C1" s="108"/>
      <c r="D1" s="109"/>
      <c r="E1" s="18" t="s">
        <v>56</v>
      </c>
      <c r="F1" s="122" t="s">
        <v>196</v>
      </c>
      <c r="G1" s="122"/>
      <c r="H1" s="123"/>
      <c r="I1" s="18" t="s">
        <v>180</v>
      </c>
      <c r="J1" s="119">
        <f ca="1">TODAY()</f>
        <v>44574</v>
      </c>
      <c r="K1" s="119"/>
      <c r="L1" s="120"/>
      <c r="M1" s="35"/>
      <c r="N1" s="18" t="s">
        <v>55</v>
      </c>
      <c r="O1" s="108" t="str">
        <f>B1</f>
        <v>PBR7001800350</v>
      </c>
      <c r="P1" s="108"/>
      <c r="Q1" s="109"/>
      <c r="R1" s="18" t="s">
        <v>56</v>
      </c>
      <c r="S1" s="108" t="str">
        <f>F1</f>
        <v>ADVANTAGE AIR</v>
      </c>
      <c r="T1" s="108"/>
      <c r="U1" s="109"/>
      <c r="V1" s="18" t="s">
        <v>180</v>
      </c>
      <c r="W1" s="119">
        <f ca="1">J1</f>
        <v>44574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>UD256</v>
      </c>
      <c r="C2" s="108"/>
      <c r="D2" s="109"/>
      <c r="E2" s="18" t="s">
        <v>57</v>
      </c>
      <c r="F2" s="71">
        <v>942112</v>
      </c>
      <c r="G2" s="71"/>
      <c r="H2" s="72"/>
      <c r="I2" s="18" t="s">
        <v>58</v>
      </c>
      <c r="J2" s="131">
        <v>44605</v>
      </c>
      <c r="K2" s="71"/>
      <c r="L2" s="72"/>
      <c r="M2" s="35"/>
      <c r="N2" s="18" t="s">
        <v>99</v>
      </c>
      <c r="O2" s="108" t="str">
        <f>IF(B2="","",B2)</f>
        <v>UD256</v>
      </c>
      <c r="P2" s="108"/>
      <c r="Q2" s="109"/>
      <c r="R2" s="18" t="s">
        <v>57</v>
      </c>
      <c r="S2" s="108">
        <f>IF(F2="","",F2)</f>
        <v>942112</v>
      </c>
      <c r="T2" s="108"/>
      <c r="U2" s="109"/>
      <c r="V2" s="18" t="s">
        <v>58</v>
      </c>
      <c r="W2" s="121">
        <f>J2</f>
        <v>44605</v>
      </c>
      <c r="X2" s="108"/>
      <c r="Y2" s="109"/>
    </row>
    <row r="3" spans="1:25" ht="20.100000000000001" customHeight="1" x14ac:dyDescent="0.25">
      <c r="A3" s="110" t="s">
        <v>195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 t="str">
        <f>A3</f>
        <v>PERF INLINE - USE REMILL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199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9</v>
      </c>
      <c r="P7" s="72"/>
      <c r="Q7" s="18" t="str">
        <f>IF(ISNUMBER(SEARCH("roll",O8,1)),"Per Roll","Per Carton")</f>
        <v>Per Roll</v>
      </c>
      <c r="R7" s="71">
        <v>245</v>
      </c>
      <c r="S7" s="72"/>
      <c r="T7" s="18" t="str">
        <f>IF(ISNUMBER(SEARCH("bag",O8,1)),"Total Bags","Total Sheets")</f>
        <v>Total Bags</v>
      </c>
      <c r="U7" s="108">
        <f>R7*O7</f>
        <v>2205</v>
      </c>
      <c r="V7" s="109"/>
      <c r="W7" s="18" t="s">
        <v>101</v>
      </c>
      <c r="X7" s="71" t="s">
        <v>22</v>
      </c>
      <c r="Y7" s="72"/>
    </row>
    <row r="8" spans="1:25" ht="20.100000000000001" customHeight="1" x14ac:dyDescent="0.25">
      <c r="A8" s="19" t="s">
        <v>15</v>
      </c>
      <c r="B8" s="129">
        <f>R9</f>
        <v>700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None</v>
      </c>
      <c r="F8" s="130"/>
      <c r="G8" s="19" t="s">
        <v>51</v>
      </c>
      <c r="H8" s="129">
        <f>(IF(V9&lt;30,"30",V9))</f>
        <v>35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8" t="s">
        <v>164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3">
      <c r="A9" s="23" t="s">
        <v>47</v>
      </c>
      <c r="B9" s="144" t="s">
        <v>194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197</v>
      </c>
      <c r="I9" s="145"/>
      <c r="J9" s="18" t="s">
        <v>54</v>
      </c>
      <c r="K9" s="71" t="s">
        <v>33</v>
      </c>
      <c r="L9" s="72"/>
      <c r="M9" s="35"/>
      <c r="N9" s="24"/>
      <c r="O9" s="152" t="str">
        <f>IF(O8="Poly Bag","PB",IF(O8="Poly Bag Roll","PBR",IF(O8="Centrefold Roll","CFR",IF(O8="Sheet","S",IF(O8="Sheet Roll","SR")))))</f>
        <v>PBR</v>
      </c>
      <c r="P9" s="153"/>
      <c r="Q9" s="24"/>
      <c r="R9" s="36">
        <v>700</v>
      </c>
      <c r="S9" s="25" t="s">
        <v>77</v>
      </c>
      <c r="T9" s="36">
        <v>1800</v>
      </c>
      <c r="U9" s="25" t="s">
        <v>77</v>
      </c>
      <c r="V9" s="36">
        <v>35</v>
      </c>
      <c r="W9" s="24"/>
      <c r="X9" s="136"/>
      <c r="Y9" s="137"/>
    </row>
    <row r="10" spans="1:25" ht="20.100000000000001" customHeight="1" x14ac:dyDescent="0.25">
      <c r="A10" s="18" t="s">
        <v>50</v>
      </c>
      <c r="B10" s="71">
        <v>9</v>
      </c>
      <c r="C10" s="72"/>
      <c r="D10" s="56" t="s">
        <v>133</v>
      </c>
      <c r="E10" s="146">
        <f>IF(ISNUMBER(SEARCH("sheet",O8,1)),((R9*T9*H8/540000)*U7/2000*1.3),((R9*T9*H8/540000)*U7/1000*1.08))</f>
        <v>194.48099999999999</v>
      </c>
      <c r="F10" s="147"/>
      <c r="G10" s="18" t="s">
        <v>52</v>
      </c>
      <c r="H10" s="150">
        <f>IF(ISNUMBER(SEARCH("sheet",O8,1)),(U7*T9/2000*1.08),(U7*T9/1000*1.08))</f>
        <v>4286.5200000000004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32" t="s">
        <v>198</v>
      </c>
      <c r="V10" s="132"/>
      <c r="W10" s="132"/>
      <c r="X10" s="132"/>
      <c r="Y10" s="133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8">
        <f>E10/B10</f>
        <v>21.608999999999998</v>
      </c>
      <c r="F11" s="149"/>
      <c r="G11" s="18" t="s">
        <v>14</v>
      </c>
      <c r="H11" s="148">
        <f>H10/B10</f>
        <v>476.28000000000003</v>
      </c>
      <c r="I11" s="149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/>
      </c>
      <c r="S11" s="129"/>
      <c r="T11" s="19"/>
      <c r="U11" s="134"/>
      <c r="V11" s="134"/>
      <c r="W11" s="134"/>
      <c r="X11" s="134"/>
      <c r="Y11" s="135"/>
    </row>
    <row r="12" spans="1:25" ht="20.100000000000001" customHeight="1" x14ac:dyDescent="0.25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9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22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4"/>
      <c r="J17" s="165"/>
      <c r="K17" s="164"/>
      <c r="L17" s="165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30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4"/>
      <c r="J18" s="165"/>
      <c r="K18" s="164"/>
      <c r="L18" s="165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4"/>
      <c r="J19" s="165"/>
      <c r="K19" s="164"/>
      <c r="L19" s="165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4"/>
      <c r="J20" s="165"/>
      <c r="K20" s="164"/>
      <c r="L20" s="165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4"/>
      <c r="J21" s="165"/>
      <c r="K21" s="164"/>
      <c r="L21" s="165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>BLACK TINT</v>
      </c>
      <c r="B22" s="92"/>
      <c r="C22" s="96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0</v>
      </c>
      <c r="D22" s="97"/>
      <c r="E22" s="93"/>
      <c r="F22" s="94"/>
      <c r="G22" s="39" t="s">
        <v>85</v>
      </c>
      <c r="H22" s="40"/>
      <c r="I22" s="164"/>
      <c r="J22" s="165"/>
      <c r="K22" s="164"/>
      <c r="L22" s="165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7"/>
      <c r="B23" s="157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4"/>
      <c r="J23" s="165"/>
      <c r="K23" s="164"/>
      <c r="L23" s="165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8"/>
      <c r="B24" s="159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4"/>
      <c r="J24" s="165"/>
      <c r="K24" s="164"/>
      <c r="L24" s="165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3"/>
      <c r="H27" s="163"/>
      <c r="I27" s="163"/>
      <c r="J27" s="163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3"/>
      <c r="H28" s="163"/>
      <c r="I28" s="163"/>
      <c r="J28" s="163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0" t="s">
        <v>98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4" t="s">
        <v>135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44605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44595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199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5A18938-8DB7-4641-8A05-537A8B483F10}"/>
</file>

<file path=customXml/itemProps2.xml><?xml version="1.0" encoding="utf-8"?>
<ds:datastoreItem xmlns:ds="http://schemas.openxmlformats.org/officeDocument/2006/customXml" ds:itemID="{522D68C9-9BBE-4707-BC66-8933CEDE9E2B}"/>
</file>

<file path=customXml/itemProps3.xml><?xml version="1.0" encoding="utf-8"?>
<ds:datastoreItem xmlns:ds="http://schemas.openxmlformats.org/officeDocument/2006/customXml" ds:itemID="{6B4E2A40-CF50-459E-8714-489E550909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2022-01-13T02:01:35Z</cp:lastPrinted>
  <dcterms:created xsi:type="dcterms:W3CDTF">2019-11-27T23:28:06Z</dcterms:created>
  <dcterms:modified xsi:type="dcterms:W3CDTF">2022-01-13T03:24:55Z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