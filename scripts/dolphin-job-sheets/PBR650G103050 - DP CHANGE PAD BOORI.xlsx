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F06A289-EF24-4371-92C7-A4BE5A935A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<sst xmlns="http://schemas.openxmlformats.org/spreadsheetml/2006/main" count="302" uniqueCount="200">
  <si>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</si>
  <si>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</si>
  <si>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</si>
  <si>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</si>
  <si>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</si>
  <si>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</si>
  <si>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</si>
  <si>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</si>
  <si>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</si>
  <si>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</si>
  <si>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</si>
  <si>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</si>
  <si>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</si>
  <si>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</si>
  <si>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</si>
  <si>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</si>
  <si>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</si>
  <si>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</si>
  <si>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</si>
  <si>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</si>
  <si>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</si>
  <si>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</si>
  <si>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</si>
  <si>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</si>
  <si>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</si>
  <si>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</si>
  <si>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</si>
  <si>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</si>
  <si>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</si>
  <si>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</si>
  <si>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</si>
  <si>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</si>
  <si>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</si>
  <si>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</si>
  <si>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</si>
  <si>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</si>
  <si>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</si>
  <si>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</si>
  <si>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</si>
  <si>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</si>
  <si>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</si>
  <si>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</si>
  <si>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</si>
  <si>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</si>
  <si>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</si>
  <si>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</si>
  <si>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</si>
  <si>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</si>
  <si>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</si>
  <si>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</si>
  <si>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</si>
  <si>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</si>
  <si>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</si>
  <si>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</si>
  <si>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</si>
  <si>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</si>
  <si>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</si>
  <si>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</si>
  <si>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</si>
  <si>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</si>
  <si>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</si>
  <si>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</si>
  <si>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</si>
  <si>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</si>
  <si>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</si>
  <si>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</si>
  <si>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</si>
  <si>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</si>
  <si>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</si>
  <si>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</si>
  <si>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</si>
  <si>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</si>
  <si>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</si>
  <si>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</si>
  <si>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</si>
  <si>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</si>
  <si>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</si>
  <si>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</si>
  <si>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</si>
  <si>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</si>
  <si>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</si>
  <si>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</si>
  <si>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</si>
  <si>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</si>
  <si>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</si>
  <si>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</si>
  <si>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</si>
  <si>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</si>
  <si>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</si>
  <si>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</si>
  <si>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</si>
  <si>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</si>
  <si>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</si>
  <si>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</si>
  <si>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</si>
  <si>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</si>
  <si>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</si>
  <si>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</si>
  <si>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</si>
  <si>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</si>
  <si>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</si>
  <si>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</si>
  <si>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</si>
  <si>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</si>
  <si>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</si>
  <si>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</si>
  <si>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</si>
  <si>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</si>
  <si>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</si>
  <si>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</si>
  <si>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</si>
  <si>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</si>
  <si>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</si>
  <si>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</si>
  <si>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</si>
  <si>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</si>
  <si>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</si>
  <si>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</si>
  <si>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</si>
  <si>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</si>
  <si>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</si>
  <si>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</si>
  <si>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</si>
  <si>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</si>
  <si>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</si>
  <si>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</si>
  <si>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</si>
  <si>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</si>
  <si>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</si>
  <si>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</si>
  <si>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</si>
  <si>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</si>
  <si>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</si>
  <si>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</si>
  <si>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</si>
  <si>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</si>
  <si>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</si>
  <si>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</si>
  <si>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</si>
  <si>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</si>
  <si>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</si>
  <si>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</si>
  <si>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</si>
  <si>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</si>
  <si>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</si>
  <si>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</si>
  <si>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</si>
  <si>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</si>
  <si>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</si>
  <si>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</si>
  <si>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</si>
  <si>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</si>
  <si>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</si>
  <si>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</si>
  <si>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</si>
  <si>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</si>
  <si>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</si>
  <si>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</si>
  <si>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</si>
  <si>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</si>
  <si>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</si>
  <si>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</si>
  <si>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</si>
  <si>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</si>
  <si>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</si>
  <si>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</si>
  <si>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</si>
  <si>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</si>
  <si>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</si>
  <si>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</si>
  <si>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</si>
  <si>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</si>
  <si>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</si>
  <si>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</si>
  <si>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</si>
  <si>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</si>
  <si>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</si>
  <si>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</si>
  <si>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</si>
  <si>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</si>
  <si>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</si>
  <si>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</si>
  <si>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</si>
  <si>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</si>
  <si>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</si>
  <si>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</si>
  <si>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</si>
  <si>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</si>
  <si>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</si>
  <si>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</si>
  <si>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</si>
  <si>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</si>
  <si>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</si>
  <si>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</si>
  <si>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ANSTEL</t>
  </si>
  <si>
    <t xml:space="preserve"> +/- 5mm</t>
  </si>
  <si>
    <t>MUST BE SPOT ON - CUSTOMER WILL REJECT IF GUSSET OUT OR GUAGE WRONG</t>
  </si>
  <si>
    <t>(550+100)</t>
  </si>
  <si>
    <t>NOT UNDER</t>
  </si>
  <si>
    <t>DP CHANGE PAD - BOORI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</si>
</sst>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I17" sqref="AI17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PBR650G103050</v>
      </c>
      <c r="C1" s="108"/>
      <c r="D1" s="109"/>
      <c r="E1" s="18" t="s">
        <v>56</v>
      </c>
      <c r="F1" s="122" t="s">
        <v>194</v>
      </c>
      <c r="G1" s="122"/>
      <c r="H1" s="123"/>
      <c r="I1" s="18" t="s">
        <v>180</v>
      </c>
      <c r="J1" s="119">
        <f ca="1">TODAY()</f>
        <v>44487</v>
      </c>
      <c r="K1" s="119"/>
      <c r="L1" s="120"/>
      <c r="M1" s="35"/>
      <c r="N1" s="18" t="s">
        <v>55</v>
      </c>
      <c r="O1" s="108" t="str">
        <f>B1</f>
        <v>PBR650G103050</v>
      </c>
      <c r="P1" s="108"/>
      <c r="Q1" s="109"/>
      <c r="R1" s="18" t="s">
        <v>56</v>
      </c>
      <c r="S1" s="108" t="str">
        <f>F1</f>
        <v>ANSTEL</v>
      </c>
      <c r="T1" s="108"/>
      <c r="U1" s="109"/>
      <c r="V1" s="18" t="s">
        <v>180</v>
      </c>
      <c r="W1" s="119">
        <f ca="1">J1</f>
        <v>44487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>DP CHANGE PAD - BOORI</v>
      </c>
      <c r="C2" s="108"/>
      <c r="D2" s="109"/>
      <c r="E2" s="18" t="s">
        <v>57</v>
      </c>
      <c r="F2" s="71">
        <v>941543</v>
      </c>
      <c r="G2" s="71"/>
      <c r="H2" s="72"/>
      <c r="I2" s="18" t="s">
        <v>58</v>
      </c>
      <c r="J2" s="131">
        <v>44508</v>
      </c>
      <c r="K2" s="71"/>
      <c r="L2" s="72"/>
      <c r="M2" s="35"/>
      <c r="N2" s="18" t="s">
        <v>99</v>
      </c>
      <c r="O2" s="108" t="str">
        <f>IF(B2="","",B2)</f>
        <v>DP CHANGE PAD - BOORI</v>
      </c>
      <c r="P2" s="108"/>
      <c r="Q2" s="109"/>
      <c r="R2" s="18" t="s">
        <v>57</v>
      </c>
      <c r="S2" s="108">
        <f>IF(F2="","",F2)</f>
        <v>941543</v>
      </c>
      <c r="T2" s="108"/>
      <c r="U2" s="109"/>
      <c r="V2" s="18" t="s">
        <v>58</v>
      </c>
      <c r="W2" s="121">
        <f>J2</f>
        <v>44508</v>
      </c>
      <c r="X2" s="108"/>
      <c r="Y2" s="109"/>
    </row>
    <row r="3" spans="1:25" ht="20.100000000000001" customHeight="1" x14ac:dyDescent="0.25">
      <c r="A3" s="110" t="s">
        <v>196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MUST BE SPOT ON - CUSTOMER WILL REJECT IF GUSSET OUT OR GUAGE WRONG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15</v>
      </c>
      <c r="P7" s="72"/>
      <c r="Q7" s="18" t="str">
        <f>IF(ISNUMBER(SEARCH("roll",O8,1)),"Per Roll","Per Carton")</f>
        <v>Per Roll</v>
      </c>
      <c r="R7" s="71">
        <v>250</v>
      </c>
      <c r="S7" s="72"/>
      <c r="T7" s="18" t="str">
        <f>IF(ISNUMBER(SEARCH("bag",O8,1)),"Total Bags","Total Sheets")</f>
        <v>Total Bags</v>
      </c>
      <c r="U7" s="108">
        <f>R7*O7</f>
        <v>3750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650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(550+100)</v>
      </c>
      <c r="F8" s="130"/>
      <c r="G8" s="19" t="s">
        <v>51</v>
      </c>
      <c r="H8" s="129">
        <f>(IF(V9&lt;30,"30",V9))</f>
        <v>50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Gusset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00000000000001" customHeight="1" x14ac:dyDescent="0.3">
      <c r="A9" s="23" t="s">
        <v>47</v>
      </c>
      <c r="B9" s="144" t="s">
        <v>195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198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650</v>
      </c>
      <c r="S9" s="25" t="s">
        <v>77</v>
      </c>
      <c r="T9" s="36">
        <v>1030</v>
      </c>
      <c r="U9" s="25" t="s">
        <v>77</v>
      </c>
      <c r="V9" s="36">
        <v>50</v>
      </c>
      <c r="W9" s="24"/>
      <c r="X9" s="136" t="s">
        <v>197</v>
      </c>
      <c r="Y9" s="137"/>
    </row>
    <row r="10" spans="1:25" ht="20.100000000000001" customHeight="1" x14ac:dyDescent="0.25">
      <c r="A10" s="18" t="s">
        <v>50</v>
      </c>
      <c r="B10" s="71">
        <v>9</v>
      </c>
      <c r="C10" s="72"/>
      <c r="D10" s="56" t="s">
        <v>133</v>
      </c>
      <c r="E10" s="146">
        <f>IF(ISNUMBER(SEARCH("sheet",O8,1)),((R9*T9*H8/540000)*U7/2000*1.3),((R9*T9*H8/540000)*U7/1000*1.08))</f>
        <v>251.0625</v>
      </c>
      <c r="F10" s="147"/>
      <c r="G10" s="18" t="s">
        <v>52</v>
      </c>
      <c r="H10" s="150">
        <f>IF(ISNUMBER(SEARCH("sheet",O8,1)),(U7*T9/2000*1.08),(U7*T9/1000*1.08))</f>
        <v>4171.5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 t="s">
        <v>199</v>
      </c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/>
      <c r="C11" s="109"/>
      <c r="D11" s="18" t="s">
        <v>134</v>
      </c>
      <c r="E11" s="148">
        <f>E10/B10</f>
        <v>27.895833333333332</v>
      </c>
      <c r="F11" s="149"/>
      <c r="G11" s="18" t="s">
        <v>14</v>
      </c>
      <c r="H11" s="148">
        <f>H10/B10</f>
        <v>463.5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15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22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44518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44508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85B96F2-4411-45C7-99D3-0E836B9B3894}"/>
</file>

<file path=customXml/itemProps2.xml><?xml version="1.0" encoding="utf-8"?>
<ds:datastoreItem xmlns:ds="http://schemas.openxmlformats.org/officeDocument/2006/customXml" ds:itemID="{20EB09DF-035F-4F7C-B136-ECABEE97B973}"/>
</file>

<file path=customXml/itemProps3.xml><?xml version="1.0" encoding="utf-8"?>
<ds:datastoreItem xmlns:ds="http://schemas.openxmlformats.org/officeDocument/2006/customXml" ds:itemID="{9B2B95F1-C06B-4C76-A29E-A8004FCAFA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2021-10-18T03:36:21Z</cp:lastPrinted>
  <dcterms:created xsi:type="dcterms:W3CDTF">2019-11-27T23:28:06Z</dcterms:created>
  <dcterms:modified xsi:type="dcterms:W3CDTF">2021-10-18T04:48:30Z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