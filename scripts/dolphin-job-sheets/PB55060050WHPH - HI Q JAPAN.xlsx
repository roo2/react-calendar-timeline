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A16AE0-B6D7-44A0-8846-0DCF85C60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<sst xmlns="http://schemas.openxmlformats.org/spreadsheetml/2006/main" count="305" uniqueCount="202">
  <si>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</si>
  <si>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</si>
  <si>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</si>
  <si>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</si>
  <si>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</si>
  <si>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</si>
  <si>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</si>
  <si>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</si>
  <si>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</si>
  <si>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</si>
  <si>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</si>
  <si>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</si>
  <si>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</si>
  <si>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</si>
  <si>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</si>
  <si>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</si>
  <si>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</si>
  <si>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</si>
  <si>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</si>
  <si>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</si>
  <si>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</si>
  <si>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</si>
  <si>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</si>
  <si>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</si>
  <si>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</si>
  <si>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</si>
  <si>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</si>
  <si>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</si>
  <si>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</si>
  <si>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</si>
  <si>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</si>
  <si>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</si>
  <si>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</si>
  <si>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</si>
  <si>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</si>
  <si>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</si>
  <si>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</si>
  <si>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</si>
  <si>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</si>
  <si>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</si>
  <si>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</si>
  <si>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</si>
  <si>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</si>
  <si>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</si>
  <si>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</si>
  <si>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</si>
  <si>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</si>
  <si>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</si>
  <si>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</si>
  <si>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</si>
  <si>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</si>
  <si>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</si>
  <si>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</si>
  <si>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</si>
  <si>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</si>
  <si>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</si>
  <si>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</si>
  <si>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</si>
  <si>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</si>
  <si>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</si>
  <si>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</si>
  <si>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</si>
  <si>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</si>
  <si>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</si>
  <si>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</si>
  <si>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</si>
  <si>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</si>
  <si>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</si>
  <si>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</si>
  <si>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</si>
  <si>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</si>
  <si>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</si>
  <si>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</si>
  <si>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</si>
  <si>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</si>
  <si>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</si>
  <si>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</si>
  <si>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</si>
  <si>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</si>
  <si>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</si>
  <si>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</si>
  <si>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</si>
  <si>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</si>
  <si>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</si>
  <si>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</si>
  <si>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</si>
  <si>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</si>
  <si>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</si>
  <si>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</si>
  <si>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</si>
  <si>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</si>
  <si>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</si>
  <si>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</si>
  <si>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</si>
  <si>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</si>
  <si>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</si>
  <si>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</si>
  <si>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</si>
  <si>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</si>
  <si>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</si>
  <si>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</si>
  <si>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</si>
  <si>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</si>
  <si>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</si>
  <si>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</si>
  <si>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</si>
  <si>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</si>
  <si>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</si>
  <si>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</si>
  <si>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</si>
  <si>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</si>
  <si>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</si>
  <si>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</si>
  <si>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</si>
  <si>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</si>
  <si>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</si>
  <si>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</si>
  <si>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</si>
  <si>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</si>
  <si>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</si>
  <si>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</si>
  <si>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</si>
  <si>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</si>
  <si>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</si>
  <si>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</si>
  <si>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</si>
  <si>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</si>
  <si>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</si>
  <si>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</si>
  <si>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</si>
  <si>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</si>
  <si>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</si>
  <si>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</si>
  <si>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</si>
  <si>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</si>
  <si>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</si>
  <si>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</si>
  <si>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</si>
  <si>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</si>
  <si>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</si>
  <si>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</si>
  <si>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</si>
  <si>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</si>
  <si>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</si>
  <si>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</si>
  <si>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</si>
  <si>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</si>
  <si>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</si>
  <si>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</si>
  <si>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</si>
  <si>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</si>
  <si>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</si>
  <si>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</si>
  <si>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</si>
  <si>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</si>
  <si>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</si>
  <si>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</si>
  <si>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</si>
  <si>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</si>
  <si>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</si>
  <si>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</si>
  <si>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</si>
  <si>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</si>
  <si>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</si>
  <si>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</si>
  <si>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</si>
  <si>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</si>
  <si>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</si>
  <si>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</si>
  <si>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</si>
  <si>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</si>
  <si>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</si>
  <si>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</si>
  <si>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</si>
  <si>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</si>
  <si>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</si>
  <si>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</si>
  <si>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</si>
  <si>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</si>
  <si>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</si>
  <si>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</si>
  <si>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</si>
  <si>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</si>
  <si>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</si>
  <si>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</si>
  <si>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</si>
  <si>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</si>
  <si>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</si>
  <si>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</si>
  <si>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</si>
  <si>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</si>
  <si>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</si>
  <si>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</si>
  <si>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</si>
  <si>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</si>
  <si>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NOT OVER</t>
  </si>
  <si>
    <t>HI Q JAPAN</t>
  </si>
  <si>
    <t>PINK</t>
  </si>
  <si>
    <t>DIE CUT HANDLE - 45ML FOM TOP OF BAG</t>
  </si>
  <si>
    <t>1C/1S - HI-Q JAPAN</t>
  </si>
  <si>
    <t>NEW ITEM - SEE ROHAN FOR INK COLOUR AND ARTWORK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</si>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</sst>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E8" sqref="AE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8" t="str">
        <f>O9&amp;R9&amp;IF(X8="G","G","")&amp;IF(O8="Centrefold Roll","("&amp;E8&amp;")","")&amp;T9&amp;V9&amp;C22&amp;C23&amp;C24&amp;O11&amp;R11</f>
        <v>PB55060050WHP</v>
      </c>
      <c r="C1" s="128"/>
      <c r="D1" s="129"/>
      <c r="E1" s="12" t="s">
        <v>57</v>
      </c>
      <c r="F1" s="139" t="s">
        <v>196</v>
      </c>
      <c r="G1" s="140"/>
      <c r="H1" s="141"/>
      <c r="I1" s="13" t="s">
        <v>181</v>
      </c>
      <c r="J1" s="144">
        <f ca="1">TODAY()</f>
        <v>44407</v>
      </c>
      <c r="K1" s="144"/>
      <c r="L1" s="145"/>
      <c r="M1" s="34"/>
      <c r="N1" s="12" t="s">
        <v>56</v>
      </c>
      <c r="O1" s="128" t="str">
        <f>B1</f>
        <v>PB55060050WHP</v>
      </c>
      <c r="P1" s="128"/>
      <c r="Q1" s="129"/>
      <c r="R1" s="12" t="s">
        <v>57</v>
      </c>
      <c r="S1" s="128" t="str">
        <f>F1</f>
        <v>HI Q JAPAN</v>
      </c>
      <c r="T1" s="128"/>
      <c r="U1" s="129"/>
      <c r="V1" s="12" t="s">
        <v>181</v>
      </c>
      <c r="W1" s="144">
        <f ca="1">J1</f>
        <v>44407</v>
      </c>
      <c r="X1" s="144"/>
      <c r="Y1" s="145"/>
    </row>
    <row r="2" spans="1:28" ht="20.100000000000001" customHeight="1" x14ac:dyDescent="0.25">
      <c r="A2" s="12" t="s">
        <v>100</v>
      </c>
      <c r="B2" s="128" t="str">
        <f>IF(U10="","",U10)</f>
        <v/>
      </c>
      <c r="C2" s="128"/>
      <c r="D2" s="129"/>
      <c r="E2" s="12" t="s">
        <v>58</v>
      </c>
      <c r="F2" s="74">
        <v>940896</v>
      </c>
      <c r="G2" s="74"/>
      <c r="H2" s="75"/>
      <c r="I2" s="12" t="s">
        <v>59</v>
      </c>
      <c r="J2" s="175">
        <v>44438</v>
      </c>
      <c r="K2" s="175"/>
      <c r="L2" s="176"/>
      <c r="M2" s="34"/>
      <c r="N2" s="12" t="s">
        <v>100</v>
      </c>
      <c r="O2" s="128" t="str">
        <f>IF(B2="","",B2)</f>
        <v/>
      </c>
      <c r="P2" s="128"/>
      <c r="Q2" s="129"/>
      <c r="R2" s="12" t="s">
        <v>58</v>
      </c>
      <c r="S2" s="128">
        <f>IF(F2="","",F2)</f>
        <v>940896</v>
      </c>
      <c r="T2" s="128"/>
      <c r="U2" s="129"/>
      <c r="V2" s="12" t="s">
        <v>59</v>
      </c>
      <c r="W2" s="146">
        <f>J2</f>
        <v>44438</v>
      </c>
      <c r="X2" s="128"/>
      <c r="Y2" s="129"/>
    </row>
    <row r="3" spans="1:28" ht="20.100000000000001" customHeight="1" x14ac:dyDescent="0.25">
      <c r="A3" s="130" t="s">
        <v>200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34"/>
      <c r="N3" s="130" t="str">
        <f>A3</f>
        <v>NEW ITEM - SEE ROHAN FOR INK COLOUR AND ARTWORK</v>
      </c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8" ht="20.100000000000001" customHeight="1" x14ac:dyDescent="0.2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34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8" ht="20.100000000000001" customHeight="1" x14ac:dyDescent="0.25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34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8" ht="20.100000000000001" customHeight="1" x14ac:dyDescent="0.25">
      <c r="A6" s="148" t="s">
        <v>2</v>
      </c>
      <c r="B6" s="149"/>
      <c r="C6" s="149"/>
      <c r="D6" s="149"/>
      <c r="E6" s="149"/>
      <c r="F6" s="149"/>
      <c r="G6" s="149"/>
      <c r="H6" s="149"/>
      <c r="I6" s="149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42" t="s">
        <v>155</v>
      </c>
      <c r="C7" s="142"/>
      <c r="D7" s="142"/>
      <c r="E7" s="142"/>
      <c r="F7" s="142"/>
      <c r="G7" s="142"/>
      <c r="H7" s="142"/>
      <c r="I7" s="143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14</v>
      </c>
      <c r="P7" s="75"/>
      <c r="Q7" s="12" t="str">
        <f>IF(ISNUMBER(SEARCH("roll",O8,1)),"Per Roll","Per Carton")</f>
        <v>Per Carton</v>
      </c>
      <c r="R7" s="74">
        <v>250</v>
      </c>
      <c r="S7" s="75"/>
      <c r="T7" s="12" t="str">
        <f>IF(ISNUMBER(SEARCH("bag",O8,1)),"Total Bags","Total Sheets")</f>
        <v>Total Bags</v>
      </c>
      <c r="U7" s="128">
        <f>R7*O7</f>
        <v>3500</v>
      </c>
      <c r="V7" s="129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550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None</v>
      </c>
      <c r="F8" s="115"/>
      <c r="G8" s="15" t="s">
        <v>52</v>
      </c>
      <c r="H8" s="114">
        <f>(IF(V9&lt;30,"30",V9))</f>
        <v>50</v>
      </c>
      <c r="I8" s="115"/>
      <c r="J8" s="12" t="s">
        <v>54</v>
      </c>
      <c r="K8" s="128" t="str">
        <f>IF(X8="None","Layflat Tube",IF(X8="","Layflat Tube",IF(X8="CF","Layflat Tube",IF(X8="G","Gusset Tube",IF(X9="","Layflat Tube",)))))</f>
        <v>Layflat Tube</v>
      </c>
      <c r="L8" s="129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13"/>
    </row>
    <row r="9" spans="1:28" ht="20.100000000000001" customHeight="1" x14ac:dyDescent="0.3">
      <c r="A9" s="18" t="s">
        <v>48</v>
      </c>
      <c r="B9" s="150" t="s">
        <v>194</v>
      </c>
      <c r="C9" s="151"/>
      <c r="D9" s="158" t="str">
        <f>IF(K10="Middle","RUN 2 UP",IF(AND(O8="Centrefold Roll",B8=380),"RUN 2 UP",""))</f>
        <v/>
      </c>
      <c r="E9" s="142"/>
      <c r="F9" s="143"/>
      <c r="G9" s="18" t="s">
        <v>48</v>
      </c>
      <c r="H9" s="150" t="s">
        <v>195</v>
      </c>
      <c r="I9" s="151"/>
      <c r="J9" s="12" t="s">
        <v>55</v>
      </c>
      <c r="K9" s="74" t="s">
        <v>30</v>
      </c>
      <c r="L9" s="75"/>
      <c r="M9" s="34"/>
      <c r="N9" s="19"/>
      <c r="O9" s="122" t="str">
        <f>IF(O8="Poly Bag","PB",IF(O8="Poly Bag Roll","PBR",IF(O8="Centrefold Roll","CFR",IF(O8="Sheet","S",IF(O8="Sheet Roll","SR")))))</f>
        <v>PB</v>
      </c>
      <c r="P9" s="123"/>
      <c r="Q9" s="19"/>
      <c r="R9" s="35">
        <v>550</v>
      </c>
      <c r="S9" s="20" t="s">
        <v>201</v>
      </c>
      <c r="T9" s="70">
        <v>600</v>
      </c>
      <c r="U9" s="20" t="s">
        <v>78</v>
      </c>
      <c r="V9" s="35">
        <v>50</v>
      </c>
      <c r="W9" s="19"/>
      <c r="X9" s="100"/>
      <c r="Y9" s="101"/>
    </row>
    <row r="10" spans="1:28" ht="20.100000000000001" customHeight="1" x14ac:dyDescent="0.25">
      <c r="A10" s="12" t="s">
        <v>51</v>
      </c>
      <c r="B10" s="74">
        <v>5</v>
      </c>
      <c r="C10" s="75"/>
      <c r="D10" s="54" t="s">
        <v>134</v>
      </c>
      <c r="E10" s="152">
        <f>IF(ISNUMBER(SEARCH("sheet",O8,1)),((R9*T9*H8/540000)*U7/2000*1.3),((R9*T9*H8/540000)*U7/1000*1.08))</f>
        <v>115.50000000000001</v>
      </c>
      <c r="F10" s="153"/>
      <c r="G10" s="12" t="s">
        <v>53</v>
      </c>
      <c r="H10" s="156">
        <f>IF(ISNUMBER(SEARCH("sheet",O8,1)),(U7*T9/2000*1.08),(U7*T9/1000*1.08))</f>
        <v>2268</v>
      </c>
      <c r="I10" s="157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Yes</v>
      </c>
      <c r="S10" s="112"/>
      <c r="T10" s="16" t="s">
        <v>100</v>
      </c>
      <c r="U10" s="124"/>
      <c r="V10" s="124"/>
      <c r="W10" s="124"/>
      <c r="X10" s="124"/>
      <c r="Y10" s="12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8" t="str">
        <f>IF(AND(O8="Centrefold Roll",D9="RUN 2 UP"),B10*2,IF(ISNUMBER(SEARCH("sheet",O8,1)),B10*2,""))</f>
        <v/>
      </c>
      <c r="C11" s="129"/>
      <c r="D11" s="12" t="s">
        <v>135</v>
      </c>
      <c r="E11" s="154">
        <f>E10/B10</f>
        <v>23.1</v>
      </c>
      <c r="F11" s="155"/>
      <c r="G11" s="12" t="s">
        <v>15</v>
      </c>
      <c r="H11" s="154">
        <f>H10/B10</f>
        <v>453.6</v>
      </c>
      <c r="I11" s="155"/>
      <c r="J11" s="12" t="s">
        <v>50</v>
      </c>
      <c r="K11" s="74" t="s">
        <v>64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>P</v>
      </c>
      <c r="S11" s="115"/>
      <c r="T11" s="15"/>
      <c r="U11" s="126"/>
      <c r="V11" s="126"/>
      <c r="W11" s="126"/>
      <c r="X11" s="126"/>
      <c r="Y11" s="127"/>
    </row>
    <row r="12" spans="1:28" ht="20.100000000000001" customHeight="1" x14ac:dyDescent="0.25">
      <c r="A12" s="147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69</v>
      </c>
      <c r="C13" s="74"/>
      <c r="D13" s="75"/>
      <c r="E13" s="22" t="s">
        <v>61</v>
      </c>
      <c r="F13" s="74" t="s">
        <v>66</v>
      </c>
      <c r="G13" s="74"/>
      <c r="H13" s="75"/>
      <c r="I13" s="23" t="s">
        <v>62</v>
      </c>
      <c r="J13" s="118" t="s">
        <v>197</v>
      </c>
      <c r="K13" s="118"/>
      <c r="L13" s="119"/>
      <c r="M13" s="34"/>
      <c r="N13" s="12" t="s">
        <v>72</v>
      </c>
      <c r="O13" s="36" t="s">
        <v>77</v>
      </c>
      <c r="P13" s="12" t="s">
        <v>73</v>
      </c>
      <c r="Q13" s="24">
        <f>O7</f>
        <v>14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0" t="s">
        <v>199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71" t="s">
        <v>4</v>
      </c>
      <c r="F16" s="171"/>
      <c r="G16" s="171" t="s">
        <v>5</v>
      </c>
      <c r="H16" s="171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 t="s">
        <v>38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 t="s">
        <v>198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WHITE</v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10"/>
      <c r="E22" s="111"/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72"/>
      <c r="B23" s="172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3"/>
      <c r="B24" s="174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9" t="s">
        <v>116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1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62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4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5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7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8" t="s">
        <v>136</v>
      </c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70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1" zoomScaleNormal="100" workbookViewId="0">
      <selection activeCell="D68" sqref="D6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44438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44428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197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BD22B0-8237-4BA7-89B3-FC0742CAADDF}"/>
</file>

<file path=customXml/itemProps2.xml><?xml version="1.0" encoding="utf-8"?>
<ds:datastoreItem xmlns:ds="http://schemas.openxmlformats.org/officeDocument/2006/customXml" ds:itemID="{BBE90CA1-15DF-47D8-85C0-77D4B85A8B7B}"/>
</file>

<file path=customXml/itemProps3.xml><?xml version="1.0" encoding="utf-8"?>
<ds:datastoreItem xmlns:ds="http://schemas.openxmlformats.org/officeDocument/2006/customXml" ds:itemID="{0339D1F0-26EF-4C6C-8B60-F3282C72C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2021-07-30T02:57:59Z</cp:lastPrinted>
  <dcterms:created xsi:type="dcterms:W3CDTF">2019-11-27T23:28:06Z</dcterms:created>
  <dcterms:modified xsi:type="dcterms:W3CDTF">2021-07-30T03:06:05Z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