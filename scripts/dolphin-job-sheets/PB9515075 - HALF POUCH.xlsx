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4D05316-5CA5-4898-96B7-BE8C0FF41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<sst xmlns="http://schemas.openxmlformats.org/spreadsheetml/2006/main" count="305" uniqueCount="200">
  <si>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</si>
  <si>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</si>
  <si>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</si>
  <si>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</si>
  <si>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</si>
  <si>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</si>
  <si>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</si>
  <si>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</si>
  <si>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</si>
  <si>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</si>
  <si>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</si>
  <si>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</si>
  <si>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</si>
  <si>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</si>
  <si>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</si>
  <si>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</si>
  <si>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</si>
  <si>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</si>
  <si>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</si>
  <si>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</si>
  <si>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</si>
  <si>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</si>
  <si>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</si>
  <si>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</si>
  <si>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</si>
  <si>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</si>
  <si>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</si>
  <si>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</si>
  <si>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</si>
  <si>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</si>
  <si>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</si>
  <si>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</si>
  <si>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</si>
  <si>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</si>
  <si>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</si>
  <si>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</si>
  <si>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</si>
  <si>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</si>
  <si>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</si>
  <si>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</si>
  <si>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</si>
  <si>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</si>
  <si>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</si>
  <si>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</si>
  <si>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</si>
  <si>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</si>
  <si>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</si>
  <si>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</si>
  <si>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</si>
  <si>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</si>
  <si>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</si>
  <si>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</si>
  <si>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</si>
  <si>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</si>
  <si>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</si>
  <si>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</si>
  <si>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</si>
  <si>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</si>
  <si>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</si>
  <si>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</si>
  <si>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</si>
  <si>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</si>
  <si>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</si>
  <si>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</si>
  <si>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</si>
  <si>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</si>
  <si>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</si>
  <si>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</si>
  <si>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</si>
  <si>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</si>
  <si>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</si>
  <si>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</si>
  <si>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</si>
  <si>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</si>
  <si>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</si>
  <si>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</si>
  <si>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</si>
  <si>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</si>
  <si>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</si>
  <si>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</si>
  <si>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</si>
  <si>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</si>
  <si>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</si>
  <si>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</si>
  <si>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</si>
  <si>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</si>
  <si>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</si>
  <si>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</si>
  <si>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</si>
  <si>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</si>
  <si>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</si>
  <si>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</si>
  <si>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</si>
  <si>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</si>
  <si>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</si>
  <si>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</si>
  <si>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</si>
  <si>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</si>
  <si>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</si>
  <si>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</si>
  <si>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</si>
  <si>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</si>
  <si>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</si>
  <si>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</si>
  <si>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</si>
  <si>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</si>
  <si>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</si>
  <si>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</si>
  <si>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</si>
  <si>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</si>
  <si>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</si>
  <si>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</si>
  <si>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</si>
  <si>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</si>
  <si>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</si>
  <si>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</si>
  <si>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</si>
  <si>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</si>
  <si>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</si>
  <si>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</si>
  <si>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</si>
  <si>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</si>
  <si>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</si>
  <si>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</si>
  <si>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</si>
  <si>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</si>
  <si>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</si>
  <si>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</si>
  <si>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</si>
  <si>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</si>
  <si>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</si>
  <si>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</si>
  <si>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</si>
  <si>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</si>
  <si>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</si>
  <si>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</si>
  <si>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</si>
  <si>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</si>
  <si>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</si>
  <si>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</si>
  <si>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</si>
  <si>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</si>
  <si>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</si>
  <si>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</si>
  <si>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</si>
  <si>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</si>
  <si>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</si>
  <si>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</si>
  <si>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</si>
  <si>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</si>
  <si>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</si>
  <si>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</si>
  <si>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</si>
  <si>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</si>
  <si>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</si>
  <si>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</si>
  <si>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</si>
  <si>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</si>
  <si>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</si>
  <si>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</si>
  <si>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</si>
  <si>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</si>
  <si>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</si>
  <si>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</si>
  <si>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</si>
  <si>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</si>
  <si>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</si>
  <si>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</si>
  <si>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</si>
  <si>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</si>
  <si>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</si>
  <si>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</si>
  <si>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</si>
  <si>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</si>
  <si>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</si>
  <si>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</si>
  <si>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</si>
  <si>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</si>
  <si>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</si>
  <si>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</si>
  <si>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</si>
  <si>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</si>
  <si>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</si>
  <si>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</si>
  <si>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</si>
  <si>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</si>
  <si>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</si>
  <si>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</si>
  <si>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</si>
  <si>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</si>
  <si>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</si>
  <si>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</si>
  <si>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</si>
  <si>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</si>
  <si>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</si>
  <si>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</si>
  <si>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1/2 POUCH</t>
  </si>
  <si>
    <t>BAG MUST NOT BE OVER 95MM - LIVE FISH TRANSPORT - MUST HAVE WATERTIGHT SEALS</t>
  </si>
  <si>
    <t>CORALS DOWN UNDER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</si>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</sst>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PB9515075</v>
      </c>
      <c r="C1" s="123"/>
      <c r="D1" s="124"/>
      <c r="E1" s="12" t="s">
        <v>57</v>
      </c>
      <c r="F1" s="134" t="s">
        <v>198</v>
      </c>
      <c r="G1" s="134"/>
      <c r="H1" s="135"/>
      <c r="I1" s="13" t="s">
        <v>181</v>
      </c>
      <c r="J1" s="136">
        <f ca="1">TODAY()</f>
        <v>44574</v>
      </c>
      <c r="K1" s="136"/>
      <c r="L1" s="137"/>
      <c r="M1" s="34"/>
      <c r="N1" s="12" t="s">
        <v>56</v>
      </c>
      <c r="O1" s="123" t="str">
        <f>B1</f>
        <v>PB9515075</v>
      </c>
      <c r="P1" s="123"/>
      <c r="Q1" s="124"/>
      <c r="R1" s="12" t="s">
        <v>57</v>
      </c>
      <c r="S1" s="123" t="str">
        <f>F1</f>
        <v>CORALS DOWN UNDER</v>
      </c>
      <c r="T1" s="123"/>
      <c r="U1" s="124"/>
      <c r="V1" s="12" t="s">
        <v>181</v>
      </c>
      <c r="W1" s="136">
        <f ca="1">J1</f>
        <v>44574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1/2 POUCH</v>
      </c>
      <c r="C2" s="123"/>
      <c r="D2" s="124"/>
      <c r="E2" s="12" t="s">
        <v>58</v>
      </c>
      <c r="F2" s="73">
        <v>942239</v>
      </c>
      <c r="G2" s="73"/>
      <c r="H2" s="74"/>
      <c r="I2" s="12" t="s">
        <v>59</v>
      </c>
      <c r="J2" s="139">
        <v>44605</v>
      </c>
      <c r="K2" s="73"/>
      <c r="L2" s="74"/>
      <c r="M2" s="34"/>
      <c r="N2" s="12" t="s">
        <v>100</v>
      </c>
      <c r="O2" s="123" t="str">
        <f>IF(B2="","",B2)</f>
        <v>1/2 POUCH</v>
      </c>
      <c r="P2" s="123"/>
      <c r="Q2" s="124"/>
      <c r="R2" s="12" t="s">
        <v>58</v>
      </c>
      <c r="S2" s="123">
        <f>IF(F2="","",F2)</f>
        <v>942239</v>
      </c>
      <c r="T2" s="123"/>
      <c r="U2" s="124"/>
      <c r="V2" s="12" t="s">
        <v>59</v>
      </c>
      <c r="W2" s="138">
        <f>J2</f>
        <v>44605</v>
      </c>
      <c r="X2" s="123"/>
      <c r="Y2" s="124"/>
    </row>
    <row r="3" spans="1:28" ht="20.100000000000001" customHeight="1" x14ac:dyDescent="0.25">
      <c r="A3" s="125" t="s">
        <v>197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BAG MUST NOT BE OVER 95MM - LIVE FISH TRANSPORT - MUST HAVE WATERTIGHT SEALS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2000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95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195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95</v>
      </c>
      <c r="S9" s="20" t="s">
        <v>78</v>
      </c>
      <c r="T9" s="35">
        <v>150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42.750000000000007</v>
      </c>
      <c r="F10" s="146"/>
      <c r="G10" s="12" t="s">
        <v>53</v>
      </c>
      <c r="H10" s="149">
        <f>IF(ISNUMBER(SEARCH("sheet",O8,1)),(U7*T9/2000*1.08),(U7*T9/1000*1.08))</f>
        <v>3240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196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8.5500000000000007</v>
      </c>
      <c r="F11" s="148"/>
      <c r="G11" s="12" t="s">
        <v>15</v>
      </c>
      <c r="H11" s="147">
        <f>H10/B10</f>
        <v>648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44605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44595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B5D3B3D-3B45-4B87-8643-4B44477442A6}"/>
</file>

<file path=customXml/itemProps2.xml><?xml version="1.0" encoding="utf-8"?>
<ds:datastoreItem xmlns:ds="http://schemas.openxmlformats.org/officeDocument/2006/customXml" ds:itemID="{A5CF6C50-E19F-487F-98A5-1B7BCE5C5878}"/>
</file>

<file path=customXml/itemProps3.xml><?xml version="1.0" encoding="utf-8"?>
<ds:datastoreItem xmlns:ds="http://schemas.openxmlformats.org/officeDocument/2006/customXml" ds:itemID="{4399B1BF-FFDB-4659-93D6-36FC3C726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2022-01-13T01:14:10Z</cp:lastPrinted>
  <dcterms:created xsi:type="dcterms:W3CDTF">2019-11-27T23:28:06Z</dcterms:created>
  <dcterms:modified xsi:type="dcterms:W3CDTF">2022-01-13T01:15:26Z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