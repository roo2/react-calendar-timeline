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FE4C182-151F-417F-BA05-E96DA97CD4B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Sheet1!$A$1:$L$43,Sheet1!$A$45:$L$86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1" l="1"/>
  <c r="E8" i="1"/>
  <c r="D8" i="1" l="1"/>
  <c r="E10" i="1" l="1"/>
  <c r="D9" i="1" l="1"/>
  <c r="B11" i="1" s="1"/>
  <c r="H11" i="1" l="1"/>
  <c r="A11" i="1" l="1"/>
  <c r="H10" i="1" l="1"/>
  <c r="K8" i="1" l="1"/>
  <c r="C25" i="1" l="1"/>
  <c r="C24" i="1" l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<sst xmlns="http://schemas.openxmlformats.org/spreadsheetml/2006/main" count="228" uniqueCount="169">
  <si>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</si>
  <si>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</si>
  <si>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</si>
  <si>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</si>
  <si>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</si>
  <si>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</si>
  <si>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</si>
  <si>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</si>
  <si>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</si>
  <si>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</si>
  <si>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</si>
  <si>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</si>
  <si>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</si>
  <si>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</si>
  <si>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</si>
  <si>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</si>
  <si>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</si>
  <si>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</si>
  <si>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</si>
  <si>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</si>
  <si>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</si>
  <si>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</si>
  <si>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</si>
  <si>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</si>
  <si>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</si>
  <si>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</si>
  <si>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</si>
  <si>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</si>
  <si>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</si>
  <si>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</si>
  <si>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</si>
  <si>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</si>
  <si>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</si>
  <si>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</si>
  <si>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</si>
  <si>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</si>
  <si>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</si>
  <si>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</si>
  <si>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</si>
  <si>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</si>
  <si>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</si>
  <si>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</si>
  <si>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</si>
  <si>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</si>
  <si>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</si>
  <si>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</si>
  <si>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</si>
  <si>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</si>
  <si>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</si>
  <si>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</si>
  <si>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</si>
  <si>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</si>
  <si>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</si>
  <si>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</si>
  <si>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</si>
  <si>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</si>
  <si>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</si>
  <si>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</si>
  <si>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</si>
  <si>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</si>
  <si>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</si>
  <si>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</si>
  <si>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</si>
  <si>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</si>
  <si>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</si>
  <si>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</si>
  <si>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</si>
  <si>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</si>
  <si>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</si>
  <si>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</si>
  <si>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</si>
  <si>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</si>
  <si>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</si>
  <si>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</si>
  <si>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</si>
  <si>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</si>
  <si>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</si>
  <si>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</si>
  <si>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</si>
  <si>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</si>
  <si>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</si>
  <si>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</si>
  <si>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</si>
  <si>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</si>
  <si>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</si>
  <si>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</si>
  <si>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</si>
  <si>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</si>
  <si>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</si>
  <si>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</si>
  <si>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</si>
  <si>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</si>
  <si>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</si>
  <si>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</si>
  <si>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</si>
  <si>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</si>
  <si>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</si>
  <si>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</si>
  <si>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</si>
  <si>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</si>
  <si>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</si>
  <si>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</si>
  <si>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</si>
  <si>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</si>
  <si>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</si>
  <si>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</si>
  <si>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</si>
  <si>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</si>
  <si>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</si>
  <si>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</si>
  <si>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</si>
  <si>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</si>
  <si>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</si>
  <si>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</si>
  <si>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</si>
  <si>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</si>
  <si>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</si>
  <si>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</si>
  <si>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</si>
  <si>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</si>
  <si>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</si>
  <si>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</si>
  <si>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</si>
  <si>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</si>
  <si>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</si>
  <si>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</si>
  <si>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</si>
  <si>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</si>
  <si>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</si>
  <si>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</si>
  <si>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</si>
  <si>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</si>
  <si>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</si>
  <si>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</si>
  <si>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</si>
  <si>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</si>
  <si>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</si>
  <si>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</si>
  <si>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</si>
  <si>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</si>
  <si>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</si>
  <si>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</si>
  <si>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</si>
  <si>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</si>
  <si>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</si>
  <si>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</si>
  <si>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</si>
  <si>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</si>
  <si>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</si>
  <si>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</si>
  <si>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</si>
  <si>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</si>
  <si>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</si>
  <si>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</si>
  <si>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</si>
  <si>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</si>
  <si>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</si>
  <si>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</si>
  <si>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</si>
  <si>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</si>
  <si>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</si>
  <si>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</si>
  <si>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</si>
  <si>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</si>
  <si>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ANTI BLOCK</t>
  </si>
  <si>
    <t>CORROSION INHIBITOR</t>
  </si>
  <si>
    <t>UV</t>
  </si>
  <si>
    <t>NOT UNDER</t>
  </si>
  <si>
    <t>AUST MARINE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</si>
</sst>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M9" sqref="M9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T75050FALSEUV</v>
      </c>
      <c r="C1" s="61"/>
      <c r="D1" s="62"/>
      <c r="E1" s="11" t="s">
        <v>55</v>
      </c>
      <c r="F1" s="51" t="s">
        <v>168</v>
      </c>
      <c r="G1" s="51"/>
      <c r="H1" s="52"/>
      <c r="I1" s="11" t="s">
        <v>148</v>
      </c>
      <c r="J1" s="76">
        <f ca="1">TODAY()</f>
        <v>46066</v>
      </c>
      <c r="K1" s="76"/>
      <c r="L1" s="77"/>
    </row>
    <row r="2" spans="1:14" ht="20.100000000000001" customHeight="1" x14ac:dyDescent="0.25">
      <c r="A2" s="11" t="s">
        <v>94</v>
      </c>
      <c r="B2" s="65" t="str">
        <f>IF(B7="Tube",(ROUNDUP(E11,0)&amp;"KG"),(ROUNDUP(H11,0)&amp;"M"))</f>
        <v>25KG</v>
      </c>
      <c r="C2" s="65"/>
      <c r="D2" s="66"/>
      <c r="E2" s="11" t="s">
        <v>56</v>
      </c>
      <c r="F2" s="51">
        <v>951491</v>
      </c>
      <c r="G2" s="51"/>
      <c r="H2" s="52"/>
      <c r="I2" s="11" t="s">
        <v>57</v>
      </c>
      <c r="J2" s="78" t="s">
        <v>162</v>
      </c>
      <c r="K2" s="51"/>
      <c r="L2" s="52"/>
    </row>
    <row r="3" spans="1:14" ht="20.100000000000001" customHeight="1" x14ac:dyDescent="0.2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00000000000001" customHeight="1" x14ac:dyDescent="0.2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00000000000001" customHeight="1" x14ac:dyDescent="0.2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00000000000001" customHeight="1" x14ac:dyDescent="0.2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00000000000001" customHeight="1" x14ac:dyDescent="0.3">
      <c r="A7" s="11" t="s">
        <v>158</v>
      </c>
      <c r="B7" s="51" t="s">
        <v>159</v>
      </c>
      <c r="C7" s="52"/>
      <c r="D7" s="11" t="s">
        <v>47</v>
      </c>
      <c r="E7" s="107" t="s">
        <v>131</v>
      </c>
      <c r="F7" s="107"/>
      <c r="G7" s="107"/>
      <c r="H7" s="107"/>
      <c r="I7" s="107"/>
      <c r="J7" s="91" t="s">
        <v>145</v>
      </c>
      <c r="K7" s="91"/>
      <c r="L7" s="92"/>
    </row>
    <row r="8" spans="1:14" ht="20.100000000000001" customHeight="1" x14ac:dyDescent="0.25">
      <c r="A8" s="12" t="s">
        <v>14</v>
      </c>
      <c r="B8" s="97">
        <v>750</v>
      </c>
      <c r="C8" s="98"/>
      <c r="D8" s="12" t="str">
        <f>IF(B7="Tube","Gusset","Centrefold")</f>
        <v>Gusset</v>
      </c>
      <c r="E8" s="93" t="str">
        <f>IF(B7="Cont Centrefold",B8*2,"")</f>
        <v/>
      </c>
      <c r="F8" s="94"/>
      <c r="G8" s="12" t="s">
        <v>50</v>
      </c>
      <c r="H8" s="97">
        <v>50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00000000000001" customHeight="1" x14ac:dyDescent="0.3">
      <c r="A9" s="13" t="s">
        <v>46</v>
      </c>
      <c r="B9" s="81" t="s">
        <v>146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167</v>
      </c>
      <c r="I9" s="82"/>
      <c r="J9" s="11" t="s">
        <v>53</v>
      </c>
      <c r="K9" s="51" t="s">
        <v>28</v>
      </c>
      <c r="L9" s="52"/>
    </row>
    <row r="10" spans="1:14" ht="20.100000000000001" customHeight="1" x14ac:dyDescent="0.25">
      <c r="A10" s="11" t="s">
        <v>49</v>
      </c>
      <c r="B10" s="51">
        <v>5</v>
      </c>
      <c r="C10" s="52"/>
      <c r="D10" s="36" t="s">
        <v>104</v>
      </c>
      <c r="E10" s="85">
        <f>E11*B10</f>
        <v>125</v>
      </c>
      <c r="F10" s="86"/>
      <c r="G10" s="11" t="s">
        <v>51</v>
      </c>
      <c r="H10" s="65">
        <f>H11*B10</f>
        <v>1800</v>
      </c>
      <c r="I10" s="66"/>
      <c r="J10" s="11" t="s">
        <v>39</v>
      </c>
      <c r="K10" s="51" t="s">
        <v>42</v>
      </c>
      <c r="L10" s="52"/>
    </row>
    <row r="11" spans="1:14" s="43" customFormat="1" ht="20.100000000000001" customHeight="1" x14ac:dyDescent="0.25">
      <c r="A11" s="42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2" t="s">
        <v>105</v>
      </c>
      <c r="E11" s="87">
        <v>25</v>
      </c>
      <c r="F11" s="88"/>
      <c r="G11" s="42" t="s">
        <v>13</v>
      </c>
      <c r="H11" s="89">
        <f>E11*540000/B8/H8</f>
        <v>360</v>
      </c>
      <c r="I11" s="90"/>
      <c r="J11" s="42" t="s">
        <v>48</v>
      </c>
      <c r="K11" s="95" t="s">
        <v>42</v>
      </c>
      <c r="L11" s="96"/>
      <c r="N11"/>
    </row>
    <row r="12" spans="1:14" ht="20.100000000000001" customHeight="1" x14ac:dyDescent="0.2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00000000000001" customHeight="1" x14ac:dyDescent="0.25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00000000000001" customHeight="1" x14ac:dyDescent="0.3">
      <c r="A14" s="12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00000000000001" customHeight="1" x14ac:dyDescent="0.2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00000000000001" customHeight="1" x14ac:dyDescent="0.25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5</v>
      </c>
      <c r="G16" s="61"/>
      <c r="H16" s="62"/>
      <c r="I16" s="11" t="s">
        <v>74</v>
      </c>
      <c r="J16" s="51"/>
      <c r="K16" s="51"/>
      <c r="L16" s="52"/>
    </row>
    <row r="17" spans="1:12" ht="20.100000000000001" customHeight="1" x14ac:dyDescent="0.2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00000000000001" customHeight="1" x14ac:dyDescent="0.2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00000000000001" customHeight="1" x14ac:dyDescent="0.25">
      <c r="A19" s="49" t="s">
        <v>5</v>
      </c>
      <c r="B19" s="49"/>
      <c r="C19" s="63" t="s">
        <v>115</v>
      </c>
      <c r="D19" s="64"/>
      <c r="E19" s="103"/>
      <c r="F19" s="104"/>
      <c r="G19" s="10" t="s">
        <v>76</v>
      </c>
      <c r="H19" s="31"/>
      <c r="I19" s="56"/>
      <c r="J19" s="57"/>
      <c r="K19" s="56"/>
      <c r="L19" s="57"/>
    </row>
    <row r="20" spans="1:12" ht="20.100000000000001" customHeight="1" x14ac:dyDescent="0.2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00000000000001" customHeight="1" x14ac:dyDescent="0.25">
      <c r="A21" s="49" t="s">
        <v>7</v>
      </c>
      <c r="B21" s="49"/>
      <c r="C21" s="63" t="s">
        <v>113</v>
      </c>
      <c r="D21" s="64"/>
      <c r="E21" s="103"/>
      <c r="F21" s="104"/>
      <c r="G21" s="10" t="s">
        <v>78</v>
      </c>
      <c r="H21" s="31"/>
      <c r="I21" s="56"/>
      <c r="J21" s="57"/>
      <c r="K21" s="56"/>
      <c r="L21" s="57"/>
    </row>
    <row r="22" spans="1:12" ht="20.100000000000001" customHeight="1" x14ac:dyDescent="0.2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00000000000001" customHeight="1" x14ac:dyDescent="0.25">
      <c r="A23" s="49" t="s">
        <v>150</v>
      </c>
      <c r="B23" s="49"/>
      <c r="C23" s="63" t="s">
        <v>151</v>
      </c>
      <c r="D23" s="64"/>
      <c r="E23" s="103"/>
      <c r="F23" s="104"/>
      <c r="G23" s="10" t="s">
        <v>80</v>
      </c>
      <c r="H23" s="31"/>
      <c r="I23" s="56"/>
      <c r="J23" s="57"/>
      <c r="K23" s="56"/>
      <c r="L23" s="57"/>
    </row>
    <row r="24" spans="1:12" ht="20.100000000000001" customHeight="1" x14ac:dyDescent="0.25">
      <c r="A24" s="49" t="s">
        <v>165</v>
      </c>
      <c r="B24" s="49"/>
      <c r="C24" s="119" t="b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0</v>
      </c>
      <c r="D24" s="120"/>
      <c r="E24" s="103"/>
      <c r="F24" s="104"/>
      <c r="G24" s="10" t="s">
        <v>81</v>
      </c>
      <c r="H24" s="31"/>
      <c r="I24" s="56"/>
      <c r="J24" s="57"/>
      <c r="K24" s="56"/>
      <c r="L24" s="57"/>
    </row>
    <row r="25" spans="1:12" ht="20.100000000000001" customHeight="1" x14ac:dyDescent="0.25">
      <c r="A25" s="49" t="s">
        <v>166</v>
      </c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UV</v>
      </c>
      <c r="D25" s="64"/>
      <c r="E25" s="103" t="s">
        <v>164</v>
      </c>
      <c r="F25" s="104"/>
      <c r="G25" s="10" t="s">
        <v>82</v>
      </c>
      <c r="H25" s="31"/>
      <c r="I25" s="56"/>
      <c r="J25" s="57"/>
      <c r="K25" s="56"/>
      <c r="L25" s="57"/>
    </row>
    <row r="26" spans="1:12" ht="20.100000000000001" customHeight="1" x14ac:dyDescent="0.2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00000000000001" customHeight="1" x14ac:dyDescent="0.2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00000000000001" customHeight="1" x14ac:dyDescent="0.2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00000000000001" customHeight="1" x14ac:dyDescent="0.2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00000000000001" customHeight="1" x14ac:dyDescent="0.2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00000000000001" customHeight="1" x14ac:dyDescent="0.2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46094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46087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2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144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142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142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B9D9CFE-B008-489C-893C-CA29D4017D8B}"/>
</file>

<file path=customXml/itemProps2.xml><?xml version="1.0" encoding="utf-8"?>
<ds:datastoreItem xmlns:ds="http://schemas.openxmlformats.org/officeDocument/2006/customXml" ds:itemID="{B841902D-B0F3-447E-8256-632E3AF60F50}"/>
</file>

<file path=customXml/itemProps3.xml><?xml version="1.0" encoding="utf-8"?>
<ds:datastoreItem xmlns:ds="http://schemas.openxmlformats.org/officeDocument/2006/customXml" ds:itemID="{722246D7-A9B8-4D07-82F3-3255215CA2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2026-02-13T06:35:26Z</cp:lastPrinted>
  <dcterms:created xsi:type="dcterms:W3CDTF">2019-11-27T23:28:06Z</dcterms:created>
  <dcterms:modified xsi:type="dcterms:W3CDTF">2026-02-13T06:36:16Z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