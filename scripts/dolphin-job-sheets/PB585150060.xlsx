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61A1708-23C6-47CC-8DBA-249B205C4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<sst xmlns="http://schemas.openxmlformats.org/spreadsheetml/2006/main" count="302" uniqueCount="197">
  <si>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</si>
  <si>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</si>
  <si>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</si>
  <si>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</si>
  <si>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</si>
  <si>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</si>
  <si>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</si>
  <si>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</si>
  <si>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</si>
  <si>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</si>
  <si>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</si>
  <si>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</si>
  <si>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</si>
  <si>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</si>
  <si>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</si>
  <si>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</si>
  <si>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</si>
  <si>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</si>
  <si>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</si>
  <si>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</si>
  <si>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</si>
  <si>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</si>
  <si>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</si>
  <si>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</si>
  <si>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</si>
  <si>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</si>
  <si>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</si>
  <si>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</si>
  <si>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</si>
  <si>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</si>
  <si>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</si>
  <si>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</si>
  <si>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</si>
  <si>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</si>
  <si>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</si>
  <si>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</si>
  <si>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</si>
  <si>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</si>
  <si>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</si>
  <si>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</si>
  <si>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</si>
  <si>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</si>
  <si>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</si>
  <si>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</si>
  <si>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</si>
  <si>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</si>
  <si>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</si>
  <si>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</si>
  <si>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</si>
  <si>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</si>
  <si>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</si>
  <si>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</si>
  <si>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</si>
  <si>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</si>
  <si>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</si>
  <si>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</si>
  <si>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</si>
  <si>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</si>
  <si>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</si>
  <si>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</si>
  <si>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</si>
  <si>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</si>
  <si>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</si>
  <si>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</si>
  <si>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</si>
  <si>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</si>
  <si>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</si>
  <si>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</si>
  <si>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</si>
  <si>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</si>
  <si>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</si>
  <si>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</si>
  <si>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</si>
  <si>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</si>
  <si>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</si>
  <si>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</si>
  <si>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</si>
  <si>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</si>
  <si>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</si>
  <si>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</si>
  <si>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</si>
  <si>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</si>
  <si>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</si>
  <si>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</si>
  <si>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</si>
  <si>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</si>
  <si>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</si>
  <si>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</si>
  <si>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</si>
  <si>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</si>
  <si>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</si>
  <si>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</si>
  <si>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</si>
  <si>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</si>
  <si>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</si>
  <si>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</si>
  <si>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</si>
  <si>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</si>
  <si>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</si>
  <si>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</si>
  <si>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</si>
  <si>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</si>
  <si>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</si>
  <si>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</si>
  <si>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</si>
  <si>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</si>
  <si>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</si>
  <si>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</si>
  <si>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</si>
  <si>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</si>
  <si>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</si>
  <si>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</si>
  <si>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</si>
  <si>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</si>
  <si>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</si>
  <si>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</si>
  <si>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</si>
  <si>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</si>
  <si>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</si>
  <si>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</si>
  <si>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</si>
  <si>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</si>
  <si>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</si>
  <si>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</si>
  <si>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</si>
  <si>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</si>
  <si>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</si>
  <si>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</si>
  <si>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</si>
  <si>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</si>
  <si>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</si>
  <si>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</si>
  <si>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</si>
  <si>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</si>
  <si>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</si>
  <si>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</si>
  <si>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</si>
  <si>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</si>
  <si>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</si>
  <si>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</si>
  <si>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</si>
  <si>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</si>
  <si>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</si>
  <si>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</si>
  <si>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</si>
  <si>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</si>
  <si>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</si>
  <si>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</si>
  <si>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</si>
  <si>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</si>
  <si>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</si>
  <si>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</si>
  <si>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</si>
  <si>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</si>
  <si>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</si>
  <si>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</si>
  <si>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</si>
  <si>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</si>
  <si>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</si>
  <si>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</si>
  <si>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</si>
  <si>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</si>
  <si>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</si>
  <si>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</si>
  <si>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</si>
  <si>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</si>
  <si>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</si>
  <si>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</si>
  <si>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</si>
  <si>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</si>
  <si>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</si>
  <si>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</si>
  <si>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</si>
  <si>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</si>
  <si>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</si>
  <si>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</si>
  <si>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</si>
  <si>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</si>
  <si>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</si>
  <si>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</si>
  <si>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</si>
  <si>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</si>
  <si>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</si>
  <si>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</si>
  <si>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</si>
  <si>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</si>
  <si>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</si>
  <si>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</si>
  <si>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</si>
  <si>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</si>
  <si>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</si>
  <si>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</si>
  <si>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 xml:space="preserve"> +/- 5mm</t>
  </si>
  <si>
    <t>ASAP</t>
  </si>
  <si>
    <t>Centrefold Roll</t>
  </si>
  <si>
    <t>BIDFOOD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</si>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</sst>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Border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Fill="1" applyBorder="1" applyAlignment="1" applyProtection="1">
      <alignment horizontal="center"/>
      <protection locked="0"/>
    </xf>
    <xf numFmtId="0" fontId="10" fillId="0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PB585150060</v>
      </c>
      <c r="C1" s="124"/>
      <c r="D1" s="125"/>
      <c r="E1" s="12" t="s">
        <v>57</v>
      </c>
      <c r="F1" s="135" t="s">
        <v>195</v>
      </c>
      <c r="G1" s="135"/>
      <c r="H1" s="136"/>
      <c r="I1" s="13" t="s">
        <v>181</v>
      </c>
      <c r="J1" s="137">
        <f ca="1">TODAY()</f>
        <v>44634</v>
      </c>
      <c r="K1" s="137"/>
      <c r="L1" s="138"/>
      <c r="M1" s="35"/>
      <c r="N1" s="12" t="s">
        <v>56</v>
      </c>
      <c r="O1" s="124" t="str">
        <f>B1</f>
        <v>PB585150060</v>
      </c>
      <c r="P1" s="124"/>
      <c r="Q1" s="125"/>
      <c r="R1" s="12" t="s">
        <v>57</v>
      </c>
      <c r="S1" s="124" t="str">
        <f>F1</f>
        <v>BIDFOOD</v>
      </c>
      <c r="T1" s="124"/>
      <c r="U1" s="125"/>
      <c r="V1" s="12" t="s">
        <v>181</v>
      </c>
      <c r="W1" s="137">
        <f ca="1">J1</f>
        <v>44634</v>
      </c>
      <c r="X1" s="137"/>
      <c r="Y1" s="138"/>
    </row>
    <row r="2" spans="1:28" ht="20.100000000000001" customHeight="1" x14ac:dyDescent="0.25">
      <c r="A2" s="12" t="s">
        <v>100</v>
      </c>
      <c r="B2" s="124" t="str">
        <f>IF(U10="","",U10)</f>
        <v/>
      </c>
      <c r="C2" s="124"/>
      <c r="D2" s="125"/>
      <c r="E2" s="12" t="s">
        <v>58</v>
      </c>
      <c r="F2" s="74">
        <v>942305</v>
      </c>
      <c r="G2" s="74"/>
      <c r="H2" s="75"/>
      <c r="I2" s="12" t="s">
        <v>59</v>
      </c>
      <c r="J2" s="140" t="s">
        <v>193</v>
      </c>
      <c r="K2" s="141"/>
      <c r="L2" s="142"/>
      <c r="M2" s="35"/>
      <c r="N2" s="12" t="s">
        <v>100</v>
      </c>
      <c r="O2" s="124" t="str">
        <f>IF(B2="","",B2)</f>
        <v/>
      </c>
      <c r="P2" s="124"/>
      <c r="Q2" s="125"/>
      <c r="R2" s="12" t="s">
        <v>58</v>
      </c>
      <c r="S2" s="124">
        <f>IF(F2="","",F2)</f>
        <v>942305</v>
      </c>
      <c r="T2" s="124"/>
      <c r="U2" s="125"/>
      <c r="V2" s="12" t="s">
        <v>59</v>
      </c>
      <c r="W2" s="139" t="str">
        <f>J2</f>
        <v>ASAP</v>
      </c>
      <c r="X2" s="124"/>
      <c r="Y2" s="125"/>
    </row>
    <row r="3" spans="1:28" ht="20.100000000000001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5"/>
      <c r="N3" s="126">
        <f>A3</f>
        <v>0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5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5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4" t="s">
        <v>2</v>
      </c>
      <c r="B6" s="145"/>
      <c r="C6" s="145"/>
      <c r="D6" s="145"/>
      <c r="E6" s="145"/>
      <c r="F6" s="145"/>
      <c r="G6" s="145"/>
      <c r="H6" s="145"/>
      <c r="I6" s="145"/>
      <c r="J6" s="82"/>
      <c r="K6" s="82"/>
      <c r="L6" s="83"/>
      <c r="M6" s="35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6" t="s">
        <v>163</v>
      </c>
      <c r="C7" s="116"/>
      <c r="D7" s="116"/>
      <c r="E7" s="116"/>
      <c r="F7" s="116"/>
      <c r="G7" s="116"/>
      <c r="H7" s="116"/>
      <c r="I7" s="117"/>
      <c r="J7" s="79" t="s">
        <v>179</v>
      </c>
      <c r="K7" s="79"/>
      <c r="L7" s="80"/>
      <c r="M7" s="35"/>
      <c r="N7" s="12" t="str">
        <f>IF(ISNUMBER(SEARCH("roll",O8,1)),"No. Rolls","No. Cartons")</f>
        <v>No. Cartons</v>
      </c>
      <c r="O7" s="74">
        <v>50</v>
      </c>
      <c r="P7" s="75"/>
      <c r="Q7" s="12" t="str">
        <f>IF(ISNUMBER(SEARCH("roll",O8,1)),"Per Roll","Per Carton")</f>
        <v>Per Carton</v>
      </c>
      <c r="R7" s="74">
        <v>100</v>
      </c>
      <c r="S7" s="75"/>
      <c r="T7" s="12" t="str">
        <f>IF(ISNUMBER(SEARCH("bag",O8,1)),"Total Bags","Total Sheets")</f>
        <v>Total Bags</v>
      </c>
      <c r="U7" s="124">
        <f>R7*O7</f>
        <v>5000</v>
      </c>
      <c r="V7" s="125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2">
        <f>R9</f>
        <v>585</v>
      </c>
      <c r="C8" s="113"/>
      <c r="D8" s="15" t="str">
        <f>IF(ISNUMBER(SEARCH("bag",O8,1)),"Gusset","Centrefold")</f>
        <v>Gusset</v>
      </c>
      <c r="E8" s="112" t="str">
        <f>IF(O8="Centrefold Roll",B8*2,IF(X9="","None",X9))</f>
        <v>None</v>
      </c>
      <c r="F8" s="113"/>
      <c r="G8" s="15" t="s">
        <v>52</v>
      </c>
      <c r="H8" s="112">
        <f>(IF(V9&lt;30,"30",V9))</f>
        <v>60</v>
      </c>
      <c r="I8" s="113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5"/>
      <c r="N8" s="16" t="s">
        <v>54</v>
      </c>
      <c r="O8" s="114" t="s">
        <v>164</v>
      </c>
      <c r="P8" s="11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None</v>
      </c>
      <c r="Y8" s="111"/>
    </row>
    <row r="9" spans="1:28" ht="20.100000000000001" customHeight="1" x14ac:dyDescent="0.3">
      <c r="A9" s="19" t="s">
        <v>48</v>
      </c>
      <c r="B9" s="146" t="s">
        <v>192</v>
      </c>
      <c r="C9" s="147"/>
      <c r="D9" s="154" t="str">
        <f>IF(K10="Middle","RUN 2 UP",IF(AND(O8="Centrefold Roll",B8=380),"RUN 2 UP",""))</f>
        <v/>
      </c>
      <c r="E9" s="116"/>
      <c r="F9" s="117"/>
      <c r="G9" s="19" t="s">
        <v>48</v>
      </c>
      <c r="H9" s="146" t="s">
        <v>196</v>
      </c>
      <c r="I9" s="147"/>
      <c r="J9" s="12" t="s">
        <v>55</v>
      </c>
      <c r="K9" s="74" t="s">
        <v>30</v>
      </c>
      <c r="L9" s="75"/>
      <c r="M9" s="35"/>
      <c r="N9" s="20"/>
      <c r="O9" s="118" t="str">
        <f>IF(O8="Poly Bag","PB",IF(O8="Poly Bag Roll","PBR",IF(O8="Centrefold Roll","CFR",IF(O8="Sheet","S",IF(O8="Sheet Roll","SR")))))</f>
        <v>PB</v>
      </c>
      <c r="P9" s="119"/>
      <c r="Q9" s="20"/>
      <c r="R9" s="36">
        <v>585</v>
      </c>
      <c r="S9" s="21" t="s">
        <v>78</v>
      </c>
      <c r="T9" s="36">
        <v>1500</v>
      </c>
      <c r="U9" s="21" t="s">
        <v>78</v>
      </c>
      <c r="V9" s="36">
        <v>60</v>
      </c>
      <c r="W9" s="20"/>
      <c r="X9" s="100"/>
      <c r="Y9" s="101"/>
    </row>
    <row r="10" spans="1:28" ht="20.100000000000001" customHeight="1" x14ac:dyDescent="0.25">
      <c r="A10" s="12" t="s">
        <v>51</v>
      </c>
      <c r="B10" s="74">
        <v>13</v>
      </c>
      <c r="C10" s="75"/>
      <c r="D10" s="55" t="s">
        <v>134</v>
      </c>
      <c r="E10" s="148">
        <f>IF(ISNUMBER(SEARCH("sheet",O8,1)),((R9*T9*H8/540000)*U7/2000*1.3),((R9*T9*H8/540000)*U7/1000*1.08))</f>
        <v>526.5</v>
      </c>
      <c r="F10" s="149"/>
      <c r="G10" s="12" t="s">
        <v>53</v>
      </c>
      <c r="H10" s="152">
        <f>IF(ISNUMBER(SEARCH("sheet",O8,1)),(U7*T9/2000*1.08),(U7*T9/1000*1.08))</f>
        <v>8100.0000000000009</v>
      </c>
      <c r="I10" s="153"/>
      <c r="J10" s="12" t="s">
        <v>41</v>
      </c>
      <c r="K10" s="74" t="s">
        <v>44</v>
      </c>
      <c r="L10" s="75"/>
      <c r="M10" s="35"/>
      <c r="N10" s="22" t="s">
        <v>141</v>
      </c>
      <c r="O10" s="114" t="s">
        <v>44</v>
      </c>
      <c r="P10" s="115"/>
      <c r="Q10" s="16" t="s">
        <v>50</v>
      </c>
      <c r="R10" s="110" t="str">
        <f>IF(K11="NONE","None",IF(K11="INLINE","Yes",IF(K11="OUT OF LINE","Yes")))</f>
        <v>None</v>
      </c>
      <c r="S10" s="110"/>
      <c r="T10" s="16" t="s">
        <v>100</v>
      </c>
      <c r="U10" s="120"/>
      <c r="V10" s="120"/>
      <c r="W10" s="120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50">
        <f>E10/B10</f>
        <v>40.5</v>
      </c>
      <c r="F11" s="151"/>
      <c r="G11" s="12" t="s">
        <v>15</v>
      </c>
      <c r="H11" s="150">
        <f>H10/B10</f>
        <v>623.07692307692309</v>
      </c>
      <c r="I11" s="151"/>
      <c r="J11" s="12" t="s">
        <v>50</v>
      </c>
      <c r="K11" s="74" t="s">
        <v>44</v>
      </c>
      <c r="L11" s="75"/>
      <c r="M11" s="35"/>
      <c r="N11" s="15"/>
      <c r="O11" s="112" t="str">
        <f>IF(O10="NONE","","V")</f>
        <v/>
      </c>
      <c r="P11" s="113"/>
      <c r="Q11" s="15"/>
      <c r="R11" s="112" t="str">
        <f>IF(R10="None","","P")</f>
        <v/>
      </c>
      <c r="S11" s="113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3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5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3" t="s">
        <v>61</v>
      </c>
      <c r="F13" s="74" t="s">
        <v>44</v>
      </c>
      <c r="G13" s="74"/>
      <c r="H13" s="75"/>
      <c r="I13" s="24" t="s">
        <v>62</v>
      </c>
      <c r="J13" s="74" t="s">
        <v>44</v>
      </c>
      <c r="K13" s="74"/>
      <c r="L13" s="75"/>
      <c r="M13" s="35"/>
      <c r="N13" s="12" t="s">
        <v>72</v>
      </c>
      <c r="O13" s="37" t="s">
        <v>77</v>
      </c>
      <c r="P13" s="12" t="s">
        <v>73</v>
      </c>
      <c r="Q13" s="25">
        <f>O7</f>
        <v>50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7"/>
      <c r="M14" s="35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5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67" t="s">
        <v>4</v>
      </c>
      <c r="F16" s="167"/>
      <c r="G16" s="167" t="s">
        <v>5</v>
      </c>
      <c r="H16" s="167"/>
      <c r="I16" s="79" t="s">
        <v>11</v>
      </c>
      <c r="J16" s="80"/>
      <c r="K16" s="79" t="s">
        <v>12</v>
      </c>
      <c r="L16" s="80"/>
      <c r="M16" s="35"/>
      <c r="N16" s="12" t="s">
        <v>28</v>
      </c>
      <c r="O16" s="74" t="s">
        <v>169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8" t="s">
        <v>147</v>
      </c>
      <c r="D17" s="109"/>
      <c r="E17" s="71"/>
      <c r="F17" s="72"/>
      <c r="G17" s="57" t="s">
        <v>81</v>
      </c>
      <c r="H17" s="38"/>
      <c r="I17" s="71"/>
      <c r="J17" s="72"/>
      <c r="K17" s="71"/>
      <c r="L17" s="72"/>
      <c r="M17" s="35"/>
      <c r="N17" s="12" t="s">
        <v>26</v>
      </c>
      <c r="O17" s="74" t="s">
        <v>37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8" t="s">
        <v>146</v>
      </c>
      <c r="D18" s="109"/>
      <c r="E18" s="71"/>
      <c r="F18" s="72"/>
      <c r="G18" s="57" t="s">
        <v>82</v>
      </c>
      <c r="H18" s="38"/>
      <c r="I18" s="71"/>
      <c r="J18" s="72"/>
      <c r="K18" s="71"/>
      <c r="L18" s="72"/>
      <c r="M18" s="35"/>
      <c r="N18" s="12" t="s">
        <v>101</v>
      </c>
      <c r="O18" s="74" t="s">
        <v>185</v>
      </c>
      <c r="P18" s="75"/>
      <c r="Q18" s="12" t="s">
        <v>106</v>
      </c>
      <c r="R18" s="74" t="s">
        <v>31</v>
      </c>
      <c r="S18" s="75"/>
      <c r="T18" s="26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8" t="s">
        <v>145</v>
      </c>
      <c r="D19" s="109"/>
      <c r="E19" s="71"/>
      <c r="F19" s="72"/>
      <c r="G19" s="57" t="s">
        <v>83</v>
      </c>
      <c r="H19" s="38"/>
      <c r="I19" s="71"/>
      <c r="J19" s="72"/>
      <c r="K19" s="71"/>
      <c r="L19" s="72"/>
      <c r="M19" s="35"/>
      <c r="N19" s="87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8" t="s">
        <v>144</v>
      </c>
      <c r="D20" s="109"/>
      <c r="E20" s="71"/>
      <c r="F20" s="72"/>
      <c r="G20" s="57" t="s">
        <v>84</v>
      </c>
      <c r="H20" s="38"/>
      <c r="I20" s="71"/>
      <c r="J20" s="72"/>
      <c r="K20" s="71"/>
      <c r="L20" s="72"/>
      <c r="M20" s="35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8" t="s">
        <v>143</v>
      </c>
      <c r="D21" s="109"/>
      <c r="E21" s="71"/>
      <c r="F21" s="72"/>
      <c r="G21" s="57" t="s">
        <v>85</v>
      </c>
      <c r="H21" s="38"/>
      <c r="I21" s="71"/>
      <c r="J21" s="72"/>
      <c r="K21" s="71"/>
      <c r="L21" s="72"/>
      <c r="M21" s="35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/>
      </c>
      <c r="B22" s="73"/>
      <c r="C22" s="10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9"/>
      <c r="E22" s="71"/>
      <c r="F22" s="72"/>
      <c r="G22" s="57" t="s">
        <v>86</v>
      </c>
      <c r="H22" s="38"/>
      <c r="I22" s="71"/>
      <c r="J22" s="72"/>
      <c r="K22" s="71"/>
      <c r="L22" s="72"/>
      <c r="M22" s="35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68"/>
      <c r="B23" s="168"/>
      <c r="C23" s="10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9"/>
      <c r="E23" s="71"/>
      <c r="F23" s="72"/>
      <c r="G23" s="57" t="s">
        <v>87</v>
      </c>
      <c r="H23" s="38"/>
      <c r="I23" s="71"/>
      <c r="J23" s="72"/>
      <c r="K23" s="71"/>
      <c r="L23" s="72"/>
      <c r="M23" s="35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69"/>
      <c r="B24" s="170"/>
      <c r="C24" s="10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9"/>
      <c r="E24" s="71"/>
      <c r="F24" s="72"/>
      <c r="G24" s="57" t="s">
        <v>88</v>
      </c>
      <c r="H24" s="38"/>
      <c r="I24" s="71"/>
      <c r="J24" s="72"/>
      <c r="K24" s="71"/>
      <c r="L24" s="72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5"/>
      <c r="N25" s="27" t="s">
        <v>96</v>
      </c>
      <c r="O25" s="10"/>
      <c r="P25" s="40"/>
      <c r="Q25" s="10">
        <v>22</v>
      </c>
      <c r="R25" s="10"/>
      <c r="S25" s="10"/>
      <c r="T25" s="10"/>
      <c r="U25" s="10"/>
      <c r="V25" s="10"/>
      <c r="W25" s="10">
        <v>18</v>
      </c>
      <c r="X25" s="10">
        <v>13.7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07" t="s">
        <v>132</v>
      </c>
      <c r="H26" s="107"/>
      <c r="I26" s="107" t="s">
        <v>131</v>
      </c>
      <c r="J26" s="107"/>
      <c r="K26" s="29" t="s">
        <v>94</v>
      </c>
      <c r="L26" s="29" t="s">
        <v>95</v>
      </c>
      <c r="M26" s="35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106"/>
      <c r="H27" s="106"/>
      <c r="I27" s="106"/>
      <c r="J27" s="106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106"/>
      <c r="H28" s="106"/>
      <c r="I28" s="106"/>
      <c r="J28" s="106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155" t="s">
        <v>116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7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60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3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164" t="s">
        <v>136</v>
      </c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6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44665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44655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194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22AE10E-ADD6-4063-8A0C-0F646FF08F8E}"/>
</file>

<file path=customXml/itemProps2.xml><?xml version="1.0" encoding="utf-8"?>
<ds:datastoreItem xmlns:ds="http://schemas.openxmlformats.org/officeDocument/2006/customXml" ds:itemID="{A2038E55-83B1-40A5-B5B5-7A79160BFB04}"/>
</file>

<file path=customXml/itemProps3.xml><?xml version="1.0" encoding="utf-8"?>
<ds:datastoreItem xmlns:ds="http://schemas.openxmlformats.org/officeDocument/2006/customXml" ds:itemID="{82BE7FF8-1361-477E-9584-1643CD604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2022-02-09T04:17:14Z</cp:lastPrinted>
  <dcterms:created xsi:type="dcterms:W3CDTF">2019-11-27T23:28:06Z</dcterms:created>
  <dcterms:modified xsi:type="dcterms:W3CDTF">2022-03-13T23:27:58Z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