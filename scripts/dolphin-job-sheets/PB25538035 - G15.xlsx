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DABD0A-2D3B-4CF8-8FAD-A1FF2ECF103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<sst xmlns="http://schemas.openxmlformats.org/spreadsheetml/2006/main" count="308" uniqueCount="203">
  <si>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</si>
  <si>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</si>
  <si>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</si>
  <si>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</si>
  <si>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</si>
  <si>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</si>
  <si>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</si>
  <si>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</si>
  <si>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</si>
  <si>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</si>
  <si>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</si>
  <si>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</si>
  <si>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</si>
  <si>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</si>
  <si>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</si>
  <si>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</si>
  <si>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</si>
  <si>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</si>
  <si>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</si>
  <si>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</si>
  <si>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</si>
  <si>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</si>
  <si>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</si>
  <si>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</si>
  <si>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</si>
  <si>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</si>
  <si>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</si>
  <si>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</si>
  <si>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</si>
  <si>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</si>
  <si>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</si>
  <si>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</si>
  <si>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</si>
  <si>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</si>
  <si>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</si>
  <si>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</si>
  <si>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</si>
  <si>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</si>
  <si>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</si>
  <si>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</si>
  <si>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</si>
  <si>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</si>
  <si>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</si>
  <si>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</si>
  <si>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</si>
  <si>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</si>
  <si>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</si>
  <si>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</si>
  <si>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</si>
  <si>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</si>
  <si>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</si>
  <si>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</si>
  <si>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</si>
  <si>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</si>
  <si>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</si>
  <si>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</si>
  <si>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</si>
  <si>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</si>
  <si>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</si>
  <si>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</si>
  <si>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</si>
  <si>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</si>
  <si>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</si>
  <si>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</si>
  <si>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</si>
  <si>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</si>
  <si>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</si>
  <si>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</si>
  <si>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</si>
  <si>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</si>
  <si>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</si>
  <si>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</si>
  <si>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</si>
  <si>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</si>
  <si>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</si>
  <si>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</si>
  <si>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</si>
  <si>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</si>
  <si>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</si>
  <si>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</si>
  <si>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</si>
  <si>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</si>
  <si>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</si>
  <si>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</si>
  <si>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</si>
  <si>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</si>
  <si>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</si>
  <si>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</si>
  <si>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</si>
  <si>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</si>
  <si>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</si>
  <si>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</si>
  <si>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</si>
  <si>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</si>
  <si>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</si>
  <si>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</si>
  <si>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</si>
  <si>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</si>
  <si>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</si>
  <si>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</si>
  <si>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</si>
  <si>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</si>
  <si>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</si>
  <si>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</si>
  <si>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</si>
  <si>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</si>
  <si>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</si>
  <si>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</si>
  <si>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</si>
  <si>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</si>
  <si>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</si>
  <si>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</si>
  <si>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</si>
  <si>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</si>
  <si>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</si>
  <si>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</si>
  <si>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</si>
  <si>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</si>
  <si>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</si>
  <si>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</si>
  <si>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</si>
  <si>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</si>
  <si>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</si>
  <si>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</si>
  <si>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</si>
  <si>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</si>
  <si>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</si>
  <si>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</si>
  <si>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</si>
  <si>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</si>
  <si>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</si>
  <si>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</si>
  <si>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</si>
  <si>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</si>
  <si>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</si>
  <si>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</si>
  <si>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</si>
  <si>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</si>
  <si>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</si>
  <si>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</si>
  <si>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</si>
  <si>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</si>
  <si>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</si>
  <si>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</si>
  <si>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</si>
  <si>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</si>
  <si>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</si>
  <si>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</si>
  <si>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</si>
  <si>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</si>
  <si>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</si>
  <si>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</si>
  <si>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</si>
  <si>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</si>
  <si>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</si>
  <si>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</si>
  <si>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</si>
  <si>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</si>
  <si>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</si>
  <si>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</si>
  <si>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</si>
  <si>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</si>
  <si>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</si>
  <si>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</si>
  <si>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</si>
  <si>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</si>
  <si>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</si>
  <si>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</si>
  <si>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</si>
  <si>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</si>
  <si>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</si>
  <si>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</si>
  <si>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</si>
  <si>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</si>
  <si>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</si>
  <si>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</si>
  <si>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</si>
  <si>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</si>
  <si>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</si>
  <si>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</si>
  <si>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</si>
  <si>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</si>
  <si>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</si>
  <si>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</si>
  <si>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</si>
  <si>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</si>
  <si>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</si>
  <si>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</si>
  <si>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</si>
  <si>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</si>
  <si>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</si>
  <si>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</si>
  <si>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</si>
  <si>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</si>
  <si>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2 UP</t>
  </si>
  <si>
    <t xml:space="preserve"> +/-3mm</t>
  </si>
  <si>
    <t xml:space="preserve"> +/-3um</t>
  </si>
  <si>
    <t>G15</t>
  </si>
  <si>
    <t>LIMAX</t>
  </si>
  <si>
    <t>APN NEWS CORP</t>
  </si>
  <si>
    <t>ANTISTATIC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</si>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</sst>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PB25538035AS0</v>
      </c>
      <c r="C1" s="111"/>
      <c r="D1" s="112"/>
      <c r="E1" s="11" t="s">
        <v>57</v>
      </c>
      <c r="F1" s="122" t="s">
        <v>199</v>
      </c>
      <c r="G1" s="87"/>
      <c r="H1" s="88"/>
      <c r="I1" s="12" t="s">
        <v>181</v>
      </c>
      <c r="J1" s="84">
        <f ca="1">TODAY()</f>
        <v>45793</v>
      </c>
      <c r="K1" s="84"/>
      <c r="L1" s="85"/>
      <c r="M1" s="29"/>
      <c r="N1" s="11" t="s">
        <v>56</v>
      </c>
      <c r="O1" s="111" t="str">
        <f>B1</f>
        <v>PB25538035AS0</v>
      </c>
      <c r="P1" s="111"/>
      <c r="Q1" s="112"/>
      <c r="R1" s="11" t="s">
        <v>57</v>
      </c>
      <c r="S1" s="111" t="str">
        <f>F1</f>
        <v>APN NEWS CORP</v>
      </c>
      <c r="T1" s="111"/>
      <c r="U1" s="112"/>
      <c r="V1" s="11" t="s">
        <v>181</v>
      </c>
      <c r="W1" s="84">
        <f ca="1">J1</f>
        <v>45793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G15</v>
      </c>
      <c r="C2" s="111"/>
      <c r="D2" s="112"/>
      <c r="E2" s="11" t="s">
        <v>58</v>
      </c>
      <c r="F2" s="87">
        <v>949985</v>
      </c>
      <c r="G2" s="87"/>
      <c r="H2" s="88"/>
      <c r="I2" s="11" t="s">
        <v>59</v>
      </c>
      <c r="J2" s="86">
        <v>45814</v>
      </c>
      <c r="K2" s="87"/>
      <c r="L2" s="88"/>
      <c r="M2" s="29"/>
      <c r="N2" s="11" t="s">
        <v>100</v>
      </c>
      <c r="O2" s="111" t="str">
        <f>IF(B2="","",B2)</f>
        <v>G15</v>
      </c>
      <c r="P2" s="111"/>
      <c r="Q2" s="112"/>
      <c r="R2" s="11" t="s">
        <v>58</v>
      </c>
      <c r="S2" s="111">
        <f>IF(F2="","",F2)</f>
        <v>949985</v>
      </c>
      <c r="T2" s="111"/>
      <c r="U2" s="112"/>
      <c r="V2" s="11" t="s">
        <v>59</v>
      </c>
      <c r="W2" s="123">
        <f>J2</f>
        <v>45814</v>
      </c>
      <c r="X2" s="111"/>
      <c r="Y2" s="112"/>
    </row>
    <row r="3" spans="1:25" ht="20.149999999999999" customHeight="1" x14ac:dyDescent="0.75">
      <c r="A3" s="113" t="s">
        <v>194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RUN 2 UP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40000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255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255</v>
      </c>
      <c r="S9" s="18" t="s">
        <v>78</v>
      </c>
      <c r="T9" s="30">
        <v>380</v>
      </c>
      <c r="U9" s="18" t="s">
        <v>78</v>
      </c>
      <c r="V9" s="30">
        <v>35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12</v>
      </c>
      <c r="C10" s="88"/>
      <c r="D10" s="47" t="s">
        <v>134</v>
      </c>
      <c r="E10" s="101">
        <f>IF(ISNUMBER(SEARCH("sheet",O8,1)),((R9*T9*H8/540000)*U7/2000*1.3),((R9*T9*H8/540000)*U7/1000*1.08))</f>
        <v>271.32000000000005</v>
      </c>
      <c r="F10" s="102"/>
      <c r="G10" s="11" t="s">
        <v>53</v>
      </c>
      <c r="H10" s="105">
        <f>IF(ISNUMBER(SEARCH("sheet",O8,1)),(U7*T9/2000*1.08),(U7*T9/1000*1.08))</f>
        <v>16416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197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22.610000000000003</v>
      </c>
      <c r="F11" s="104"/>
      <c r="G11" s="11" t="s">
        <v>15</v>
      </c>
      <c r="H11" s="103">
        <f>H10/B10</f>
        <v>1368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4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2"/>
      <c r="J17" s="143"/>
      <c r="K17" s="142"/>
      <c r="L17" s="14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4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2"/>
      <c r="J18" s="143"/>
      <c r="K18" s="142"/>
      <c r="L18" s="14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4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2"/>
      <c r="J19" s="143"/>
      <c r="K19" s="142"/>
      <c r="L19" s="143"/>
      <c r="M19" s="29"/>
      <c r="N19" s="145" t="s">
        <v>116</v>
      </c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2"/>
      <c r="J20" s="143"/>
      <c r="K20" s="142"/>
      <c r="L20" s="143"/>
      <c r="M20" s="29"/>
      <c r="N20" s="148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50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2"/>
      <c r="J21" s="143"/>
      <c r="K21" s="142"/>
      <c r="L21" s="143"/>
      <c r="M21" s="29"/>
      <c r="N21" s="148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50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39"/>
      <c r="F22" s="83"/>
      <c r="G22" s="48" t="s">
        <v>86</v>
      </c>
      <c r="H22" s="32"/>
      <c r="I22" s="142"/>
      <c r="J22" s="143"/>
      <c r="K22" s="142"/>
      <c r="L22" s="143"/>
      <c r="M22" s="29"/>
      <c r="N22" s="151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3"/>
    </row>
    <row r="23" spans="1:25" ht="20.149999999999999" customHeight="1" x14ac:dyDescent="0.75">
      <c r="A23" s="79" t="s">
        <v>200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9" t="s">
        <v>202</v>
      </c>
      <c r="F23" s="140"/>
      <c r="G23" s="48" t="s">
        <v>87</v>
      </c>
      <c r="H23" s="32"/>
      <c r="I23" s="142"/>
      <c r="J23" s="143"/>
      <c r="K23" s="142"/>
      <c r="L23" s="14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139" t="s">
        <v>202</v>
      </c>
      <c r="F24" s="140"/>
      <c r="G24" s="48" t="s">
        <v>88</v>
      </c>
      <c r="H24" s="32"/>
      <c r="I24" s="142"/>
      <c r="J24" s="143"/>
      <c r="K24" s="142"/>
      <c r="L24" s="14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1" t="s">
        <v>132</v>
      </c>
      <c r="H26" s="141"/>
      <c r="I26" s="141" t="s">
        <v>131</v>
      </c>
      <c r="J26" s="141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45814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01F86D1-D0E7-4018-85C9-B15C69076AB4}"/>
</file>

<file path=customXml/itemProps2.xml><?xml version="1.0" encoding="utf-8"?>
<ds:datastoreItem xmlns:ds="http://schemas.openxmlformats.org/officeDocument/2006/customXml" ds:itemID="{31AABC32-D99C-4B6E-B84A-0A9B9C5F0822}"/>
</file>

<file path=customXml/itemProps3.xml><?xml version="1.0" encoding="utf-8"?>
<ds:datastoreItem xmlns:ds="http://schemas.openxmlformats.org/officeDocument/2006/customXml" ds:itemID="{04CE7CF8-F3BD-47FC-B409-6211718E1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2025-05-16T02:26:40Z</cp:lastPrinted>
  <dcterms:created xsi:type="dcterms:W3CDTF">2019-11-27T23:28:06Z</dcterms:created>
  <dcterms:modified xsi:type="dcterms:W3CDTF">2025-05-18T23:11:08Z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