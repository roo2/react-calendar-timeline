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08F39DC-FED2-4971-9CBB-3694EF91C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<sst xmlns="http://schemas.openxmlformats.org/spreadsheetml/2006/main" count="301" uniqueCount="199">
  <si>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</si>
  <si>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</si>
  <si>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</si>
  <si>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</si>
  <si>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</si>
  <si>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</si>
  <si>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</si>
  <si>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</si>
  <si>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</si>
  <si>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</si>
  <si>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</si>
  <si>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</si>
  <si>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</si>
  <si>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</si>
  <si>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</si>
  <si>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</si>
  <si>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</si>
  <si>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</si>
  <si>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</si>
  <si>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</si>
  <si>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</si>
  <si>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</si>
  <si>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</si>
  <si>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</si>
  <si>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</si>
  <si>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</si>
  <si>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</si>
  <si>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</si>
  <si>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</si>
  <si>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</si>
  <si>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</si>
  <si>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</si>
  <si>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</si>
  <si>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</si>
  <si>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</si>
  <si>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</si>
  <si>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</si>
  <si>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</si>
  <si>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</si>
  <si>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</si>
  <si>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</si>
  <si>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</si>
  <si>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</si>
  <si>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</si>
  <si>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</si>
  <si>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</si>
  <si>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</si>
  <si>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</si>
  <si>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</si>
  <si>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</si>
  <si>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</si>
  <si>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</si>
  <si>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</si>
  <si>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</si>
  <si>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</si>
  <si>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</si>
  <si>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</si>
  <si>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</si>
  <si>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</si>
  <si>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</si>
  <si>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</si>
  <si>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</si>
  <si>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</si>
  <si>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</si>
  <si>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</si>
  <si>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</si>
  <si>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</si>
  <si>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</si>
  <si>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</si>
  <si>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</si>
  <si>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</si>
  <si>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</si>
  <si>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</si>
  <si>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</si>
  <si>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</si>
  <si>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</si>
  <si>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</si>
  <si>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</si>
  <si>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</si>
  <si>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</si>
  <si>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</si>
  <si>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</si>
  <si>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</si>
  <si>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</si>
  <si>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</si>
  <si>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</si>
  <si>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</si>
  <si>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</si>
  <si>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</si>
  <si>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</si>
  <si>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</si>
  <si>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</si>
  <si>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</si>
  <si>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</si>
  <si>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</si>
  <si>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</si>
  <si>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</si>
  <si>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</si>
  <si>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</si>
  <si>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</si>
  <si>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</si>
  <si>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</si>
  <si>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</si>
  <si>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</si>
  <si>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</si>
  <si>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</si>
  <si>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</si>
  <si>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</si>
  <si>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</si>
  <si>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</si>
  <si>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</si>
  <si>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</si>
  <si>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</si>
  <si>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</si>
  <si>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</si>
  <si>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</si>
  <si>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</si>
  <si>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</si>
  <si>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</si>
  <si>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</si>
  <si>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</si>
  <si>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</si>
  <si>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</si>
  <si>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</si>
  <si>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</si>
  <si>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</si>
  <si>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</si>
  <si>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</si>
  <si>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</si>
  <si>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</si>
  <si>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</si>
  <si>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</si>
  <si>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</si>
  <si>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</si>
  <si>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</si>
  <si>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</si>
  <si>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</si>
  <si>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</si>
  <si>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</si>
  <si>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</si>
  <si>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</si>
  <si>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</si>
  <si>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</si>
  <si>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</si>
  <si>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</si>
  <si>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</si>
  <si>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</si>
  <si>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</si>
  <si>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</si>
  <si>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</si>
  <si>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</si>
  <si>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</si>
  <si>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</si>
  <si>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</si>
  <si>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</si>
  <si>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</si>
  <si>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</si>
  <si>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</si>
  <si>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</si>
  <si>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</si>
  <si>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</si>
  <si>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</si>
  <si>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</si>
  <si>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</si>
  <si>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</si>
  <si>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</si>
  <si>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</si>
  <si>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</si>
  <si>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</si>
  <si>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</si>
  <si>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</si>
  <si>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</si>
  <si>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</si>
  <si>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</si>
  <si>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</si>
  <si>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</si>
  <si>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</si>
  <si>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</si>
  <si>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</si>
  <si>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</si>
  <si>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</si>
  <si>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</si>
  <si>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</si>
  <si>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</si>
  <si>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</si>
  <si>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</si>
  <si>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</si>
  <si>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</si>
  <si>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</si>
  <si>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</si>
  <si>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</si>
  <si>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</si>
  <si>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</si>
  <si>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</si>
  <si>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FROMM PACKAGING</t>
  </si>
  <si>
    <t xml:space="preserve"> +/- 5mm</t>
  </si>
  <si>
    <t xml:space="preserve"> +/- 5um</t>
  </si>
  <si>
    <t>16.11.2022</t>
  </si>
  <si>
    <t>MUST BE BY DUE DATE - NO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</si>
</sst>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G19" sqref="AG19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PBR1102600100</v>
      </c>
      <c r="C1" s="113"/>
      <c r="D1" s="114"/>
      <c r="E1" s="16" t="s">
        <v>56</v>
      </c>
      <c r="F1" s="94" t="s">
        <v>194</v>
      </c>
      <c r="G1" s="94"/>
      <c r="H1" s="95"/>
      <c r="I1" s="16" t="s">
        <v>180</v>
      </c>
      <c r="J1" s="134">
        <f ca="1">TODAY()</f>
        <v>44949</v>
      </c>
      <c r="K1" s="134"/>
      <c r="L1" s="135"/>
      <c r="M1" s="30"/>
      <c r="N1" s="16" t="s">
        <v>55</v>
      </c>
      <c r="O1" s="113" t="str">
        <f>B1</f>
        <v>PBR1102600100</v>
      </c>
      <c r="P1" s="113"/>
      <c r="Q1" s="114"/>
      <c r="R1" s="16" t="s">
        <v>56</v>
      </c>
      <c r="S1" s="113" t="str">
        <f>F1</f>
        <v>FROMM PACKAGING</v>
      </c>
      <c r="T1" s="113"/>
      <c r="U1" s="114"/>
      <c r="V1" s="16" t="s">
        <v>180</v>
      </c>
      <c r="W1" s="134">
        <f ca="1">J1</f>
        <v>44949</v>
      </c>
      <c r="X1" s="134"/>
      <c r="Y1" s="135"/>
    </row>
    <row r="2" spans="1:25" ht="20.100000000000001" customHeight="1" x14ac:dyDescent="0.25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944451</v>
      </c>
      <c r="G2" s="94"/>
      <c r="H2" s="95"/>
      <c r="I2" s="16" t="s">
        <v>58</v>
      </c>
      <c r="J2" s="93" t="s">
        <v>197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944451</v>
      </c>
      <c r="T2" s="113"/>
      <c r="U2" s="114"/>
      <c r="V2" s="16" t="s">
        <v>58</v>
      </c>
      <c r="W2" s="136" t="str">
        <f>J2</f>
        <v>16.11.2022</v>
      </c>
      <c r="X2" s="113"/>
      <c r="Y2" s="114"/>
    </row>
    <row r="3" spans="1:25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MUST BE BY DUE DATE - NO EXCEPTIONS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30</v>
      </c>
      <c r="P7" s="95"/>
      <c r="Q7" s="16" t="str">
        <f>IF(ISNUMBER(SEARCH("roll",O8,1)),"Per Roll","Per Carton")</f>
        <v>Per Roll</v>
      </c>
      <c r="R7" s="94">
        <v>200</v>
      </c>
      <c r="S7" s="95"/>
      <c r="T7" s="16" t="str">
        <f>IF(ISNUMBER(SEARCH("bag",O8,1)),"Total Bags","Total Sheets")</f>
        <v>Total Bags</v>
      </c>
      <c r="U7" s="113">
        <f>R7*O7</f>
        <v>6000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110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00000000000001" customHeight="1" x14ac:dyDescent="0.3">
      <c r="A9" s="21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110</v>
      </c>
      <c r="S9" s="23" t="s">
        <v>77</v>
      </c>
      <c r="T9" s="31">
        <v>2600</v>
      </c>
      <c r="U9" s="23" t="s">
        <v>77</v>
      </c>
      <c r="V9" s="31">
        <v>100</v>
      </c>
      <c r="W9" s="22"/>
      <c r="X9" s="100"/>
      <c r="Y9" s="101"/>
    </row>
    <row r="10" spans="1:25" ht="20.100000000000001" customHeight="1" x14ac:dyDescent="0.25">
      <c r="A10" s="16" t="s">
        <v>50</v>
      </c>
      <c r="B10" s="94">
        <v>30</v>
      </c>
      <c r="C10" s="95"/>
      <c r="D10" s="49" t="s">
        <v>133</v>
      </c>
      <c r="E10" s="115">
        <f>IF(ISNUMBER(SEARCH("sheet",O8,1)),((R9*T9*H8/540000)*U7/2000*1.3),((R9*T9*H8/540000)*U7/1000*1.08))</f>
        <v>343.2</v>
      </c>
      <c r="F10" s="116"/>
      <c r="G10" s="16" t="s">
        <v>52</v>
      </c>
      <c r="H10" s="119">
        <f>IF(ISNUMBER(SEARCH("sheet",O8,1)),(U7*T9/2000*1.08),(U7*T9/1000*1.08))</f>
        <v>16848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11.44</v>
      </c>
      <c r="F11" s="118"/>
      <c r="G11" s="16" t="s">
        <v>14</v>
      </c>
      <c r="H11" s="117">
        <f>H10/B10</f>
        <v>561.6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30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44980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44970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7FF372-05F4-40DE-971A-50FF10F46302}"/>
</file>

<file path=customXml/itemProps2.xml><?xml version="1.0" encoding="utf-8"?>
<ds:datastoreItem xmlns:ds="http://schemas.openxmlformats.org/officeDocument/2006/customXml" ds:itemID="{07BB6EDE-C0B5-43EF-B703-584414B758A9}"/>
</file>

<file path=customXml/itemProps3.xml><?xml version="1.0" encoding="utf-8"?>
<ds:datastoreItem xmlns:ds="http://schemas.openxmlformats.org/officeDocument/2006/customXml" ds:itemID="{59CCEDF4-B7CF-4CD3-9CD6-DCD1396F0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Molly</cp:lastModifiedBy>
  <cp:lastPrinted>2022-10-14T01:07:55Z</cp:lastPrinted>
  <dcterms:created xsi:type="dcterms:W3CDTF">2019-11-27T23:28:06Z</dcterms:created>
  <dcterms:modified xsi:type="dcterms:W3CDTF">2023-01-26T23:32:52Z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