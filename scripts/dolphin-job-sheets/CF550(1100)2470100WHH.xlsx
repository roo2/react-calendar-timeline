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56690885-7E33-4ACB-AA5E-A7D87DC13CC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E10" i="1" l="1"/>
  <c r="A22" i="1"/>
  <c r="C22" i="1" s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<sst xmlns="http://schemas.openxmlformats.org/spreadsheetml/2006/main" count="308" uniqueCount="201">
  <si>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</si>
  <si>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</si>
  <si>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</si>
  <si>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</si>
  <si>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</si>
  <si>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</si>
  <si>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</si>
  <si>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</si>
  <si>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</si>
  <si>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</si>
  <si>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</si>
  <si>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</si>
  <si>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</si>
  <si>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</si>
  <si>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</si>
  <si>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</si>
  <si>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</si>
  <si>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</si>
  <si>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</si>
  <si>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</si>
  <si>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</si>
  <si>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</si>
  <si>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</si>
  <si>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</si>
  <si>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</si>
  <si>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</si>
  <si>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</si>
  <si>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</si>
  <si>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</si>
  <si>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</si>
  <si>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</si>
  <si>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</si>
  <si>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</si>
  <si>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</si>
  <si>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</si>
  <si>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</si>
  <si>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</si>
  <si>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</si>
  <si>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</si>
  <si>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</si>
  <si>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</si>
  <si>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</si>
  <si>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</si>
  <si>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</si>
  <si>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</si>
  <si>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</si>
  <si>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</si>
  <si>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</si>
  <si>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</si>
  <si>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</si>
  <si>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</si>
  <si>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</si>
  <si>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</si>
  <si>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</si>
  <si>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</si>
  <si>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</si>
  <si>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</si>
  <si>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</si>
  <si>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</si>
  <si>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</si>
  <si>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</si>
  <si>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</si>
  <si>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</si>
  <si>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</si>
  <si>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</si>
  <si>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</si>
  <si>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</si>
  <si>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</si>
  <si>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</si>
  <si>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</si>
  <si>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</si>
  <si>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</si>
  <si>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</si>
  <si>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</si>
  <si>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</si>
  <si>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</si>
  <si>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</si>
  <si>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</si>
  <si>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</si>
  <si>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</si>
  <si>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</si>
  <si>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</si>
  <si>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</si>
  <si>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</si>
  <si>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</si>
  <si>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</si>
  <si>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</si>
  <si>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</si>
  <si>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</si>
  <si>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</si>
  <si>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</si>
  <si>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</si>
  <si>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</si>
  <si>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</si>
  <si>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</si>
  <si>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</si>
  <si>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</si>
  <si>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</si>
  <si>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</si>
  <si>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</si>
  <si>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</si>
  <si>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</si>
  <si>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</si>
  <si>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</si>
  <si>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</si>
  <si>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</si>
  <si>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</si>
  <si>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</si>
  <si>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</si>
  <si>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</si>
  <si>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</si>
  <si>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</si>
  <si>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</si>
  <si>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</si>
  <si>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</si>
  <si>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</si>
  <si>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</si>
  <si>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</si>
  <si>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</si>
  <si>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</si>
  <si>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</si>
  <si>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</si>
  <si>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</si>
  <si>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</si>
  <si>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</si>
  <si>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</si>
  <si>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</si>
  <si>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</si>
  <si>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</si>
  <si>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</si>
  <si>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</si>
  <si>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</si>
  <si>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</si>
  <si>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</si>
  <si>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</si>
  <si>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</si>
  <si>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</si>
  <si>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</si>
  <si>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</si>
  <si>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</si>
  <si>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</si>
  <si>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</si>
  <si>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</si>
  <si>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</si>
  <si>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</si>
  <si>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</si>
  <si>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</si>
  <si>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</si>
  <si>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</si>
  <si>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</si>
  <si>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</si>
  <si>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</si>
  <si>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</si>
  <si>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</si>
  <si>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</si>
  <si>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</si>
  <si>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</si>
  <si>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</si>
  <si>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</si>
  <si>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</si>
  <si>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</si>
  <si>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</si>
  <si>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</si>
  <si>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</si>
  <si>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</si>
  <si>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</si>
  <si>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</si>
  <si>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</si>
  <si>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</si>
  <si>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</si>
  <si>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</si>
  <si>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</si>
  <si>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</si>
  <si>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</si>
  <si>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</si>
  <si>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</si>
  <si>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</si>
  <si>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</si>
  <si>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</si>
  <si>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</si>
  <si>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</si>
  <si>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</si>
  <si>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</si>
  <si>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</si>
  <si>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</si>
  <si>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</si>
  <si>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</si>
  <si>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</si>
  <si>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</si>
  <si>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</si>
  <si>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</si>
  <si>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</si>
  <si>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</si>
  <si>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</si>
  <si>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</si>
  <si>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 xml:space="preserve"> +/-5um</t>
  </si>
  <si>
    <t>UV</t>
  </si>
  <si>
    <t>PERF</t>
  </si>
  <si>
    <t>NO HEAT</t>
  </si>
  <si>
    <t>SONDER CASKETS</t>
  </si>
  <si>
    <t xml:space="preserve"> PLEASE ENSURE GOOD NEAT ROLLS  &amp; MUST CONTAIN REMILL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</si>
</sst>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B1" zoomScale="80" zoomScaleNormal="80" workbookViewId="0">
      <selection activeCell="T9" sqref="T9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99" t="str">
        <f>O9&amp;R9&amp;IF(X8="G","G","")&amp;IF(O8="Centrefold Roll","("&amp;E8&amp;")","")&amp;T9&amp;V9&amp;C22&amp;C23&amp;C24&amp;O11&amp;R11</f>
        <v>CFR550(1100)2470100UV</v>
      </c>
      <c r="C1" s="99"/>
      <c r="D1" s="100"/>
      <c r="E1" s="25" t="s">
        <v>56</v>
      </c>
      <c r="F1" s="101" t="s">
        <v>199</v>
      </c>
      <c r="G1" s="101"/>
      <c r="H1" s="102"/>
      <c r="I1" s="25" t="s">
        <v>180</v>
      </c>
      <c r="J1" s="120">
        <f ca="1">TODAY()</f>
        <v>45824</v>
      </c>
      <c r="K1" s="120"/>
      <c r="L1" s="121"/>
      <c r="M1" s="11"/>
      <c r="N1" s="25" t="s">
        <v>55</v>
      </c>
      <c r="O1" s="99" t="str">
        <f>B1</f>
        <v>CFR550(1100)2470100UV</v>
      </c>
      <c r="P1" s="99"/>
      <c r="Q1" s="100"/>
      <c r="R1" s="25" t="s">
        <v>56</v>
      </c>
      <c r="S1" s="99" t="str">
        <f>F1</f>
        <v>SONDER CASKETS</v>
      </c>
      <c r="T1" s="99"/>
      <c r="U1" s="100"/>
      <c r="V1" s="25" t="s">
        <v>180</v>
      </c>
      <c r="W1" s="120">
        <f ca="1">J1</f>
        <v>45824</v>
      </c>
      <c r="X1" s="120"/>
      <c r="Y1" s="121"/>
    </row>
    <row r="2" spans="1:25" ht="20.149999999999999" customHeight="1" x14ac:dyDescent="0.8">
      <c r="A2" s="25" t="s">
        <v>99</v>
      </c>
      <c r="B2" s="99" t="str">
        <f>IF(U10="","",U10)</f>
        <v/>
      </c>
      <c r="C2" s="99"/>
      <c r="D2" s="100"/>
      <c r="E2" s="25" t="s">
        <v>57</v>
      </c>
      <c r="F2" s="101">
        <v>946735</v>
      </c>
      <c r="G2" s="101"/>
      <c r="H2" s="102"/>
      <c r="I2" s="25" t="s">
        <v>58</v>
      </c>
      <c r="J2" s="134" t="s">
        <v>192</v>
      </c>
      <c r="K2" s="101"/>
      <c r="L2" s="102"/>
      <c r="M2" s="11"/>
      <c r="N2" s="25" t="s">
        <v>99</v>
      </c>
      <c r="O2" s="99" t="str">
        <f>IF(B2="","",B2)</f>
        <v/>
      </c>
      <c r="P2" s="99"/>
      <c r="Q2" s="100"/>
      <c r="R2" s="25" t="s">
        <v>57</v>
      </c>
      <c r="S2" s="99">
        <f>IF(F2="","",F2)</f>
        <v>946735</v>
      </c>
      <c r="T2" s="99"/>
      <c r="U2" s="100"/>
      <c r="V2" s="25" t="s">
        <v>58</v>
      </c>
      <c r="W2" s="122" t="str">
        <f>J2</f>
        <v>ASAP</v>
      </c>
      <c r="X2" s="99"/>
      <c r="Y2" s="100"/>
    </row>
    <row r="3" spans="1:25" ht="20.149999999999999" customHeight="1" x14ac:dyDescent="0.75">
      <c r="A3" s="111" t="s">
        <v>200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  <c r="M3" s="11"/>
      <c r="N3" s="111" t="str">
        <f>A3</f>
        <v xml:space="preserve"> PLEASE ENSURE GOOD NEAT ROLLS  &amp; MUST CONTAIN REMILL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7"/>
      <c r="M4" s="11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30"/>
      <c r="M5" s="11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25" t="s">
        <v>48</v>
      </c>
      <c r="B7" s="109" t="s">
        <v>162</v>
      </c>
      <c r="C7" s="109"/>
      <c r="D7" s="109"/>
      <c r="E7" s="109"/>
      <c r="F7" s="109"/>
      <c r="G7" s="109"/>
      <c r="H7" s="109"/>
      <c r="I7" s="110"/>
      <c r="J7" s="131" t="s">
        <v>178</v>
      </c>
      <c r="K7" s="131"/>
      <c r="L7" s="76"/>
      <c r="M7" s="11"/>
      <c r="N7" s="25" t="str">
        <f>IF(ISNUMBER(SEARCH("roll",O8,1)),"No. Rolls","No. Cartons")</f>
        <v>No. Rolls</v>
      </c>
      <c r="O7" s="101">
        <v>1</v>
      </c>
      <c r="P7" s="102"/>
      <c r="Q7" s="25" t="str">
        <f>IF(ISNUMBER(SEARCH("roll",O8,1)),"Per Roll","Per Carton")</f>
        <v>Per Roll</v>
      </c>
      <c r="R7" s="101">
        <v>50</v>
      </c>
      <c r="S7" s="102"/>
      <c r="T7" s="25" t="str">
        <f>IF(ISNUMBER(SEARCH("bag",O8,1)),"Total Bags","Total Sheets")</f>
        <v>Total Sheets</v>
      </c>
      <c r="U7" s="99">
        <f>R7*O7</f>
        <v>50</v>
      </c>
      <c r="V7" s="100"/>
      <c r="W7" s="25" t="s">
        <v>101</v>
      </c>
      <c r="X7" s="101" t="s">
        <v>30</v>
      </c>
      <c r="Y7" s="102"/>
    </row>
    <row r="8" spans="1:25" ht="20.149999999999999" customHeight="1" x14ac:dyDescent="0.8">
      <c r="A8" s="31" t="s">
        <v>15</v>
      </c>
      <c r="B8" s="132">
        <v>550</v>
      </c>
      <c r="C8" s="133"/>
      <c r="D8" s="31" t="str">
        <f>IF(ISNUMBER(SEARCH("bag",O8,1)),"Gusset","Centrefold")</f>
        <v>Centrefold</v>
      </c>
      <c r="E8" s="132">
        <f>IF(O8="Centrefold Roll",B8*2,IF(X9="","None",X9))</f>
        <v>1100</v>
      </c>
      <c r="F8" s="133"/>
      <c r="G8" s="31" t="s">
        <v>51</v>
      </c>
      <c r="H8" s="132">
        <v>100</v>
      </c>
      <c r="I8" s="133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7" t="s">
        <v>193</v>
      </c>
      <c r="P8" s="138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35" t="str">
        <f>IF(AND(W8="Gusset",X9=""), "None",IF(AND(W8="Centrefold",X9=""),"None",IF(W8="Gusset","G",IF(W8="Centrefold","CF"))))</f>
        <v>CF</v>
      </c>
      <c r="Y8" s="136"/>
    </row>
    <row r="9" spans="1:25" ht="20.149999999999999" customHeight="1" x14ac:dyDescent="0.9">
      <c r="A9" s="35" t="s">
        <v>47</v>
      </c>
      <c r="B9" s="97" t="s">
        <v>194</v>
      </c>
      <c r="C9" s="98"/>
      <c r="D9" s="150" t="str">
        <f>IF(K10="Middle","RUN 2 UP",IF(AND(O8="Centrefold Roll",B8=380),"RUN 2 UP",""))</f>
        <v/>
      </c>
      <c r="E9" s="109"/>
      <c r="F9" s="110"/>
      <c r="G9" s="35" t="s">
        <v>47</v>
      </c>
      <c r="H9" s="97" t="s">
        <v>195</v>
      </c>
      <c r="I9" s="98"/>
      <c r="J9" s="25" t="s">
        <v>54</v>
      </c>
      <c r="K9" s="101" t="s">
        <v>33</v>
      </c>
      <c r="L9" s="102"/>
      <c r="M9" s="11"/>
      <c r="N9" s="30"/>
      <c r="O9" s="139" t="str">
        <f>IF(O8="Poly Bag","PB",IF(O8="Poly Bag Roll","PBR",IF(O8="Centrefold Roll","CFR",IF(O8="Sheet","S",IF(O8="Sheet Roll","SR")))))</f>
        <v>CFR</v>
      </c>
      <c r="P9" s="140"/>
      <c r="Q9" s="12"/>
      <c r="R9" s="13">
        <v>550</v>
      </c>
      <c r="S9" s="29" t="s">
        <v>77</v>
      </c>
      <c r="T9" s="13">
        <v>2470</v>
      </c>
      <c r="U9" s="29" t="s">
        <v>77</v>
      </c>
      <c r="V9" s="13">
        <v>100</v>
      </c>
      <c r="W9" s="30"/>
      <c r="X9" s="148">
        <f>E8</f>
        <v>1100</v>
      </c>
      <c r="Y9" s="149"/>
    </row>
    <row r="10" spans="1:25" ht="20.149999999999999" customHeight="1" x14ac:dyDescent="0.8">
      <c r="A10" s="25" t="s">
        <v>50</v>
      </c>
      <c r="B10" s="101">
        <v>1</v>
      </c>
      <c r="C10" s="102"/>
      <c r="D10" s="49" t="s">
        <v>133</v>
      </c>
      <c r="E10" s="103">
        <f>IF(ISNUMBER(SEARCH("sheet",O8,1)),((R9*T9*H8/540000)*U7/2000*1.3),((R9*T9*H8/540000)*U7/1000*1.08))</f>
        <v>13.585000000000001</v>
      </c>
      <c r="F10" s="104"/>
      <c r="G10" s="25" t="s">
        <v>52</v>
      </c>
      <c r="H10" s="142">
        <f>IF(ISNUMBER(SEARCH("sheet",O8,1)),(U7*T9/2000*1.08),(U7*T9/1000*1.08))</f>
        <v>133.38</v>
      </c>
      <c r="I10" s="143"/>
      <c r="J10" s="25" t="s">
        <v>40</v>
      </c>
      <c r="K10" s="101" t="s">
        <v>41</v>
      </c>
      <c r="L10" s="102"/>
      <c r="M10" s="11"/>
      <c r="N10" s="26" t="s">
        <v>140</v>
      </c>
      <c r="O10" s="137" t="s">
        <v>43</v>
      </c>
      <c r="P10" s="138"/>
      <c r="Q10" s="26" t="s">
        <v>49</v>
      </c>
      <c r="R10" s="135" t="str">
        <f>IF(K11="NONE","None",IF(K11="INLINE","Yes",IF(K11="OUT OF LINE","Yes")))</f>
        <v>None</v>
      </c>
      <c r="S10" s="136"/>
      <c r="T10" s="26" t="s">
        <v>99</v>
      </c>
      <c r="U10" s="144"/>
      <c r="V10" s="144"/>
      <c r="W10" s="144"/>
      <c r="X10" s="144"/>
      <c r="Y10" s="145"/>
    </row>
    <row r="11" spans="1:25" ht="20.149999999999999" customHeight="1" x14ac:dyDescent="0.8">
      <c r="A11" s="25" t="str">
        <f>IF(O8="Centrefold Roll","CF Rolls",IF(ISNUMBER(SEARCH("sheet",O8,1)),"Sheet Rolls",""))</f>
        <v>CF Rolls</v>
      </c>
      <c r="B11" s="99" t="str">
        <f>IF(AND(O8="Centrefold Roll",D9="RUN 2 UP"),B10*2,IF(ISNUMBER(SEARCH("sheet",O8,1)),B10*2,""))</f>
        <v/>
      </c>
      <c r="C11" s="100"/>
      <c r="D11" s="25" t="s">
        <v>134</v>
      </c>
      <c r="E11" s="107">
        <f>E10/B10</f>
        <v>13.585000000000001</v>
      </c>
      <c r="F11" s="108"/>
      <c r="G11" s="25" t="s">
        <v>14</v>
      </c>
      <c r="H11" s="107">
        <f>H10/B10</f>
        <v>133.38</v>
      </c>
      <c r="I11" s="108"/>
      <c r="J11" s="25" t="s">
        <v>49</v>
      </c>
      <c r="K11" s="101" t="s">
        <v>43</v>
      </c>
      <c r="L11" s="102"/>
      <c r="M11" s="11"/>
      <c r="N11" s="31"/>
      <c r="O11" s="132" t="str">
        <f>IF(O10="NONE","","V")</f>
        <v/>
      </c>
      <c r="P11" s="133"/>
      <c r="Q11" s="31"/>
      <c r="R11" s="132" t="str">
        <f>IF(R10="None","","P")</f>
        <v/>
      </c>
      <c r="S11" s="133"/>
      <c r="T11" s="31"/>
      <c r="U11" s="146"/>
      <c r="V11" s="146"/>
      <c r="W11" s="146"/>
      <c r="X11" s="146"/>
      <c r="Y11" s="147"/>
    </row>
    <row r="12" spans="1:25" ht="20.149999999999999" customHeight="1" x14ac:dyDescent="0.7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4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25" t="s">
        <v>67</v>
      </c>
      <c r="B13" s="101" t="s">
        <v>43</v>
      </c>
      <c r="C13" s="101"/>
      <c r="D13" s="102"/>
      <c r="E13" s="36" t="s">
        <v>60</v>
      </c>
      <c r="F13" s="101" t="s">
        <v>43</v>
      </c>
      <c r="G13" s="101"/>
      <c r="H13" s="102"/>
      <c r="I13" s="25" t="s">
        <v>61</v>
      </c>
      <c r="J13" s="101" t="s">
        <v>43</v>
      </c>
      <c r="K13" s="101"/>
      <c r="L13" s="102"/>
      <c r="M13" s="11"/>
      <c r="N13" s="25" t="s">
        <v>71</v>
      </c>
      <c r="O13" s="50" t="s">
        <v>56</v>
      </c>
      <c r="P13" s="25" t="s">
        <v>72</v>
      </c>
      <c r="Q13" s="51">
        <f>O7</f>
        <v>1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49999999999999" customHeight="1" x14ac:dyDescent="0.9">
      <c r="A14" s="31" t="s">
        <v>59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11"/>
      <c r="N14" s="141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49999999999999" customHeight="1" x14ac:dyDescent="0.75">
      <c r="A15" s="94" t="s">
        <v>181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31"/>
      <c r="P15" s="76"/>
      <c r="Q15" s="75" t="s">
        <v>106</v>
      </c>
      <c r="R15" s="131"/>
      <c r="S15" s="76"/>
      <c r="T15" s="75" t="s">
        <v>117</v>
      </c>
      <c r="U15" s="131"/>
      <c r="V15" s="76"/>
      <c r="W15" s="75" t="s">
        <v>116</v>
      </c>
      <c r="X15" s="131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30</v>
      </c>
      <c r="V16" s="102"/>
      <c r="W16" s="25" t="str">
        <f>IF(ISNUMBER(SEARCH("bag",O8,1)),"Total Bags","Total Sheets")</f>
        <v>Total Sheets</v>
      </c>
      <c r="X16" s="151"/>
      <c r="Y16" s="152"/>
    </row>
    <row r="17" spans="1:25" ht="20.149999999999999" customHeight="1" x14ac:dyDescent="0.8">
      <c r="A17" s="77" t="s">
        <v>5</v>
      </c>
      <c r="B17" s="77"/>
      <c r="C17" s="78" t="s">
        <v>146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51"/>
      <c r="Y17" s="152"/>
    </row>
    <row r="18" spans="1:25" ht="20.149999999999999" customHeight="1" x14ac:dyDescent="0.8">
      <c r="A18" s="77" t="s">
        <v>6</v>
      </c>
      <c r="B18" s="77"/>
      <c r="C18" s="78" t="s">
        <v>145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30</v>
      </c>
      <c r="S18" s="102"/>
      <c r="T18" s="1" t="s">
        <v>26</v>
      </c>
      <c r="U18" s="101" t="s">
        <v>35</v>
      </c>
      <c r="V18" s="102"/>
      <c r="W18" s="25" t="s">
        <v>108</v>
      </c>
      <c r="X18" s="151"/>
      <c r="Y18" s="152"/>
    </row>
    <row r="19" spans="1:25" ht="20.149999999999999" customHeight="1" x14ac:dyDescent="0.75">
      <c r="A19" s="77" t="s">
        <v>7</v>
      </c>
      <c r="B19" s="77"/>
      <c r="C19" s="78" t="s">
        <v>144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8" t="s">
        <v>143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8" t="s">
        <v>142</v>
      </c>
      <c r="D21" s="79"/>
      <c r="E21" s="105"/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/>
      </c>
      <c r="B22" s="77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05"/>
      <c r="F22" s="106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0" t="s">
        <v>196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105">
        <v>0.02</v>
      </c>
      <c r="F23" s="106"/>
      <c r="G23" s="15" t="s">
        <v>86</v>
      </c>
      <c r="H23" s="42"/>
      <c r="I23" s="87"/>
      <c r="J23" s="88"/>
      <c r="K23" s="87">
        <v>550</v>
      </c>
      <c r="L23" s="88"/>
      <c r="M23" s="11"/>
      <c r="N23" s="141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105"/>
      <c r="F24" s="106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 t="s">
        <v>197</v>
      </c>
      <c r="P25" s="17"/>
      <c r="Q25" s="10">
        <v>24</v>
      </c>
      <c r="R25" s="10">
        <v>9</v>
      </c>
      <c r="S25" s="10"/>
      <c r="T25" s="10">
        <v>7</v>
      </c>
      <c r="U25" s="10"/>
      <c r="V25" s="10"/>
      <c r="W25" s="10" t="s">
        <v>198</v>
      </c>
      <c r="X25" s="10"/>
      <c r="Y25" s="10"/>
    </row>
    <row r="26" spans="1:25" ht="20.149999999999999" customHeight="1" x14ac:dyDescent="0.7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32" t="s">
        <v>95</v>
      </c>
      <c r="B27" s="7"/>
      <c r="C27" s="7"/>
      <c r="D27" s="7">
        <v>54</v>
      </c>
      <c r="E27" s="8">
        <v>0.04</v>
      </c>
      <c r="F27" s="7"/>
      <c r="G27" s="86"/>
      <c r="H27" s="86"/>
      <c r="I27" s="86"/>
      <c r="J27" s="86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49999999999999" customHeight="1" x14ac:dyDescent="0.7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4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49999999999999" customHeight="1" x14ac:dyDescent="0.7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7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2">
        <f ca="1">DATE(YEAR(Sheet1!J1),MONTH(Sheet1!J1)+1,DAY(Sheet1!J1))</f>
        <v>45854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2">
        <f ca="1">DATE(YEAR(Sheet1!J1),MONTH(Sheet1!J1),DAY(Sheet1!J1)+21)</f>
        <v>45845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7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7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7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7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7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7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7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7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7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7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7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7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7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7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7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7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7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7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7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7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7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7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7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7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7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7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7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7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7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7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7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7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7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7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7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7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75">
      <c r="A59" s="61" t="s">
        <v>147</v>
      </c>
    </row>
    <row r="60" spans="1:20" x14ac:dyDescent="0.75">
      <c r="A60" s="61" t="s">
        <v>148</v>
      </c>
      <c r="O60" s="1"/>
      <c r="Q60" s="1"/>
      <c r="R60" s="3"/>
      <c r="S60" s="1"/>
    </row>
    <row r="61" spans="1:20" x14ac:dyDescent="0.75">
      <c r="A61" s="61" t="s">
        <v>149</v>
      </c>
      <c r="O61" s="1"/>
      <c r="Q61" s="1"/>
      <c r="R61" s="1"/>
      <c r="S61" s="1"/>
    </row>
    <row r="62" spans="1:20" x14ac:dyDescent="0.75">
      <c r="A62" s="61" t="s">
        <v>150</v>
      </c>
      <c r="O62" s="1"/>
      <c r="Q62" s="1"/>
      <c r="R62" s="1"/>
      <c r="S62" s="1"/>
    </row>
    <row r="63" spans="1:20" x14ac:dyDescent="0.75">
      <c r="A63" s="61" t="s">
        <v>151</v>
      </c>
      <c r="O63" s="1"/>
      <c r="Q63" s="1"/>
      <c r="R63" s="1"/>
      <c r="S63" s="1"/>
      <c r="T63" s="1"/>
    </row>
    <row r="64" spans="1:20" x14ac:dyDescent="0.75">
      <c r="A64" s="61" t="s">
        <v>152</v>
      </c>
      <c r="O64" s="1"/>
      <c r="Q64" s="1"/>
      <c r="R64" s="1"/>
      <c r="S64" s="1"/>
      <c r="T64" s="1"/>
    </row>
    <row r="65" spans="1:20" x14ac:dyDescent="0.7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1" t="s">
        <v>173</v>
      </c>
      <c r="N69" s="4"/>
    </row>
    <row r="70" spans="1:20" x14ac:dyDescent="0.7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CD9D440-ABDB-42E6-878A-6A630576CABD}"/>
</file>

<file path=customXml/itemProps2.xml><?xml version="1.0" encoding="utf-8"?>
<ds:datastoreItem xmlns:ds="http://schemas.openxmlformats.org/officeDocument/2006/customXml" ds:itemID="{A990E5FA-3C74-4EA1-83E8-FA7D41F9ED64}"/>
</file>

<file path=customXml/itemProps3.xml><?xml version="1.0" encoding="utf-8"?>
<ds:datastoreItem xmlns:ds="http://schemas.openxmlformats.org/officeDocument/2006/customXml" ds:itemID="{25749E4C-EDD3-4603-B065-CE8E069F2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2024-11-05T02:53:39Z</cp:lastPrinted>
  <dcterms:created xsi:type="dcterms:W3CDTF">2019-11-27T23:28:06Z</dcterms:created>
  <dcterms:modified xsi:type="dcterms:W3CDTF">2025-06-16T01:05:38Z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