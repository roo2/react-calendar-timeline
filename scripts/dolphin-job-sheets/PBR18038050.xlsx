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5E5A0A8-5E29-4F65-A940-69BC38CDB2F5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<sst xmlns="http://schemas.openxmlformats.org/spreadsheetml/2006/main" count="304" uniqueCount="202">
  <si>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</si>
  <si>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</si>
  <si>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</si>
  <si>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</si>
  <si>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</si>
  <si>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</si>
  <si>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</si>
  <si>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</si>
  <si>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</si>
  <si>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</si>
  <si>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</si>
  <si>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</si>
  <si>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</si>
  <si>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</si>
  <si>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</si>
  <si>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</si>
  <si>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</si>
  <si>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</si>
  <si>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</si>
  <si>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</si>
  <si>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</si>
  <si>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</si>
  <si>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</si>
  <si>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</si>
  <si>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</si>
  <si>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</si>
  <si>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</si>
  <si>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</si>
  <si>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</si>
  <si>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</si>
  <si>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</si>
  <si>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</si>
  <si>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</si>
  <si>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</si>
  <si>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</si>
  <si>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</si>
  <si>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</si>
  <si>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</si>
  <si>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</si>
  <si>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</si>
  <si>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</si>
  <si>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</si>
  <si>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</si>
  <si>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</si>
  <si>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</si>
  <si>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</si>
  <si>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</si>
  <si>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</si>
  <si>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</si>
  <si>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</si>
  <si>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</si>
  <si>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</si>
  <si>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</si>
  <si>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</si>
  <si>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</si>
  <si>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</si>
  <si>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</si>
  <si>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</si>
  <si>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</si>
  <si>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</si>
  <si>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</si>
  <si>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</si>
  <si>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</si>
  <si>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</si>
  <si>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</si>
  <si>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</si>
  <si>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</si>
  <si>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</si>
  <si>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</si>
  <si>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</si>
  <si>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</si>
  <si>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</si>
  <si>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</si>
  <si>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</si>
  <si>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</si>
  <si>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</si>
  <si>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</si>
  <si>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</si>
  <si>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</si>
  <si>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</si>
  <si>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</si>
  <si>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</si>
  <si>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</si>
  <si>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</si>
  <si>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</si>
  <si>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</si>
  <si>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</si>
  <si>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</si>
  <si>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</si>
  <si>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</si>
  <si>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</si>
  <si>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</si>
  <si>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</si>
  <si>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</si>
  <si>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</si>
  <si>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</si>
  <si>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</si>
  <si>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</si>
  <si>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</si>
  <si>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</si>
  <si>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</si>
  <si>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</si>
  <si>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</si>
  <si>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</si>
  <si>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</si>
  <si>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</si>
  <si>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</si>
  <si>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</si>
  <si>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</si>
  <si>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</si>
  <si>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</si>
  <si>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</si>
  <si>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</si>
  <si>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</si>
  <si>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</si>
  <si>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</si>
  <si>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</si>
  <si>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</si>
  <si>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</si>
  <si>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</si>
  <si>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</si>
  <si>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</si>
  <si>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</si>
  <si>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</si>
  <si>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</si>
  <si>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</si>
  <si>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</si>
  <si>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</si>
  <si>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</si>
  <si>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</si>
  <si>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</si>
  <si>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</si>
  <si>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</si>
  <si>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</si>
  <si>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</si>
  <si>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</si>
  <si>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</si>
  <si>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</si>
  <si>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</si>
  <si>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</si>
  <si>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</si>
  <si>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</si>
  <si>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</si>
  <si>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</si>
  <si>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</si>
  <si>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</si>
  <si>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</si>
  <si>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</si>
  <si>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</si>
  <si>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</si>
  <si>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</si>
  <si>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</si>
  <si>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</si>
  <si>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</si>
  <si>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</si>
  <si>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</si>
  <si>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</si>
  <si>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</si>
  <si>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</si>
  <si>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</si>
  <si>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</si>
  <si>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</si>
  <si>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</si>
  <si>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</si>
  <si>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</si>
  <si>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</si>
  <si>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</si>
  <si>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</si>
  <si>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</si>
  <si>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</si>
  <si>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</si>
  <si>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</si>
  <si>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</si>
  <si>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</si>
  <si>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</si>
  <si>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</si>
  <si>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</si>
  <si>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</si>
  <si>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</si>
  <si>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</si>
  <si>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</si>
  <si>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</si>
  <si>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</si>
  <si>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</si>
  <si>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</si>
  <si>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</si>
  <si>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</si>
  <si>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</si>
  <si>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</si>
  <si>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</si>
  <si>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</si>
  <si>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</si>
  <si>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</si>
  <si>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</si>
  <si>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BLACK TINT</t>
  </si>
  <si>
    <t xml:space="preserve"> +/- 5mm</t>
  </si>
  <si>
    <t>RUN AT 190UM</t>
  </si>
  <si>
    <t>NEW ITEM - WHITE TREE SLEEVES ON ROLL</t>
  </si>
  <si>
    <t>FERNLAND</t>
  </si>
  <si>
    <t>02.10.2021</t>
  </si>
  <si>
    <t>BROWN</t>
  </si>
  <si>
    <t>SLEEVE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</si>
</sst>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zoomScale="80" zoomScaleNormal="80" workbookViewId="0">
      <selection activeCell="O8" sqref="O8:P8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25" t="str">
        <f>O9&amp;R9&amp;IF(X8="G","G","")&amp;IF(O8="Centrefold Roll","("&amp;E8&amp;")","")&amp;T9&amp;V9&amp;C22&amp;C23&amp;C24&amp;O11&amp;R11</f>
        <v>PBR135450200WH</v>
      </c>
      <c r="C1" s="125"/>
      <c r="D1" s="126"/>
      <c r="E1" s="18" t="s">
        <v>56</v>
      </c>
      <c r="F1" s="149" t="s">
        <v>198</v>
      </c>
      <c r="G1" s="149"/>
      <c r="H1" s="150"/>
      <c r="I1" s="18" t="s">
        <v>180</v>
      </c>
      <c r="J1" s="146">
        <f ca="1">TODAY()</f>
        <v>44441</v>
      </c>
      <c r="K1" s="146"/>
      <c r="L1" s="147"/>
      <c r="M1" s="35"/>
      <c r="N1" s="18" t="s">
        <v>55</v>
      </c>
      <c r="O1" s="125" t="str">
        <f>B1</f>
        <v>PBR135450200WH</v>
      </c>
      <c r="P1" s="125"/>
      <c r="Q1" s="126"/>
      <c r="R1" s="18" t="s">
        <v>56</v>
      </c>
      <c r="S1" s="125" t="str">
        <f>F1</f>
        <v>FERNLAND</v>
      </c>
      <c r="T1" s="125"/>
      <c r="U1" s="126"/>
      <c r="V1" s="18" t="s">
        <v>180</v>
      </c>
      <c r="W1" s="146">
        <f ca="1">J1</f>
        <v>44441</v>
      </c>
      <c r="X1" s="146"/>
      <c r="Y1" s="147"/>
    </row>
    <row r="2" spans="1:25" ht="20.100000000000001" customHeight="1" x14ac:dyDescent="0.25">
      <c r="A2" s="18" t="s">
        <v>99</v>
      </c>
      <c r="B2" s="125" t="str">
        <f>IF(U10="","",U10)</f>
        <v/>
      </c>
      <c r="C2" s="125"/>
      <c r="D2" s="126"/>
      <c r="E2" s="18" t="s">
        <v>57</v>
      </c>
      <c r="F2" s="104">
        <v>941237</v>
      </c>
      <c r="G2" s="104"/>
      <c r="H2" s="105"/>
      <c r="I2" s="18" t="s">
        <v>58</v>
      </c>
      <c r="J2" s="103" t="s">
        <v>199</v>
      </c>
      <c r="K2" s="104"/>
      <c r="L2" s="105"/>
      <c r="M2" s="35"/>
      <c r="N2" s="18" t="s">
        <v>99</v>
      </c>
      <c r="O2" s="125" t="str">
        <f>IF(B2="","",B2)</f>
        <v/>
      </c>
      <c r="P2" s="125"/>
      <c r="Q2" s="126"/>
      <c r="R2" s="18" t="s">
        <v>57</v>
      </c>
      <c r="S2" s="125">
        <f>IF(F2="","",F2)</f>
        <v>941237</v>
      </c>
      <c r="T2" s="125"/>
      <c r="U2" s="126"/>
      <c r="V2" s="18" t="s">
        <v>58</v>
      </c>
      <c r="W2" s="148" t="str">
        <f>J2</f>
        <v>02.10.2021</v>
      </c>
      <c r="X2" s="125"/>
      <c r="Y2" s="126"/>
    </row>
    <row r="3" spans="1:25" ht="20.100000000000001" customHeight="1" x14ac:dyDescent="0.25">
      <c r="A3" s="137" t="s">
        <v>197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9"/>
      <c r="M3" s="35"/>
      <c r="N3" s="137" t="str">
        <f>A3</f>
        <v>NEW ITEM - WHITE TREE SLEEVES ON ROLL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9"/>
    </row>
    <row r="4" spans="1:25" ht="20.100000000000001" customHeight="1" x14ac:dyDescent="0.25">
      <c r="A4" s="140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2"/>
      <c r="M4" s="35"/>
      <c r="N4" s="140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2"/>
    </row>
    <row r="5" spans="1:25" ht="20.100000000000001" customHeight="1" x14ac:dyDescent="0.25">
      <c r="A5" s="143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5"/>
      <c r="M5" s="35"/>
      <c r="N5" s="143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5"/>
    </row>
    <row r="6" spans="1:25" ht="20.100000000000001" customHeight="1" x14ac:dyDescent="0.2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52" t="s">
        <v>1</v>
      </c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4"/>
    </row>
    <row r="7" spans="1:25" ht="20.100000000000001" customHeight="1" x14ac:dyDescent="0.3">
      <c r="A7" s="18" t="s">
        <v>48</v>
      </c>
      <c r="B7" s="135" t="s">
        <v>154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12</v>
      </c>
      <c r="P7" s="105"/>
      <c r="Q7" s="18" t="str">
        <f>IF(ISNUMBER(SEARCH("roll",O8,1)),"Per Roll","Per Carton")</f>
        <v>Per Roll</v>
      </c>
      <c r="R7" s="104">
        <v>1580</v>
      </c>
      <c r="S7" s="105"/>
      <c r="T7" s="18" t="str">
        <f>IF(ISNUMBER(SEARCH("bag",O8,1)),"Total Bags","Total Sheets")</f>
        <v>Total Bags</v>
      </c>
      <c r="U7" s="125">
        <f>R7*O7</f>
        <v>18960</v>
      </c>
      <c r="V7" s="126"/>
      <c r="W7" s="18" t="s">
        <v>101</v>
      </c>
      <c r="X7" s="104" t="s">
        <v>22</v>
      </c>
      <c r="Y7" s="105"/>
    </row>
    <row r="8" spans="1:25" ht="20.100000000000001" customHeight="1" x14ac:dyDescent="0.25">
      <c r="A8" s="19" t="s">
        <v>15</v>
      </c>
      <c r="B8" s="113">
        <f>R9</f>
        <v>135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None</v>
      </c>
      <c r="F8" s="116"/>
      <c r="G8" s="19" t="s">
        <v>51</v>
      </c>
      <c r="H8" s="113">
        <f>(IF(V9&lt;30,"30",V9))</f>
        <v>200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Layflat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None</v>
      </c>
      <c r="Y8" s="151"/>
    </row>
    <row r="9" spans="1:25" ht="20.100000000000001" customHeight="1" x14ac:dyDescent="0.3">
      <c r="A9" s="23" t="s">
        <v>47</v>
      </c>
      <c r="B9" s="123" t="s">
        <v>195</v>
      </c>
      <c r="C9" s="124"/>
      <c r="D9" s="158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196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135</v>
      </c>
      <c r="S9" s="25" t="s">
        <v>77</v>
      </c>
      <c r="T9" s="36">
        <v>450</v>
      </c>
      <c r="U9" s="25" t="s">
        <v>77</v>
      </c>
      <c r="V9" s="36">
        <v>200</v>
      </c>
      <c r="W9" s="24"/>
      <c r="X9" s="110"/>
      <c r="Y9" s="111"/>
    </row>
    <row r="10" spans="1:25" ht="20.100000000000001" customHeight="1" x14ac:dyDescent="0.25">
      <c r="A10" s="18" t="s">
        <v>50</v>
      </c>
      <c r="B10" s="104">
        <v>12</v>
      </c>
      <c r="C10" s="105"/>
      <c r="D10" s="56" t="s">
        <v>133</v>
      </c>
      <c r="E10" s="127">
        <f>IF(ISNUMBER(SEARCH("sheet",O8,1)),((R9*T9*H8/540000)*U7/2000*1.3),((R9*T9*H8/540000)*U7/1000*1.08))</f>
        <v>460.72800000000007</v>
      </c>
      <c r="F10" s="128"/>
      <c r="G10" s="18" t="s">
        <v>52</v>
      </c>
      <c r="H10" s="131">
        <f>IF(ISNUMBER(SEARCH("sheet",O8,1)),(U7*T9/2000*1.08),(U7*T9/1000*1.08))</f>
        <v>9214.5600000000013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/>
      <c r="V10" s="106"/>
      <c r="W10" s="106"/>
      <c r="X10" s="106"/>
      <c r="Y10" s="107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38.394000000000005</v>
      </c>
      <c r="F11" s="130"/>
      <c r="G11" s="18" t="s">
        <v>14</v>
      </c>
      <c r="H11" s="129">
        <f>H10/B10</f>
        <v>767.88000000000011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100000000000001" customHeight="1" x14ac:dyDescent="0.25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55" t="s">
        <v>70</v>
      </c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7"/>
    </row>
    <row r="13" spans="1:25" ht="20.100000000000001" customHeight="1" x14ac:dyDescent="0.25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12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64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00000000000001" customHeight="1" x14ac:dyDescent="0.25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00000000000001" customHeight="1" x14ac:dyDescent="0.25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22</v>
      </c>
      <c r="S16" s="105"/>
      <c r="T16" s="18" t="s">
        <v>102</v>
      </c>
      <c r="U16" s="104" t="s">
        <v>30</v>
      </c>
      <c r="V16" s="105"/>
      <c r="W16" s="18" t="str">
        <f>IF(ISNUMBER(SEARCH("bag",O8,1)),"Total Bags","Total Sheets")</f>
        <v>Total Bags</v>
      </c>
      <c r="X16" s="159"/>
      <c r="Y16" s="160"/>
    </row>
    <row r="17" spans="1:25" ht="20.100000000000001" customHeight="1" x14ac:dyDescent="0.25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22</v>
      </c>
      <c r="S17" s="105"/>
      <c r="T17" s="31" t="str">
        <f>IF(ISNUMBER(SEARCH("roll",O8,1)),"Part Rolls","Part Ctns")</f>
        <v>Part Rolls</v>
      </c>
      <c r="U17" s="104" t="s">
        <v>30</v>
      </c>
      <c r="V17" s="105"/>
      <c r="W17" s="18" t="str">
        <f>IF(ISNUMBER(SEARCH("roll",O8,1)),"Total Rolls","Total Ctns")</f>
        <v>Total Rolls</v>
      </c>
      <c r="X17" s="159"/>
      <c r="Y17" s="160"/>
    </row>
    <row r="18" spans="1:25" ht="20.100000000000001" customHeight="1" x14ac:dyDescent="0.25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59"/>
      <c r="Y18" s="160"/>
    </row>
    <row r="19" spans="1:25" ht="20.100000000000001" customHeight="1" x14ac:dyDescent="0.25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88" t="str">
        <f>(IF(B7="NATURAL","",B7))</f>
        <v>WHITE</v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64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00000000000001" customHeight="1" x14ac:dyDescent="0.25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65" t="s">
        <v>131</v>
      </c>
      <c r="H26" s="165"/>
      <c r="I26" s="165" t="s">
        <v>130</v>
      </c>
      <c r="J26" s="165"/>
      <c r="K26" s="12" t="s">
        <v>93</v>
      </c>
      <c r="L26" s="12" t="s">
        <v>94</v>
      </c>
      <c r="M26" s="35"/>
      <c r="N26" s="161" t="s">
        <v>136</v>
      </c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3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Sheet2!$A$33:$A$34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Sheet2!$A$37:$A$40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Sheet2!$A$53:$A$55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Sheet2!$N$18:$N$22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Sheet2!$N$25:$N$29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Sheet2!$N$54:$N$55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Sheet2!$N$32:$N$39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Sheet2!$N$42:$N$44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Sheet2!$N$47:$N$51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Sheet2!$A$43:$A$45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Sheet2!$A$58:$A$68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Sheet2!$N$58:$N$59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Sheet2!$A$48:$A$50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0E000000}">
          <x14:formula1>
            <xm:f>Sheet2!$A$9:$A$30</xm:f>
          </x14:formula1>
          <xm:sqref>B7:I7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abSelected="1" workbookViewId="0">
      <selection activeCell="Q21" sqref="Q21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44471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44462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173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4" t="s">
        <v>201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152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200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 t="s">
        <v>164</v>
      </c>
      <c r="O19" s="1"/>
      <c r="P19" s="1"/>
      <c r="Q19" s="1"/>
      <c r="R19" s="1"/>
      <c r="S19" s="1"/>
      <c r="T19" s="1"/>
      <c r="U19" s="1"/>
      <c r="V19" s="1"/>
    </row>
    <row r="20" spans="1:23" x14ac:dyDescent="0.25">
      <c r="A20" s="67" t="s">
        <v>153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193</v>
      </c>
      <c r="T20" s="1"/>
      <c r="V20" s="1"/>
    </row>
    <row r="21" spans="1:23" x14ac:dyDescent="0.25">
      <c r="A21" s="67" t="s">
        <v>194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165</v>
      </c>
      <c r="T21" s="1"/>
      <c r="V21" s="1"/>
    </row>
    <row r="22" spans="1:23" x14ac:dyDescent="0.25">
      <c r="A22" s="67" t="s">
        <v>155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8"/>
      <c r="N22" s="63" t="s">
        <v>166</v>
      </c>
      <c r="T22" s="1"/>
      <c r="V22" s="1"/>
      <c r="W22" s="2"/>
    </row>
    <row r="23" spans="1:23" x14ac:dyDescent="0.25">
      <c r="A23" s="67" t="s">
        <v>156</v>
      </c>
      <c r="B23" s="63"/>
      <c r="C23" s="63"/>
      <c r="D23" s="63"/>
      <c r="E23" s="5"/>
      <c r="F23" s="63"/>
      <c r="G23" s="5"/>
      <c r="H23" s="63"/>
      <c r="I23" s="5"/>
      <c r="J23" s="63"/>
      <c r="K23" s="63"/>
      <c r="L23" s="63"/>
      <c r="M23" s="68"/>
      <c r="N23" s="68"/>
      <c r="T23" s="1"/>
      <c r="V23" s="1"/>
      <c r="W23" s="2"/>
    </row>
    <row r="24" spans="1:23" x14ac:dyDescent="0.25">
      <c r="A24" s="67" t="s">
        <v>157</v>
      </c>
      <c r="B24" s="63"/>
      <c r="C24" s="63"/>
      <c r="D24" s="63"/>
      <c r="E24" s="5"/>
      <c r="F24" s="63"/>
      <c r="G24" s="5"/>
      <c r="H24" s="63"/>
      <c r="I24" s="63"/>
      <c r="J24" s="63"/>
      <c r="K24" s="63"/>
      <c r="L24" s="63"/>
      <c r="M24" s="68"/>
      <c r="N24" s="64" t="s">
        <v>140</v>
      </c>
      <c r="T24" s="1"/>
      <c r="V24" s="1"/>
      <c r="W24" s="2"/>
    </row>
    <row r="25" spans="1:23" x14ac:dyDescent="0.25">
      <c r="A25" s="67" t="s">
        <v>158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43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159</v>
      </c>
      <c r="B26" s="63"/>
      <c r="C26" s="63"/>
      <c r="D26" s="63"/>
      <c r="E26" s="5"/>
      <c r="F26" s="63"/>
      <c r="G26" s="63"/>
      <c r="H26" s="63"/>
      <c r="I26" s="63"/>
      <c r="J26" s="63"/>
      <c r="K26" s="63"/>
      <c r="L26" s="63"/>
      <c r="M26" s="63"/>
      <c r="N26" s="63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160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161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188</v>
      </c>
      <c r="O28" s="1"/>
      <c r="P28" s="1"/>
      <c r="Q28" s="1"/>
      <c r="R28" s="1"/>
      <c r="S28" s="1"/>
      <c r="T28" s="1"/>
      <c r="V28" s="1"/>
      <c r="W28" s="2"/>
    </row>
    <row r="29" spans="1:23" x14ac:dyDescent="0.25">
      <c r="A29" s="67" t="s">
        <v>174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 t="s">
        <v>139</v>
      </c>
      <c r="U29" s="1"/>
      <c r="V29" s="1"/>
    </row>
    <row r="30" spans="1:23" x14ac:dyDescent="0.25">
      <c r="A30" s="67" t="s">
        <v>183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8"/>
      <c r="U30" s="1"/>
      <c r="V30" s="1"/>
    </row>
    <row r="31" spans="1:23" x14ac:dyDescent="0.25">
      <c r="A31" s="5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5" t="s">
        <v>27</v>
      </c>
      <c r="U31" s="1"/>
      <c r="V31" s="1"/>
    </row>
    <row r="32" spans="1:23" x14ac:dyDescent="0.25">
      <c r="A32" s="65" t="s">
        <v>45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 t="s">
        <v>167</v>
      </c>
      <c r="U32" s="1"/>
      <c r="V32" s="1"/>
    </row>
    <row r="33" spans="1:22" x14ac:dyDescent="0.25">
      <c r="A33" s="5" t="s">
        <v>29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110</v>
      </c>
      <c r="U33" s="1"/>
      <c r="V33" s="1"/>
    </row>
    <row r="34" spans="1:22" x14ac:dyDescent="0.25">
      <c r="A34" s="5" t="s">
        <v>33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130</v>
      </c>
      <c r="U34" s="1"/>
      <c r="V34" s="1"/>
    </row>
    <row r="35" spans="1:22" x14ac:dyDescent="0.25">
      <c r="A35" s="5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150</v>
      </c>
      <c r="U35" s="1"/>
      <c r="V35" s="1"/>
    </row>
    <row r="36" spans="1:22" x14ac:dyDescent="0.25">
      <c r="A36" s="65" t="s">
        <v>46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>
        <v>180</v>
      </c>
      <c r="U36" s="1"/>
      <c r="V36" s="1"/>
    </row>
    <row r="37" spans="1:22" x14ac:dyDescent="0.25">
      <c r="A37" s="5" t="s">
        <v>43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168</v>
      </c>
      <c r="U37" s="1"/>
      <c r="V37" s="1"/>
    </row>
    <row r="38" spans="1:22" x14ac:dyDescent="0.25">
      <c r="A38" s="5" t="s">
        <v>41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169</v>
      </c>
      <c r="U38" s="1"/>
      <c r="V38" s="1"/>
    </row>
    <row r="39" spans="1:22" x14ac:dyDescent="0.25">
      <c r="A39" s="5" t="s">
        <v>42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5" t="s">
        <v>37</v>
      </c>
      <c r="U39" s="1"/>
      <c r="V39" s="1"/>
    </row>
    <row r="40" spans="1:22" x14ac:dyDescent="0.25">
      <c r="A40" s="5" t="s">
        <v>44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</row>
    <row r="41" spans="1:22" x14ac:dyDescent="0.25">
      <c r="A41" s="63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5" t="s">
        <v>25</v>
      </c>
    </row>
    <row r="42" spans="1:22" x14ac:dyDescent="0.25">
      <c r="A42" s="65" t="s">
        <v>62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34</v>
      </c>
    </row>
    <row r="43" spans="1:22" x14ac:dyDescent="0.25">
      <c r="A43" s="5" t="s">
        <v>43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36</v>
      </c>
    </row>
    <row r="44" spans="1:22" x14ac:dyDescent="0.25">
      <c r="A44" s="5" t="s">
        <v>64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 t="s">
        <v>170</v>
      </c>
    </row>
    <row r="45" spans="1:22" x14ac:dyDescent="0.25">
      <c r="A45" s="5" t="s">
        <v>63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5"/>
    </row>
    <row r="46" spans="1:22" x14ac:dyDescent="0.25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5" t="s">
        <v>100</v>
      </c>
    </row>
    <row r="47" spans="1:22" x14ac:dyDescent="0.25">
      <c r="A47" s="65" t="s">
        <v>67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37</v>
      </c>
    </row>
    <row r="48" spans="1:22" x14ac:dyDescent="0.25">
      <c r="A48" s="5" t="s">
        <v>43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31</v>
      </c>
    </row>
    <row r="49" spans="1:20" x14ac:dyDescent="0.25">
      <c r="A49" s="5" t="s">
        <v>69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171</v>
      </c>
    </row>
    <row r="50" spans="1:20" x14ac:dyDescent="0.25">
      <c r="A50" s="5" t="s">
        <v>68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184</v>
      </c>
    </row>
    <row r="51" spans="1:20" x14ac:dyDescent="0.25">
      <c r="A51" s="63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5" t="s">
        <v>185</v>
      </c>
    </row>
    <row r="52" spans="1:20" x14ac:dyDescent="0.25">
      <c r="A52" s="65" t="s">
        <v>60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</row>
    <row r="53" spans="1:20" x14ac:dyDescent="0.25">
      <c r="A53" s="5" t="s">
        <v>43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4" t="s">
        <v>172</v>
      </c>
    </row>
    <row r="54" spans="1:20" x14ac:dyDescent="0.25">
      <c r="A54" s="5" t="s">
        <v>65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30</v>
      </c>
    </row>
    <row r="55" spans="1:20" x14ac:dyDescent="0.25">
      <c r="A55" s="5" t="s">
        <v>66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3" t="s">
        <v>22</v>
      </c>
    </row>
    <row r="56" spans="1:20" x14ac:dyDescent="0.25">
      <c r="A56" s="63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</row>
    <row r="57" spans="1:20" x14ac:dyDescent="0.25">
      <c r="A57" s="64" t="s">
        <v>61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5" t="s">
        <v>26</v>
      </c>
    </row>
    <row r="58" spans="1:20" x14ac:dyDescent="0.25">
      <c r="A58" s="63" t="s">
        <v>43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35</v>
      </c>
      <c r="O58" s="1"/>
      <c r="P58" s="1"/>
      <c r="Q58" s="1"/>
      <c r="R58" s="1"/>
      <c r="S58" s="1"/>
      <c r="T58" s="1"/>
    </row>
    <row r="59" spans="1:20" x14ac:dyDescent="0.25">
      <c r="A59" s="66" t="s">
        <v>176</v>
      </c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3" t="s">
        <v>32</v>
      </c>
    </row>
    <row r="60" spans="1:20" x14ac:dyDescent="0.25">
      <c r="A60" s="67" t="s">
        <v>154</v>
      </c>
    </row>
    <row r="61" spans="1:20" x14ac:dyDescent="0.25">
      <c r="A61" s="67" t="s">
        <v>147</v>
      </c>
      <c r="O61" s="1"/>
      <c r="Q61" s="1"/>
      <c r="R61" s="3"/>
      <c r="S61" s="1"/>
    </row>
    <row r="62" spans="1:20" x14ac:dyDescent="0.25">
      <c r="A62" s="67" t="s">
        <v>148</v>
      </c>
      <c r="O62" s="1"/>
      <c r="Q62" s="1"/>
      <c r="R62" s="1"/>
      <c r="S62" s="1"/>
    </row>
    <row r="63" spans="1:20" x14ac:dyDescent="0.25">
      <c r="A63" s="67" t="s">
        <v>149</v>
      </c>
      <c r="O63" s="1"/>
      <c r="Q63" s="1"/>
      <c r="R63" s="1"/>
      <c r="S63" s="1"/>
    </row>
    <row r="64" spans="1:20" x14ac:dyDescent="0.25">
      <c r="A64" s="67" t="s">
        <v>150</v>
      </c>
      <c r="O64" s="1"/>
      <c r="Q64" s="1"/>
      <c r="R64" s="1"/>
      <c r="S64" s="1"/>
      <c r="T64" s="1"/>
    </row>
    <row r="65" spans="1:20" x14ac:dyDescent="0.25">
      <c r="A65" s="67" t="s">
        <v>151</v>
      </c>
      <c r="O65" s="1"/>
      <c r="Q65" s="1"/>
      <c r="R65" s="1"/>
      <c r="S65" s="1"/>
      <c r="T65" s="1"/>
    </row>
    <row r="66" spans="1:20" x14ac:dyDescent="0.25">
      <c r="A66" s="67" t="s">
        <v>152</v>
      </c>
      <c r="N66" s="3"/>
      <c r="O66" s="1"/>
      <c r="P66" s="1"/>
      <c r="Q66" s="1"/>
      <c r="R66" s="1"/>
      <c r="S66" s="1"/>
      <c r="T66" s="1"/>
    </row>
    <row r="67" spans="1:20" x14ac:dyDescent="0.25">
      <c r="A67" s="67" t="s">
        <v>173</v>
      </c>
      <c r="N67" s="4"/>
      <c r="O67" s="1"/>
      <c r="P67" s="1"/>
      <c r="Q67" s="1"/>
      <c r="R67" s="1"/>
      <c r="S67" s="1"/>
      <c r="T67" s="1"/>
    </row>
    <row r="68" spans="1:20" x14ac:dyDescent="0.25">
      <c r="A68" s="67" t="s">
        <v>153</v>
      </c>
      <c r="N68" s="4"/>
      <c r="O68" s="1"/>
      <c r="P68" s="1"/>
      <c r="Q68" s="1"/>
      <c r="R68" s="1"/>
      <c r="S68" s="1"/>
      <c r="T68" s="1"/>
    </row>
    <row r="69" spans="1:20" x14ac:dyDescent="0.25">
      <c r="N69" s="4"/>
      <c r="O69" s="1"/>
      <c r="P69" s="1"/>
      <c r="Q69" s="1"/>
      <c r="R69" s="1"/>
      <c r="S69" s="1"/>
      <c r="T69" s="1"/>
    </row>
    <row r="70" spans="1:20" x14ac:dyDescent="0.25">
      <c r="N7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77D9E83-C983-4844-AFF0-2560D1848579}"/>
</file>

<file path=customXml/itemProps2.xml><?xml version="1.0" encoding="utf-8"?>
<ds:datastoreItem xmlns:ds="http://schemas.openxmlformats.org/officeDocument/2006/customXml" ds:itemID="{581B8A8A-3F2F-4B60-9D76-BF55DD5D0000}"/>
</file>

<file path=customXml/itemProps3.xml><?xml version="1.0" encoding="utf-8"?>
<ds:datastoreItem xmlns:ds="http://schemas.openxmlformats.org/officeDocument/2006/customXml" ds:itemID="{90E9BEDC-0BB8-4222-B0F4-BD2610275C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2020-09-23T01:59:55Z</cp:lastPrinted>
  <dcterms:created xsi:type="dcterms:W3CDTF">2019-11-27T23:28:06Z</dcterms:created>
  <dcterms:modified xsi:type="dcterms:W3CDTF">2021-09-02T03:36:34Z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