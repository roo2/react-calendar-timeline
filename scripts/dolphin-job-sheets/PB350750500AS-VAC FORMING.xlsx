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9D83018-953B-4276-B49C-C11C6B45BF1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<sst xmlns="http://schemas.openxmlformats.org/spreadsheetml/2006/main" count="304" uniqueCount="200">
  <si>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</si>
  <si>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</si>
  <si>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</si>
  <si>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</si>
  <si>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</si>
  <si>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</si>
  <si>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</si>
  <si>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</si>
  <si>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</si>
  <si>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</si>
  <si>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</si>
  <si>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</si>
  <si>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</si>
  <si>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</si>
  <si>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</si>
  <si>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</si>
  <si>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</si>
  <si>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</si>
  <si>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</si>
  <si>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</si>
  <si>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</si>
  <si>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</si>
  <si>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</si>
  <si>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</si>
  <si>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</si>
  <si>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</si>
  <si>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</si>
  <si>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</si>
  <si>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</si>
  <si>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</si>
  <si>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</si>
  <si>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</si>
  <si>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</si>
  <si>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</si>
  <si>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</si>
  <si>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</si>
  <si>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</si>
  <si>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</si>
  <si>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</si>
  <si>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</si>
  <si>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</si>
  <si>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</si>
  <si>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</si>
  <si>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</si>
  <si>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</si>
  <si>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</si>
  <si>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</si>
  <si>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</si>
  <si>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</si>
  <si>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</si>
  <si>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</si>
  <si>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</si>
  <si>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</si>
  <si>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</si>
  <si>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</si>
  <si>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</si>
  <si>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</si>
  <si>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</si>
  <si>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</si>
  <si>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</si>
  <si>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</si>
  <si>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</si>
  <si>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</si>
  <si>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</si>
  <si>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</si>
  <si>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</si>
  <si>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</si>
  <si>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</si>
  <si>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</si>
  <si>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</si>
  <si>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</si>
  <si>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</si>
  <si>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</si>
  <si>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</si>
  <si>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</si>
  <si>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</si>
  <si>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</si>
  <si>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</si>
  <si>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</si>
  <si>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</si>
  <si>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</si>
  <si>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</si>
  <si>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</si>
  <si>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</si>
  <si>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</si>
  <si>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</si>
  <si>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</si>
  <si>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</si>
  <si>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</si>
  <si>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</si>
  <si>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</si>
  <si>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</si>
  <si>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</si>
  <si>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</si>
  <si>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</si>
  <si>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</si>
  <si>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</si>
  <si>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</si>
  <si>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</si>
  <si>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</si>
  <si>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</si>
  <si>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</si>
  <si>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</si>
  <si>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</si>
  <si>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</si>
  <si>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</si>
  <si>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</si>
  <si>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</si>
  <si>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</si>
  <si>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</si>
  <si>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</si>
  <si>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</si>
  <si>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</si>
  <si>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</si>
  <si>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</si>
  <si>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</si>
  <si>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</si>
  <si>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</si>
  <si>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</si>
  <si>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</si>
  <si>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</si>
  <si>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</si>
  <si>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</si>
  <si>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</si>
  <si>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</si>
  <si>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</si>
  <si>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</si>
  <si>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</si>
  <si>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</si>
  <si>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</si>
  <si>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</si>
  <si>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</si>
  <si>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</si>
  <si>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</si>
  <si>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</si>
  <si>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</si>
  <si>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</si>
  <si>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</si>
  <si>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</si>
  <si>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</si>
  <si>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</si>
  <si>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</si>
  <si>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</si>
  <si>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</si>
  <si>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</si>
  <si>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</si>
  <si>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</si>
  <si>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</si>
  <si>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</si>
  <si>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</si>
  <si>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</si>
  <si>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</si>
  <si>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</si>
  <si>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</si>
  <si>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</si>
  <si>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</si>
  <si>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</si>
  <si>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</si>
  <si>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</si>
  <si>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</si>
  <si>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</si>
  <si>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</si>
  <si>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</si>
  <si>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</si>
  <si>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</si>
  <si>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</si>
  <si>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</si>
  <si>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</si>
  <si>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</si>
  <si>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</si>
  <si>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</si>
  <si>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</si>
  <si>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</si>
  <si>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</si>
  <si>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</si>
  <si>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</si>
  <si>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</si>
  <si>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</si>
  <si>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</si>
  <si>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</si>
  <si>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</si>
  <si>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</si>
  <si>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</si>
  <si>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</si>
  <si>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</si>
  <si>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</si>
  <si>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</si>
  <si>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</si>
  <si>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</si>
  <si>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</si>
  <si>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</si>
  <si>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</si>
  <si>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</si>
  <si>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</si>
  <si>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</si>
  <si>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 xml:space="preserve"> + /- 5mm</t>
  </si>
  <si>
    <t>RUN AT 50 - 52um</t>
  </si>
  <si>
    <t xml:space="preserve"> MUST BE EXACT WIDTH AND NOT UNDER GUAGE!</t>
  </si>
  <si>
    <t>LIMAX</t>
  </si>
  <si>
    <t>MOD 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</si>
</sst>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2" sqref="AC1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PB35075050AS</v>
      </c>
      <c r="C1" s="111"/>
      <c r="D1" s="112"/>
      <c r="E1" s="11" t="s">
        <v>57</v>
      </c>
      <c r="F1" s="122" t="s">
        <v>199</v>
      </c>
      <c r="G1" s="87"/>
      <c r="H1" s="88"/>
      <c r="I1" s="12" t="s">
        <v>181</v>
      </c>
      <c r="J1" s="84">
        <f ca="1">TODAY()</f>
        <v>45057</v>
      </c>
      <c r="K1" s="84"/>
      <c r="L1" s="85"/>
      <c r="M1" s="29"/>
      <c r="N1" s="11" t="s">
        <v>56</v>
      </c>
      <c r="O1" s="111" t="str">
        <f>B1</f>
        <v>PB35075050AS</v>
      </c>
      <c r="P1" s="111"/>
      <c r="Q1" s="112"/>
      <c r="R1" s="11" t="s">
        <v>57</v>
      </c>
      <c r="S1" s="111" t="str">
        <f>F1</f>
        <v>MOD PLAS</v>
      </c>
      <c r="T1" s="111"/>
      <c r="U1" s="112"/>
      <c r="V1" s="11" t="s">
        <v>181</v>
      </c>
      <c r="W1" s="84">
        <f ca="1">J1</f>
        <v>45057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945554</v>
      </c>
      <c r="G2" s="87"/>
      <c r="H2" s="88"/>
      <c r="I2" s="11" t="s">
        <v>59</v>
      </c>
      <c r="J2" s="86">
        <v>45087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945554</v>
      </c>
      <c r="T2" s="111"/>
      <c r="U2" s="112"/>
      <c r="V2" s="11" t="s">
        <v>59</v>
      </c>
      <c r="W2" s="123">
        <f>J2</f>
        <v>45087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MUST BE EXACT WIDTH AND NOT UNDER GUAGE!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12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3000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350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350</v>
      </c>
      <c r="S9" s="18" t="s">
        <v>78</v>
      </c>
      <c r="T9" s="30">
        <v>750</v>
      </c>
      <c r="U9" s="18" t="s">
        <v>78</v>
      </c>
      <c r="V9" s="30">
        <v>50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3</v>
      </c>
      <c r="C10" s="88"/>
      <c r="D10" s="47" t="s">
        <v>134</v>
      </c>
      <c r="E10" s="101">
        <f>IF(ISNUMBER(SEARCH("sheet",O8,1)),((R9*T9*H8/540000)*U7/2000*1.3),((R9*T9*H8/540000)*U7/1000*1.08))</f>
        <v>78.750000000000014</v>
      </c>
      <c r="F10" s="102"/>
      <c r="G10" s="11" t="s">
        <v>53</v>
      </c>
      <c r="H10" s="105">
        <f>IF(ISNUMBER(SEARCH("sheet",O8,1)),(U7*T9/2000*1.08),(U7*T9/1000*1.08))</f>
        <v>2430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26.250000000000004</v>
      </c>
      <c r="F11" s="104"/>
      <c r="G11" s="11" t="s">
        <v>15</v>
      </c>
      <c r="H11" s="103">
        <f>H10/B10</f>
        <v>810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1"/>
      <c r="Y16" s="142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23</v>
      </c>
      <c r="S18" s="88"/>
      <c r="T18" s="21" t="s">
        <v>27</v>
      </c>
      <c r="U18" s="87" t="s">
        <v>36</v>
      </c>
      <c r="V18" s="88"/>
      <c r="W18" s="11" t="s">
        <v>109</v>
      </c>
      <c r="X18" s="141"/>
      <c r="Y18" s="142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3" t="s">
        <v>116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49999999999999" customHeight="1" x14ac:dyDescent="0.75">
      <c r="A23" s="79" t="s">
        <v>194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9">
        <v>0.01</v>
      </c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F0096B5-2661-47CE-A083-65DF3F4E38A3}"/>
</file>

<file path=customXml/itemProps2.xml><?xml version="1.0" encoding="utf-8"?>
<ds:datastoreItem xmlns:ds="http://schemas.openxmlformats.org/officeDocument/2006/customXml" ds:itemID="{2E932DDA-C5B9-4B92-A174-33D6CF02F62F}"/>
</file>

<file path=customXml/itemProps3.xml><?xml version="1.0" encoding="utf-8"?>
<ds:datastoreItem xmlns:ds="http://schemas.openxmlformats.org/officeDocument/2006/customXml" ds:itemID="{D7C5F26F-ADD8-4CB3-92CB-2CAACB226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2023-05-09T23:10:27Z</cp:lastPrinted>
  <dcterms:created xsi:type="dcterms:W3CDTF">2019-11-27T23:28:06Z</dcterms:created>
  <dcterms:modified xsi:type="dcterms:W3CDTF">2023-05-11T00:36:31Z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