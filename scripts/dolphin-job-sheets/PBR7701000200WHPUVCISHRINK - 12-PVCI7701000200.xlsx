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1A06DA4-9476-45DF-826D-5F710B9978A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<sst xmlns="http://schemas.openxmlformats.org/spreadsheetml/2006/main" count="310" uniqueCount="205">
  <si>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</si>
  <si>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</si>
  <si>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</si>
  <si>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</si>
  <si>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</si>
  <si>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</si>
  <si>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</si>
  <si>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</si>
  <si>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</si>
  <si>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</si>
  <si>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</si>
  <si>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</si>
  <si>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</si>
  <si>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</si>
  <si>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</si>
  <si>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</si>
  <si>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</si>
  <si>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</si>
  <si>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</si>
  <si>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</si>
  <si>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</si>
  <si>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</si>
  <si>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</si>
  <si>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</si>
  <si>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</si>
  <si>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</si>
  <si>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</si>
  <si>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</si>
  <si>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</si>
  <si>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</si>
  <si>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</si>
  <si>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</si>
  <si>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</si>
  <si>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</si>
  <si>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</si>
  <si>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</si>
  <si>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</si>
  <si>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</si>
  <si>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</si>
  <si>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</si>
  <si>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</si>
  <si>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</si>
  <si>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</si>
  <si>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</si>
  <si>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</si>
  <si>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</si>
  <si>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</si>
  <si>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</si>
  <si>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</si>
  <si>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</si>
  <si>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</si>
  <si>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</si>
  <si>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</si>
  <si>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</si>
  <si>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</si>
  <si>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</si>
  <si>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</si>
  <si>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</si>
  <si>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</si>
  <si>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</si>
  <si>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</si>
  <si>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</si>
  <si>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</si>
  <si>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</si>
  <si>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</si>
  <si>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</si>
  <si>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</si>
  <si>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</si>
  <si>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</si>
  <si>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</si>
  <si>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</si>
  <si>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</si>
  <si>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</si>
  <si>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</si>
  <si>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</si>
  <si>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</si>
  <si>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</si>
  <si>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</si>
  <si>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</si>
  <si>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</si>
  <si>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</si>
  <si>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</si>
  <si>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</si>
  <si>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</si>
  <si>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</si>
  <si>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</si>
  <si>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</si>
  <si>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</si>
  <si>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</si>
  <si>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</si>
  <si>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</si>
  <si>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</si>
  <si>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</si>
  <si>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</si>
  <si>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</si>
  <si>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</si>
  <si>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</si>
  <si>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</si>
  <si>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</si>
  <si>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</si>
  <si>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</si>
  <si>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</si>
  <si>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</si>
  <si>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</si>
  <si>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</si>
  <si>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</si>
  <si>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</si>
  <si>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</si>
  <si>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</si>
  <si>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</si>
  <si>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</si>
  <si>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</si>
  <si>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</si>
  <si>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</si>
  <si>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</si>
  <si>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</si>
  <si>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</si>
  <si>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</si>
  <si>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</si>
  <si>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</si>
  <si>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</si>
  <si>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</si>
  <si>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</si>
  <si>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</si>
  <si>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</si>
  <si>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</si>
  <si>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</si>
  <si>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</si>
  <si>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</si>
  <si>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</si>
  <si>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</si>
  <si>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</si>
  <si>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</si>
  <si>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</si>
  <si>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</si>
  <si>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</si>
  <si>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</si>
  <si>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</si>
  <si>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</si>
  <si>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</si>
  <si>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</si>
  <si>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</si>
  <si>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</si>
  <si>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</si>
  <si>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</si>
  <si>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</si>
  <si>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</si>
  <si>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</si>
  <si>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</si>
  <si>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</si>
  <si>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</si>
  <si>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</si>
  <si>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</si>
  <si>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</si>
  <si>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</si>
  <si>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</si>
  <si>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</si>
  <si>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</si>
  <si>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</si>
  <si>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</si>
  <si>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</si>
  <si>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</si>
  <si>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</si>
  <si>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</si>
  <si>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</si>
  <si>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</si>
  <si>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</si>
  <si>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</si>
  <si>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</si>
  <si>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</si>
  <si>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</si>
  <si>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</si>
  <si>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</si>
  <si>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</si>
  <si>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</si>
  <si>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</si>
  <si>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</si>
  <si>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</si>
  <si>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</si>
  <si>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</si>
  <si>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</si>
  <si>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</si>
  <si>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</si>
  <si>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</si>
  <si>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</si>
  <si>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</si>
  <si>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</si>
  <si>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</si>
  <si>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</si>
  <si>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</si>
  <si>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</si>
  <si>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</si>
  <si>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</si>
  <si>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</si>
  <si>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</si>
  <si>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CORROSION INHIBITOR</t>
  </si>
  <si>
    <t>UV</t>
  </si>
  <si>
    <t>"DAYWALK" LOGO</t>
  </si>
  <si>
    <t>DAYWALK</t>
  </si>
  <si>
    <t>PERF</t>
  </si>
  <si>
    <t>12-PVCI7701000200</t>
  </si>
  <si>
    <t>31.05.2022</t>
  </si>
  <si>
    <r>
      <t>SHRINK FILM - MUST HAVE UV AND CORROSION INHIBITO</t>
    </r>
    <r>
      <rPr>
        <b/>
        <sz val="18"/>
        <color rgb="FFFF0000"/>
        <rFont val="Calibri"/>
        <family val="2"/>
        <scheme val="minor"/>
      </rPr>
      <t xml:space="preserve">R   .                          NOT UNDER 200UM                                                                             </t>
    </r>
  </si>
  <si>
    <t>NOT UNDER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</si>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</sst>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4" t="str">
        <f>O9&amp;R9&amp;IF(X8="G","G","")&amp;IF(O8="Centrefold Roll","("&amp;E8&amp;")","")&amp;T9&amp;V9&amp;C22&amp;C23&amp;C24&amp;O11&amp;R11</f>
        <v>PBR7701000200WHCIUVP</v>
      </c>
      <c r="C1" s="114"/>
      <c r="D1" s="115"/>
      <c r="E1" s="16" t="s">
        <v>56</v>
      </c>
      <c r="F1" s="116" t="s">
        <v>198</v>
      </c>
      <c r="G1" s="116"/>
      <c r="H1" s="117"/>
      <c r="I1" s="16" t="s">
        <v>180</v>
      </c>
      <c r="J1" s="137" t="s">
        <v>201</v>
      </c>
      <c r="K1" s="137"/>
      <c r="L1" s="138"/>
      <c r="M1" s="30"/>
      <c r="N1" s="16" t="s">
        <v>55</v>
      </c>
      <c r="O1" s="114" t="str">
        <f>B1</f>
        <v>PBR7701000200WHCIUVP</v>
      </c>
      <c r="P1" s="114"/>
      <c r="Q1" s="115"/>
      <c r="R1" s="16" t="s">
        <v>56</v>
      </c>
      <c r="S1" s="114" t="str">
        <f>F1</f>
        <v>DAYWALK</v>
      </c>
      <c r="T1" s="114"/>
      <c r="U1" s="115"/>
      <c r="V1" s="16" t="s">
        <v>180</v>
      </c>
      <c r="W1" s="137" t="str">
        <f>J1</f>
        <v>31.05.2022</v>
      </c>
      <c r="X1" s="137"/>
      <c r="Y1" s="138"/>
    </row>
    <row r="2" spans="1:25" ht="20.149999999999999" customHeight="1" x14ac:dyDescent="0.8">
      <c r="A2" s="16" t="s">
        <v>99</v>
      </c>
      <c r="B2" s="114" t="str">
        <f>IF(U10="","",U10)</f>
        <v>12-PVCI7701000200</v>
      </c>
      <c r="C2" s="114"/>
      <c r="D2" s="115"/>
      <c r="E2" s="16" t="s">
        <v>57</v>
      </c>
      <c r="F2" s="116">
        <v>950223</v>
      </c>
      <c r="G2" s="116"/>
      <c r="H2" s="117"/>
      <c r="I2" s="16" t="s">
        <v>58</v>
      </c>
      <c r="J2" s="93" t="s">
        <v>192</v>
      </c>
      <c r="K2" s="93"/>
      <c r="L2" s="94"/>
      <c r="M2" s="30"/>
      <c r="N2" s="16" t="s">
        <v>99</v>
      </c>
      <c r="O2" s="114" t="str">
        <f>IF(B2="","",B2)</f>
        <v>12-PVCI7701000200</v>
      </c>
      <c r="P2" s="114"/>
      <c r="Q2" s="115"/>
      <c r="R2" s="16" t="s">
        <v>57</v>
      </c>
      <c r="S2" s="114">
        <f>IF(F2="","",F2)</f>
        <v>950223</v>
      </c>
      <c r="T2" s="114"/>
      <c r="U2" s="115"/>
      <c r="V2" s="16" t="s">
        <v>58</v>
      </c>
      <c r="W2" s="139" t="str">
        <f>J2</f>
        <v>ASAP</v>
      </c>
      <c r="X2" s="114"/>
      <c r="Y2" s="115"/>
    </row>
    <row r="3" spans="1:25" ht="20.149999999999999" customHeight="1" x14ac:dyDescent="0.75">
      <c r="A3" s="128" t="s">
        <v>202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0"/>
      <c r="N3" s="128" t="str">
        <f>A3</f>
        <v xml:space="preserve">SHRINK FILM - MUST HAVE UV AND CORROSION INHIBITOR   .                          NOT UNDER 200UM                                                                             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5" ht="20.149999999999999" customHeight="1" x14ac:dyDescent="0.7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0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5" ht="20.149999999999999" customHeight="1" x14ac:dyDescent="0.7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0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5" ht="20.149999999999999" customHeight="1" x14ac:dyDescent="0.75">
      <c r="A6" s="108" t="s">
        <v>1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6" t="s">
        <v>154</v>
      </c>
      <c r="C7" s="126"/>
      <c r="D7" s="126"/>
      <c r="E7" s="126"/>
      <c r="F7" s="126"/>
      <c r="G7" s="126"/>
      <c r="H7" s="126"/>
      <c r="I7" s="127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116">
        <v>20</v>
      </c>
      <c r="P7" s="117"/>
      <c r="Q7" s="16" t="str">
        <f>IF(ISNUMBER(SEARCH("roll",O8,1)),"Per Roll","Per Carton")</f>
        <v>Per Roll</v>
      </c>
      <c r="R7" s="116">
        <v>33</v>
      </c>
      <c r="S7" s="117"/>
      <c r="T7" s="16" t="str">
        <f>IF(ISNUMBER(SEARCH("bag",O8,1)),"Total Bags","Total Sheets")</f>
        <v>Total Bags</v>
      </c>
      <c r="U7" s="114">
        <f>R7*O7</f>
        <v>660</v>
      </c>
      <c r="V7" s="115"/>
      <c r="W7" s="16" t="s">
        <v>101</v>
      </c>
      <c r="X7" s="116" t="s">
        <v>22</v>
      </c>
      <c r="Y7" s="117"/>
    </row>
    <row r="8" spans="1:25" ht="20.149999999999999" customHeight="1" x14ac:dyDescent="0.8">
      <c r="A8" s="17" t="s">
        <v>15</v>
      </c>
      <c r="B8" s="102">
        <f>R9</f>
        <v>770</v>
      </c>
      <c r="C8" s="105"/>
      <c r="D8" s="20" t="str">
        <f>IF(ISNUMBER(SEARCH("bag",#REF!,1)),"Gusset","Centrefold")</f>
        <v>Centrefold</v>
      </c>
      <c r="E8" s="102" t="str">
        <f>IF(O8="Centrefold Roll",B8*2,IF(X9="","None",X9))</f>
        <v>None</v>
      </c>
      <c r="F8" s="105"/>
      <c r="G8" s="17" t="s">
        <v>51</v>
      </c>
      <c r="H8" s="102">
        <f>(IF(V9&lt;30,"30",V9))</f>
        <v>200</v>
      </c>
      <c r="I8" s="105"/>
      <c r="J8" s="16" t="s">
        <v>53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30"/>
      <c r="N8" s="18" t="s">
        <v>53</v>
      </c>
      <c r="O8" s="103" t="s">
        <v>164</v>
      </c>
      <c r="P8" s="10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1" t="str">
        <f>IF(AND(W8="Gusset",X9=""), "None",IF(AND(W8="Centrefold",X9=""),"None",IF(W8="Gusset","G",IF(W8="Centrefold","CF"))))</f>
        <v>None</v>
      </c>
      <c r="Y8" s="140"/>
    </row>
    <row r="9" spans="1:25" ht="20.149999999999999" customHeight="1" x14ac:dyDescent="0.9">
      <c r="A9" s="21" t="s">
        <v>47</v>
      </c>
      <c r="B9" s="112" t="s">
        <v>194</v>
      </c>
      <c r="C9" s="113"/>
      <c r="D9" s="144" t="str">
        <f>IF(K10="Middle","RUN 2 UP",IF(AND(O8="Centrefold Roll",B8=380),"RUN 2 UP",""))</f>
        <v/>
      </c>
      <c r="E9" s="126"/>
      <c r="F9" s="127"/>
      <c r="G9" s="21" t="s">
        <v>47</v>
      </c>
      <c r="H9" s="112" t="s">
        <v>203</v>
      </c>
      <c r="I9" s="113"/>
      <c r="J9" s="16" t="s">
        <v>54</v>
      </c>
      <c r="K9" s="116" t="s">
        <v>29</v>
      </c>
      <c r="L9" s="117"/>
      <c r="M9" s="30"/>
      <c r="N9" s="22"/>
      <c r="O9" s="124" t="str">
        <f>IF(O8="Poly Bag","PB",IF(O8="Poly Bag Roll","PBR",IF(O8="Centrefold Roll","CFR",IF(O8="Sheet","S",IF(O8="Sheet Roll","SR")))))</f>
        <v>PBR</v>
      </c>
      <c r="P9" s="125"/>
      <c r="Q9" s="22"/>
      <c r="R9" s="31">
        <v>770</v>
      </c>
      <c r="S9" s="23" t="s">
        <v>77</v>
      </c>
      <c r="T9" s="31">
        <v>1000</v>
      </c>
      <c r="U9" s="23" t="s">
        <v>77</v>
      </c>
      <c r="V9" s="31">
        <v>200</v>
      </c>
      <c r="W9" s="22"/>
      <c r="X9" s="99"/>
      <c r="Y9" s="100"/>
    </row>
    <row r="10" spans="1:25" ht="20.149999999999999" customHeight="1" x14ac:dyDescent="0.8">
      <c r="A10" s="16" t="s">
        <v>50</v>
      </c>
      <c r="B10" s="116">
        <v>6</v>
      </c>
      <c r="C10" s="117"/>
      <c r="D10" s="49" t="s">
        <v>133</v>
      </c>
      <c r="E10" s="118">
        <f>IF(ISNUMBER(SEARCH("sheet",O8,1)),((R9*T9*H8/540000)*U7/2000*1.3),((R9*T9*H8/540000)*U7/1000*1.08))</f>
        <v>203.28000000000003</v>
      </c>
      <c r="F10" s="119"/>
      <c r="G10" s="16" t="s">
        <v>52</v>
      </c>
      <c r="H10" s="122">
        <f>IF(ISNUMBER(SEARCH("sheet",O8,1)),(U7*T9/2000*1.08),(U7*T9/1000*1.08))</f>
        <v>712.80000000000007</v>
      </c>
      <c r="I10" s="123"/>
      <c r="J10" s="16" t="s">
        <v>40</v>
      </c>
      <c r="K10" s="116" t="s">
        <v>43</v>
      </c>
      <c r="L10" s="117"/>
      <c r="M10" s="30"/>
      <c r="N10" s="18" t="s">
        <v>140</v>
      </c>
      <c r="O10" s="103" t="s">
        <v>43</v>
      </c>
      <c r="P10" s="104"/>
      <c r="Q10" s="18" t="s">
        <v>49</v>
      </c>
      <c r="R10" s="101" t="str">
        <f>IF(K11="NONE","None",IF(K11="INLINE","Yes",IF(K11="OUT OF LINE","Yes")))</f>
        <v>Yes</v>
      </c>
      <c r="S10" s="101"/>
      <c r="T10" s="18" t="s">
        <v>99</v>
      </c>
      <c r="U10" s="95" t="s">
        <v>200</v>
      </c>
      <c r="V10" s="95"/>
      <c r="W10" s="95"/>
      <c r="X10" s="95"/>
      <c r="Y10" s="96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6" t="s">
        <v>134</v>
      </c>
      <c r="E11" s="120">
        <f>E10/B10</f>
        <v>33.880000000000003</v>
      </c>
      <c r="F11" s="121"/>
      <c r="G11" s="16" t="s">
        <v>14</v>
      </c>
      <c r="H11" s="120">
        <f>H10/B10</f>
        <v>118.80000000000001</v>
      </c>
      <c r="I11" s="121"/>
      <c r="J11" s="16" t="s">
        <v>49</v>
      </c>
      <c r="K11" s="116" t="s">
        <v>63</v>
      </c>
      <c r="L11" s="117"/>
      <c r="M11" s="30"/>
      <c r="N11" s="17"/>
      <c r="O11" s="102" t="str">
        <f>IF(O10="NONE","","V")</f>
        <v/>
      </c>
      <c r="P11" s="105"/>
      <c r="Q11" s="17"/>
      <c r="R11" s="102" t="str">
        <f>IF(R10="None","","P")</f>
        <v>P</v>
      </c>
      <c r="S11" s="102"/>
      <c r="T11" s="17"/>
      <c r="U11" s="97"/>
      <c r="V11" s="97"/>
      <c r="W11" s="97"/>
      <c r="X11" s="97"/>
      <c r="Y11" s="98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41" t="s">
        <v>70</v>
      </c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3"/>
    </row>
    <row r="13" spans="1:25" ht="20.149999999999999" customHeight="1" x14ac:dyDescent="0.8">
      <c r="A13" s="16" t="s">
        <v>67</v>
      </c>
      <c r="B13" s="106" t="s">
        <v>69</v>
      </c>
      <c r="C13" s="106"/>
      <c r="D13" s="107"/>
      <c r="E13" s="24" t="s">
        <v>60</v>
      </c>
      <c r="F13" s="106" t="s">
        <v>65</v>
      </c>
      <c r="G13" s="106"/>
      <c r="H13" s="107"/>
      <c r="I13" s="16" t="s">
        <v>61</v>
      </c>
      <c r="J13" s="116" t="s">
        <v>176</v>
      </c>
      <c r="K13" s="116"/>
      <c r="L13" s="117"/>
      <c r="M13" s="30"/>
      <c r="N13" s="16" t="s">
        <v>71</v>
      </c>
      <c r="O13" s="32" t="s">
        <v>56</v>
      </c>
      <c r="P13" s="16" t="s">
        <v>72</v>
      </c>
      <c r="Q13" s="25">
        <f>O7</f>
        <v>20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47" t="s">
        <v>197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8"/>
      <c r="M14" s="30"/>
      <c r="N14" s="149" t="s">
        <v>109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116"/>
      <c r="P16" s="117"/>
      <c r="Q16" s="16" t="s">
        <v>104</v>
      </c>
      <c r="R16" s="116" t="s">
        <v>30</v>
      </c>
      <c r="S16" s="117"/>
      <c r="T16" s="16" t="s">
        <v>102</v>
      </c>
      <c r="U16" s="116" t="s">
        <v>30</v>
      </c>
      <c r="V16" s="117"/>
      <c r="W16" s="16" t="str">
        <f>IF(ISNUMBER(SEARCH("bag",O8,1)),"Total Bags","Total Sheets")</f>
        <v>Total Bags</v>
      </c>
      <c r="X16" s="145"/>
      <c r="Y16" s="146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116"/>
      <c r="P17" s="117"/>
      <c r="Q17" s="16" t="s">
        <v>103</v>
      </c>
      <c r="R17" s="116" t="s">
        <v>30</v>
      </c>
      <c r="S17" s="117"/>
      <c r="T17" s="26" t="str">
        <f>IF(ISNUMBER(SEARCH("roll",O8,1)),"Part Rolls","Part Ctns")</f>
        <v>Part Rolls</v>
      </c>
      <c r="U17" s="116" t="s">
        <v>22</v>
      </c>
      <c r="V17" s="117"/>
      <c r="W17" s="16" t="str">
        <f>IF(ISNUMBER(SEARCH("roll",O8,1)),"Total Rolls","Total Ctns")</f>
        <v>Total Rolls</v>
      </c>
      <c r="X17" s="145"/>
      <c r="Y17" s="146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116"/>
      <c r="P18" s="117"/>
      <c r="Q18" s="16" t="s">
        <v>105</v>
      </c>
      <c r="R18" s="116" t="s">
        <v>30</v>
      </c>
      <c r="S18" s="117"/>
      <c r="T18" s="1" t="s">
        <v>26</v>
      </c>
      <c r="U18" s="116" t="s">
        <v>35</v>
      </c>
      <c r="V18" s="117"/>
      <c r="W18" s="16" t="s">
        <v>108</v>
      </c>
      <c r="X18" s="145"/>
      <c r="Y18" s="146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>WHITE</v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1"/>
      <c r="E22" s="85" t="s">
        <v>204</v>
      </c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195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1"/>
      <c r="E23" s="151" t="s">
        <v>204</v>
      </c>
      <c r="F23" s="152"/>
      <c r="G23" s="34" t="s">
        <v>86</v>
      </c>
      <c r="H23" s="35"/>
      <c r="I23" s="62"/>
      <c r="J23" s="63"/>
      <c r="K23" s="62"/>
      <c r="L23" s="63"/>
      <c r="M23" s="30"/>
      <c r="N23" s="149" t="s">
        <v>132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49999999999999" customHeight="1" x14ac:dyDescent="0.75">
      <c r="A24" s="83" t="s">
        <v>196</v>
      </c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1"/>
      <c r="E24" s="151" t="s">
        <v>204</v>
      </c>
      <c r="F24" s="152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 t="s">
        <v>199</v>
      </c>
      <c r="P25" s="36"/>
      <c r="Q25" s="10">
        <v>21</v>
      </c>
      <c r="R25" s="10">
        <v>10</v>
      </c>
      <c r="S25" s="10"/>
      <c r="T25" s="10">
        <v>9</v>
      </c>
      <c r="U25" s="10"/>
      <c r="V25" s="10">
        <v>3</v>
      </c>
      <c r="W25" s="10">
        <v>220</v>
      </c>
      <c r="X25" s="10">
        <v>220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50" t="s">
        <v>131</v>
      </c>
      <c r="H26" s="150"/>
      <c r="I26" s="150" t="s">
        <v>130</v>
      </c>
      <c r="J26" s="150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>
        <v>85</v>
      </c>
      <c r="E27" s="8">
        <v>2.5000000000000001E-2</v>
      </c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 t="e">
        <f>DATE(YEAR(Sheet1!J1),MONTH(Sheet1!J1)+1,DAY(Sheet1!J1))</f>
        <v>#VALUE!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 t="e">
        <f>DATE(YEAR(Sheet1!J1),MONTH(Sheet1!J1),DAY(Sheet1!J1)+21)</f>
        <v>#VALUE!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967C214-A1B6-46B4-8795-55954DA4A991}"/>
</file>

<file path=customXml/itemProps2.xml><?xml version="1.0" encoding="utf-8"?>
<ds:datastoreItem xmlns:ds="http://schemas.openxmlformats.org/officeDocument/2006/customXml" ds:itemID="{367960D2-D1F4-4835-ABDD-F55796BE0717}"/>
</file>

<file path=customXml/itemProps3.xml><?xml version="1.0" encoding="utf-8"?>
<ds:datastoreItem xmlns:ds="http://schemas.openxmlformats.org/officeDocument/2006/customXml" ds:itemID="{455AE774-CF61-4214-A469-254747D01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2025-07-22T00:16:30Z</cp:lastPrinted>
  <dcterms:created xsi:type="dcterms:W3CDTF">2019-11-27T23:28:06Z</dcterms:created>
  <dcterms:modified xsi:type="dcterms:W3CDTF">2025-07-22T00:22:41Z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