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AB35461-D911-48B3-A9D8-9C136F6432E3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<sst xmlns="http://schemas.openxmlformats.org/spreadsheetml/2006/main" count="304" uniqueCount="200">
  <si>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</si>
  <si>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</si>
  <si>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</si>
  <si>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</si>
  <si>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</si>
  <si>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</si>
  <si>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</si>
  <si>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</si>
  <si>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</si>
  <si>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</si>
  <si>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</si>
  <si>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</si>
  <si>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</si>
  <si>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</si>
  <si>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</si>
  <si>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</si>
  <si>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</si>
  <si>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</si>
  <si>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</si>
  <si>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</si>
  <si>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</si>
  <si>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</si>
  <si>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</si>
  <si>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</si>
  <si>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</si>
  <si>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</si>
  <si>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</si>
  <si>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</si>
  <si>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</si>
  <si>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</si>
  <si>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</si>
  <si>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</si>
  <si>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</si>
  <si>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</si>
  <si>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</si>
  <si>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</si>
  <si>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</si>
  <si>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</si>
  <si>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</si>
  <si>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</si>
  <si>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</si>
  <si>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</si>
  <si>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</si>
  <si>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</si>
  <si>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</si>
  <si>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</si>
  <si>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</si>
  <si>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</si>
  <si>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</si>
  <si>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</si>
  <si>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</si>
  <si>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</si>
  <si>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</si>
  <si>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</si>
  <si>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</si>
  <si>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</si>
  <si>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</si>
  <si>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</si>
  <si>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</si>
  <si>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</si>
  <si>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</si>
  <si>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</si>
  <si>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</si>
  <si>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</si>
  <si>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</si>
  <si>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</si>
  <si>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</si>
  <si>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</si>
  <si>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</si>
  <si>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</si>
  <si>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</si>
  <si>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</si>
  <si>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</si>
  <si>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</si>
  <si>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</si>
  <si>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</si>
  <si>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</si>
  <si>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</si>
  <si>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</si>
  <si>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</si>
  <si>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</si>
  <si>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</si>
  <si>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</si>
  <si>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</si>
  <si>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</si>
  <si>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</si>
  <si>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</si>
  <si>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</si>
  <si>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</si>
  <si>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</si>
  <si>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</si>
  <si>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</si>
  <si>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</si>
  <si>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</si>
  <si>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</si>
  <si>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</si>
  <si>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</si>
  <si>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</si>
  <si>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</si>
  <si>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</si>
  <si>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</si>
  <si>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</si>
  <si>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</si>
  <si>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</si>
  <si>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</si>
  <si>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</si>
  <si>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</si>
  <si>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</si>
  <si>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</si>
  <si>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</si>
  <si>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</si>
  <si>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</si>
  <si>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</si>
  <si>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</si>
  <si>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</si>
  <si>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</si>
  <si>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</si>
  <si>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</si>
  <si>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</si>
  <si>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</si>
  <si>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</si>
  <si>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</si>
  <si>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</si>
  <si>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</si>
  <si>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</si>
  <si>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</si>
  <si>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</si>
  <si>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</si>
  <si>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</si>
  <si>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</si>
  <si>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</si>
  <si>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</si>
  <si>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</si>
  <si>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</si>
  <si>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</si>
  <si>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</si>
  <si>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</si>
  <si>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</si>
  <si>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</si>
  <si>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</si>
  <si>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</si>
  <si>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</si>
  <si>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</si>
  <si>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</si>
  <si>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</si>
  <si>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</si>
  <si>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</si>
  <si>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</si>
  <si>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</si>
  <si>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</si>
  <si>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</si>
  <si>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</si>
  <si>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</si>
  <si>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</si>
  <si>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</si>
  <si>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</si>
  <si>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</si>
  <si>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</si>
  <si>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</si>
  <si>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</si>
  <si>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</si>
  <si>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</si>
  <si>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</si>
  <si>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</si>
  <si>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</si>
  <si>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</si>
  <si>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</si>
  <si>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</si>
  <si>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</si>
  <si>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</si>
  <si>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</si>
  <si>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</si>
  <si>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</si>
  <si>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</si>
  <si>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</si>
  <si>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</si>
  <si>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</si>
  <si>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</si>
  <si>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</si>
  <si>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</si>
  <si>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</si>
  <si>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</si>
  <si>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</si>
  <si>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</si>
  <si>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</si>
  <si>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</si>
  <si>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</si>
  <si>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</si>
  <si>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</si>
  <si>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</si>
  <si>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</si>
  <si>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</si>
  <si>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</si>
  <si>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</si>
  <si>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</si>
  <si>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ULTRA CORAL</t>
  </si>
  <si>
    <t>MUST BE WITHIN TOLERANCE - MUST HAVE WATER TIGHT SEALS - PLEASE CHECK SEALS FREQUENTLY.</t>
  </si>
  <si>
    <t>LIMAX</t>
  </si>
  <si>
    <t>#6 BAG - SMALL ACRO</t>
  </si>
  <si>
    <t xml:space="preserve"> +/-5mm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</si>
</sst>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8" sqref="O8:P8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PB200475100</v>
      </c>
      <c r="C1" s="108"/>
      <c r="D1" s="109"/>
      <c r="E1" s="11" t="s">
        <v>57</v>
      </c>
      <c r="F1" s="62" t="s">
        <v>195</v>
      </c>
      <c r="G1" s="62"/>
      <c r="H1" s="63"/>
      <c r="I1" s="12" t="s">
        <v>181</v>
      </c>
      <c r="J1" s="119">
        <f ca="1">TODAY()</f>
        <v>45072</v>
      </c>
      <c r="K1" s="119"/>
      <c r="L1" s="120"/>
      <c r="M1" s="29"/>
      <c r="N1" s="11" t="s">
        <v>56</v>
      </c>
      <c r="O1" s="108" t="str">
        <f>B1</f>
        <v>PB200475100</v>
      </c>
      <c r="P1" s="108"/>
      <c r="Q1" s="109"/>
      <c r="R1" s="11" t="s">
        <v>57</v>
      </c>
      <c r="S1" s="108" t="str">
        <f>F1</f>
        <v>ULTRA CORAL</v>
      </c>
      <c r="T1" s="108"/>
      <c r="U1" s="109"/>
      <c r="V1" s="11" t="s">
        <v>181</v>
      </c>
      <c r="W1" s="119">
        <f ca="1">J1</f>
        <v>45072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>#6 BAG - SMALL ACRO</v>
      </c>
      <c r="C2" s="108"/>
      <c r="D2" s="109"/>
      <c r="E2" s="11" t="s">
        <v>58</v>
      </c>
      <c r="F2" s="62">
        <v>945773</v>
      </c>
      <c r="G2" s="62"/>
      <c r="H2" s="63"/>
      <c r="I2" s="11" t="s">
        <v>59</v>
      </c>
      <c r="J2" s="122">
        <v>44172</v>
      </c>
      <c r="K2" s="62"/>
      <c r="L2" s="63"/>
      <c r="M2" s="29"/>
      <c r="N2" s="11" t="s">
        <v>100</v>
      </c>
      <c r="O2" s="108" t="str">
        <f>IF(B2="","",B2)</f>
        <v>#6 BAG - SMALL ACRO</v>
      </c>
      <c r="P2" s="108"/>
      <c r="Q2" s="109"/>
      <c r="R2" s="11" t="s">
        <v>58</v>
      </c>
      <c r="S2" s="108">
        <f>IF(F2="","",F2)</f>
        <v>945773</v>
      </c>
      <c r="T2" s="108"/>
      <c r="U2" s="109"/>
      <c r="V2" s="11" t="s">
        <v>59</v>
      </c>
      <c r="W2" s="121">
        <f>J2</f>
        <v>44172</v>
      </c>
      <c r="X2" s="108"/>
      <c r="Y2" s="109"/>
    </row>
    <row r="3" spans="1:25" ht="20.149999999999999" customHeight="1" x14ac:dyDescent="0.75">
      <c r="A3" s="110" t="s">
        <v>196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MUST BE WITHIN TOLERANCE - MUST HAVE WATER TIGHT SEALS - PLEASE CHECK SEALS FREQUENTLY.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5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08">
        <f>R7*O7</f>
        <v>5000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200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100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199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194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200</v>
      </c>
      <c r="S9" s="18" t="s">
        <v>78</v>
      </c>
      <c r="T9" s="30">
        <v>475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6</v>
      </c>
      <c r="C10" s="63"/>
      <c r="D10" s="47" t="s">
        <v>134</v>
      </c>
      <c r="E10" s="127">
        <f>IF(ISNUMBER(SEARCH("sheet",O8,1)),((R9*T9*H8/540000)*U7/2000*1.3),((R9*T9*H8/540000)*U7/1000*1.08))</f>
        <v>95</v>
      </c>
      <c r="F10" s="128"/>
      <c r="G10" s="11" t="s">
        <v>53</v>
      </c>
      <c r="H10" s="131">
        <f>IF(ISNUMBER(SEARCH("sheet",O8,1)),(U7*T9/2000*1.08),(U7*T9/1000*1.08))</f>
        <v>2565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 t="s">
        <v>198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15.833333333333334</v>
      </c>
      <c r="F11" s="130"/>
      <c r="G11" s="11" t="s">
        <v>15</v>
      </c>
      <c r="H11" s="129">
        <f>H10/B10</f>
        <v>427.5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>
        <v>22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45103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45093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E2300F6-81E8-4267-9F10-AA669E318202}"/>
</file>

<file path=customXml/itemProps2.xml><?xml version="1.0" encoding="utf-8"?>
<ds:datastoreItem xmlns:ds="http://schemas.openxmlformats.org/officeDocument/2006/customXml" ds:itemID="{64C9DE95-A25E-4532-A7EF-4AACB8FA3114}"/>
</file>

<file path=customXml/itemProps3.xml><?xml version="1.0" encoding="utf-8"?>
<ds:datastoreItem xmlns:ds="http://schemas.openxmlformats.org/officeDocument/2006/customXml" ds:itemID="{EC59F457-94A9-4731-8D73-E715284F2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2023-05-26T02:59:11Z</cp:lastPrinted>
  <dcterms:created xsi:type="dcterms:W3CDTF">2019-11-27T23:28:06Z</dcterms:created>
  <dcterms:modified xsi:type="dcterms:W3CDTF">2023-05-26T03:01:36Z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