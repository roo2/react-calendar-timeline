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3C2CEC7-A739-47E4-830C-B04412B94341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<sst xmlns="http://schemas.openxmlformats.org/spreadsheetml/2006/main" count="303" uniqueCount="199">
  <si>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</si>
  <si>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</si>
  <si>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</si>
  <si>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</si>
  <si>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</si>
  <si>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</si>
  <si>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</si>
  <si>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</si>
  <si>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</si>
  <si>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</si>
  <si>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</si>
  <si>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</si>
  <si>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</si>
  <si>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</si>
  <si>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</si>
  <si>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</si>
  <si>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</si>
  <si>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</si>
  <si>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</si>
  <si>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</si>
  <si>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</si>
  <si>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</si>
  <si>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</si>
  <si>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</si>
  <si>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</si>
  <si>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</si>
  <si>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</si>
  <si>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</si>
  <si>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</si>
  <si>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</si>
  <si>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</si>
  <si>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</si>
  <si>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</si>
  <si>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</si>
  <si>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</si>
  <si>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</si>
  <si>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</si>
  <si>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</si>
  <si>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</si>
  <si>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</si>
  <si>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</si>
  <si>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</si>
  <si>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</si>
  <si>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</si>
  <si>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</si>
  <si>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</si>
  <si>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</si>
  <si>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</si>
  <si>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</si>
  <si>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</si>
  <si>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</si>
  <si>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</si>
  <si>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</si>
  <si>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</si>
  <si>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</si>
  <si>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</si>
  <si>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</si>
  <si>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</si>
  <si>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</si>
  <si>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</si>
  <si>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</si>
  <si>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</si>
  <si>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</si>
  <si>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</si>
  <si>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</si>
  <si>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</si>
  <si>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</si>
  <si>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</si>
  <si>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</si>
  <si>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</si>
  <si>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</si>
  <si>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</si>
  <si>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</si>
  <si>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</si>
  <si>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</si>
  <si>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</si>
  <si>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</si>
  <si>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</si>
  <si>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</si>
  <si>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</si>
  <si>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</si>
  <si>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</si>
  <si>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</si>
  <si>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</si>
  <si>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</si>
  <si>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</si>
  <si>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</si>
  <si>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</si>
  <si>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</si>
  <si>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</si>
  <si>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</si>
  <si>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</si>
  <si>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</si>
  <si>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</si>
  <si>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</si>
  <si>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</si>
  <si>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</si>
  <si>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</si>
  <si>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</si>
  <si>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</si>
  <si>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</si>
  <si>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</si>
  <si>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</si>
  <si>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</si>
  <si>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</si>
  <si>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</si>
  <si>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</si>
  <si>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</si>
  <si>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</si>
  <si>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</si>
  <si>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</si>
  <si>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</si>
  <si>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</si>
  <si>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</si>
  <si>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</si>
  <si>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</si>
  <si>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</si>
  <si>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</si>
  <si>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</si>
  <si>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</si>
  <si>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</si>
  <si>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</si>
  <si>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</si>
  <si>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</si>
  <si>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</si>
  <si>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</si>
  <si>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</si>
  <si>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</si>
  <si>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</si>
  <si>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</si>
  <si>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</si>
  <si>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</si>
  <si>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</si>
  <si>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</si>
  <si>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</si>
  <si>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</si>
  <si>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</si>
  <si>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</si>
  <si>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</si>
  <si>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</si>
  <si>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</si>
  <si>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</si>
  <si>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</si>
  <si>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</si>
  <si>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</si>
  <si>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</si>
  <si>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</si>
  <si>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</si>
  <si>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</si>
  <si>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</si>
  <si>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</si>
  <si>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</si>
  <si>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</si>
  <si>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</si>
  <si>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</si>
  <si>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</si>
  <si>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</si>
  <si>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</si>
  <si>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</si>
  <si>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</si>
  <si>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</si>
  <si>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</si>
  <si>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</si>
  <si>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</si>
  <si>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</si>
  <si>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</si>
  <si>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</si>
  <si>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</si>
  <si>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</si>
  <si>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</si>
  <si>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</si>
  <si>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</si>
  <si>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</si>
  <si>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</si>
  <si>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</si>
  <si>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</si>
  <si>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</si>
  <si>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</si>
  <si>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</si>
  <si>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</si>
  <si>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</si>
  <si>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</si>
  <si>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</si>
  <si>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</si>
  <si>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</si>
  <si>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</si>
  <si>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</si>
  <si>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</si>
  <si>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</si>
  <si>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</si>
  <si>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</si>
  <si>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</si>
  <si>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</si>
  <si>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</si>
  <si>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THE COMPANY ONE</t>
  </si>
  <si>
    <t>RUN AT 90um</t>
  </si>
  <si>
    <t xml:space="preserve"> +/- 10mm</t>
  </si>
  <si>
    <t>MUST HAVE GOODS SEALS - NO LEAKS</t>
  </si>
  <si>
    <t xml:space="preserve">LIMAX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</si>
</sst>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PB500900100</v>
      </c>
      <c r="C1" s="108"/>
      <c r="D1" s="109"/>
      <c r="E1" s="11" t="s">
        <v>57</v>
      </c>
      <c r="F1" s="62" t="s">
        <v>194</v>
      </c>
      <c r="G1" s="62"/>
      <c r="H1" s="63"/>
      <c r="I1" s="12" t="s">
        <v>181</v>
      </c>
      <c r="J1" s="119">
        <f ca="1">TODAY()</f>
        <v>45077</v>
      </c>
      <c r="K1" s="119"/>
      <c r="L1" s="120"/>
      <c r="M1" s="29"/>
      <c r="N1" s="11" t="s">
        <v>56</v>
      </c>
      <c r="O1" s="108" t="str">
        <f>B1</f>
        <v>PB500900100</v>
      </c>
      <c r="P1" s="108"/>
      <c r="Q1" s="109"/>
      <c r="R1" s="11" t="s">
        <v>57</v>
      </c>
      <c r="S1" s="108" t="str">
        <f>F1</f>
        <v>THE COMPANY ONE</v>
      </c>
      <c r="T1" s="108"/>
      <c r="U1" s="109"/>
      <c r="V1" s="11" t="s">
        <v>181</v>
      </c>
      <c r="W1" s="119">
        <f ca="1">J1</f>
        <v>45077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945623</v>
      </c>
      <c r="G2" s="62"/>
      <c r="H2" s="63"/>
      <c r="I2" s="11" t="s">
        <v>59</v>
      </c>
      <c r="J2" s="122">
        <v>45087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945623</v>
      </c>
      <c r="T2" s="108"/>
      <c r="U2" s="109"/>
      <c r="V2" s="11" t="s">
        <v>59</v>
      </c>
      <c r="W2" s="121">
        <f>J2</f>
        <v>45087</v>
      </c>
      <c r="X2" s="108"/>
      <c r="Y2" s="109"/>
    </row>
    <row r="3" spans="1:25" ht="20.149999999999999" customHeight="1" x14ac:dyDescent="0.75">
      <c r="A3" s="110" t="s">
        <v>197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MUST HAVE GOODS SEALS - NO LEAKS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30</v>
      </c>
      <c r="P7" s="63"/>
      <c r="Q7" s="11" t="str">
        <f>IF(ISNUMBER(SEARCH("roll",O8,1)),"Per Roll","Per Carton")</f>
        <v>Per Carton</v>
      </c>
      <c r="R7" s="62">
        <v>200</v>
      </c>
      <c r="S7" s="63"/>
      <c r="T7" s="11" t="str">
        <f>IF(ISNUMBER(SEARCH("bag",O8,1)),"Total Bags","Total Sheets")</f>
        <v>Total Bags</v>
      </c>
      <c r="U7" s="108">
        <f>R7*O7</f>
        <v>6000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500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100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196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195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500</v>
      </c>
      <c r="S9" s="18" t="s">
        <v>78</v>
      </c>
      <c r="T9" s="30">
        <v>900</v>
      </c>
      <c r="U9" s="18" t="s">
        <v>78</v>
      </c>
      <c r="V9" s="30">
        <v>100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14</v>
      </c>
      <c r="C10" s="63"/>
      <c r="D10" s="47" t="s">
        <v>134</v>
      </c>
      <c r="E10" s="127">
        <f>IF(ISNUMBER(SEARCH("sheet",O8,1)),((R9*T9*H8/540000)*U7/2000*1.3),((R9*T9*H8/540000)*U7/1000*1.08))</f>
        <v>540</v>
      </c>
      <c r="F10" s="128"/>
      <c r="G10" s="11" t="s">
        <v>53</v>
      </c>
      <c r="H10" s="131">
        <f>IF(ISNUMBER(SEARCH("sheet",O8,1)),(U7*T9/2000*1.08),(U7*T9/1000*1.08))</f>
        <v>5832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38.571428571428569</v>
      </c>
      <c r="F11" s="130"/>
      <c r="G11" s="11" t="s">
        <v>15</v>
      </c>
      <c r="H11" s="129">
        <f>H10/B10</f>
        <v>416.57142857142856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30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180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198</v>
      </c>
      <c r="P25" s="34"/>
      <c r="Q25" s="10">
        <v>22</v>
      </c>
      <c r="R25" s="10"/>
      <c r="S25" s="10"/>
      <c r="T25" s="10"/>
      <c r="U25" s="10"/>
      <c r="V25" s="10"/>
      <c r="W25" s="10">
        <v>17</v>
      </c>
      <c r="X25" s="10">
        <v>13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45108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45098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70E8FBA-32DF-41A5-A99A-B43D61BEDF99}"/>
</file>

<file path=customXml/itemProps2.xml><?xml version="1.0" encoding="utf-8"?>
<ds:datastoreItem xmlns:ds="http://schemas.openxmlformats.org/officeDocument/2006/customXml" ds:itemID="{A3284B2A-1B36-496C-A7E2-63C422371797}"/>
</file>

<file path=customXml/itemProps3.xml><?xml version="1.0" encoding="utf-8"?>
<ds:datastoreItem xmlns:ds="http://schemas.openxmlformats.org/officeDocument/2006/customXml" ds:itemID="{CB9CC2E8-EDDB-49E5-A4BD-815D430C8D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2023-05-09T23:07:20Z</cp:lastPrinted>
  <dcterms:created xsi:type="dcterms:W3CDTF">2019-11-27T23:28:06Z</dcterms:created>
  <dcterms:modified xsi:type="dcterms:W3CDTF">2023-05-31T04:44:27Z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