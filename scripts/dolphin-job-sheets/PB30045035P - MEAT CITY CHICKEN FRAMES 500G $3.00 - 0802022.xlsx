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27BE580-E059-412B-9AF4-08E612B6BEE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<sst xmlns="http://schemas.openxmlformats.org/spreadsheetml/2006/main" count="305" uniqueCount="201">
  <si>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</si>
  <si>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</si>
  <si>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</si>
  <si>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</si>
  <si>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</si>
  <si>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</si>
  <si>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</si>
  <si>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</si>
  <si>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</si>
  <si>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</si>
  <si>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</si>
  <si>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</si>
  <si>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</si>
  <si>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</si>
  <si>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</si>
  <si>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</si>
  <si>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</si>
  <si>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</si>
  <si>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</si>
  <si>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</si>
  <si>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</si>
  <si>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</si>
  <si>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</si>
  <si>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</si>
  <si>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</si>
  <si>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</si>
  <si>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</si>
  <si>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</si>
  <si>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</si>
  <si>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</si>
  <si>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</si>
  <si>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</si>
  <si>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</si>
  <si>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</si>
  <si>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</si>
  <si>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</si>
  <si>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</si>
  <si>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</si>
  <si>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</si>
  <si>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</si>
  <si>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</si>
  <si>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</si>
  <si>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</si>
  <si>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</si>
  <si>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</si>
  <si>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</si>
  <si>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</si>
  <si>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</si>
  <si>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</si>
  <si>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</si>
  <si>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</si>
  <si>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</si>
  <si>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</si>
  <si>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</si>
  <si>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</si>
  <si>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</si>
  <si>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</si>
  <si>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</si>
  <si>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</si>
  <si>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</si>
  <si>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</si>
  <si>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</si>
  <si>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</si>
  <si>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</si>
  <si>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</si>
  <si>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</si>
  <si>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</si>
  <si>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</si>
  <si>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</si>
  <si>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</si>
  <si>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</si>
  <si>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</si>
  <si>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</si>
  <si>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</si>
  <si>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</si>
  <si>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</si>
  <si>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</si>
  <si>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</si>
  <si>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</si>
  <si>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</si>
  <si>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</si>
  <si>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</si>
  <si>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</si>
  <si>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</si>
  <si>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</si>
  <si>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</si>
  <si>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</si>
  <si>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</si>
  <si>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</si>
  <si>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</si>
  <si>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</si>
  <si>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</si>
  <si>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</si>
  <si>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</si>
  <si>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</si>
  <si>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</si>
  <si>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</si>
  <si>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</si>
  <si>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</si>
  <si>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</si>
  <si>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</si>
  <si>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</si>
  <si>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</si>
  <si>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</si>
  <si>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</si>
  <si>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</si>
  <si>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</si>
  <si>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</si>
  <si>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</si>
  <si>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</si>
  <si>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</si>
  <si>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</si>
  <si>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</si>
  <si>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</si>
  <si>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</si>
  <si>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</si>
  <si>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</si>
  <si>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</si>
  <si>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</si>
  <si>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</si>
  <si>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</si>
  <si>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</si>
  <si>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</si>
  <si>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</si>
  <si>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</si>
  <si>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</si>
  <si>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</si>
  <si>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</si>
  <si>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</si>
  <si>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</si>
  <si>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</si>
  <si>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</si>
  <si>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</si>
  <si>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</si>
  <si>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</si>
  <si>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</si>
  <si>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</si>
  <si>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</si>
  <si>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</si>
  <si>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</si>
  <si>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</si>
  <si>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</si>
  <si>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</si>
  <si>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</si>
  <si>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</si>
  <si>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</si>
  <si>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</si>
  <si>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</si>
  <si>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</si>
  <si>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</si>
  <si>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</si>
  <si>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</si>
  <si>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</si>
  <si>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</si>
  <si>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</si>
  <si>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</si>
  <si>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</si>
  <si>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</si>
  <si>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</si>
  <si>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</si>
  <si>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</si>
  <si>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</si>
  <si>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</si>
  <si>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</si>
  <si>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</si>
  <si>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</si>
  <si>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</si>
  <si>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</si>
  <si>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</si>
  <si>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</si>
  <si>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</si>
  <si>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</si>
  <si>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</si>
  <si>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</si>
  <si>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</si>
  <si>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</si>
  <si>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</si>
  <si>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</si>
  <si>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</si>
  <si>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</si>
  <si>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</si>
  <si>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</si>
  <si>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</si>
  <si>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</si>
  <si>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</si>
  <si>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</si>
  <si>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</si>
  <si>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</si>
  <si>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</si>
  <si>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</si>
  <si>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</si>
  <si>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</si>
  <si>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</si>
  <si>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</si>
  <si>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</si>
  <si>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DENCO</t>
  </si>
  <si>
    <t>ANTISTATIC</t>
  </si>
  <si>
    <t xml:space="preserve"> +/- 3um</t>
  </si>
  <si>
    <t>0802022</t>
  </si>
  <si>
    <t>MEAT CITY CHICKEN FRAMES 500G/$2.00</t>
  </si>
  <si>
    <t>MEAT CITY CHICKEN FRAMES 500G/$2.00 - MUST HAVE GOOD PRINT - NO LINES OR SMUDGES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</si>
</sst>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PB30045035ASP</v>
      </c>
      <c r="C1" s="122"/>
      <c r="D1" s="123"/>
      <c r="E1" s="12" t="s">
        <v>57</v>
      </c>
      <c r="F1" s="133" t="s">
        <v>195</v>
      </c>
      <c r="G1" s="133"/>
      <c r="H1" s="134"/>
      <c r="I1" s="13" t="s">
        <v>181</v>
      </c>
      <c r="J1" s="95">
        <f ca="1">TODAY()</f>
        <v>44650</v>
      </c>
      <c r="K1" s="95"/>
      <c r="L1" s="96"/>
      <c r="M1" s="34"/>
      <c r="N1" s="12" t="s">
        <v>56</v>
      </c>
      <c r="O1" s="122" t="str">
        <f>B1</f>
        <v>PB30045035ASP</v>
      </c>
      <c r="P1" s="122"/>
      <c r="Q1" s="123"/>
      <c r="R1" s="12" t="s">
        <v>57</v>
      </c>
      <c r="S1" s="122" t="str">
        <f>F1</f>
        <v>DENCO</v>
      </c>
      <c r="T1" s="122"/>
      <c r="U1" s="123"/>
      <c r="V1" s="12" t="s">
        <v>181</v>
      </c>
      <c r="W1" s="95">
        <f ca="1">J1</f>
        <v>44650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0802022</v>
      </c>
      <c r="C2" s="122"/>
      <c r="D2" s="123"/>
      <c r="E2" s="12" t="s">
        <v>58</v>
      </c>
      <c r="F2" s="98">
        <v>942993</v>
      </c>
      <c r="G2" s="98"/>
      <c r="H2" s="99"/>
      <c r="I2" s="12" t="s">
        <v>59</v>
      </c>
      <c r="J2" s="97">
        <v>44681</v>
      </c>
      <c r="K2" s="98"/>
      <c r="L2" s="99"/>
      <c r="M2" s="34"/>
      <c r="N2" s="12" t="s">
        <v>100</v>
      </c>
      <c r="O2" s="122" t="str">
        <f>IF(B2="","",B2)</f>
        <v>0802022</v>
      </c>
      <c r="P2" s="122"/>
      <c r="Q2" s="123"/>
      <c r="R2" s="12" t="s">
        <v>58</v>
      </c>
      <c r="S2" s="122">
        <f>IF(F2="","",F2)</f>
        <v>942993</v>
      </c>
      <c r="T2" s="122"/>
      <c r="U2" s="123"/>
      <c r="V2" s="12" t="s">
        <v>59</v>
      </c>
      <c r="W2" s="135">
        <f>J2</f>
        <v>44681</v>
      </c>
      <c r="X2" s="122"/>
      <c r="Y2" s="123"/>
    </row>
    <row r="3" spans="1:28" ht="20.100000000000001" customHeight="1" x14ac:dyDescent="0.2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MEAT CITY CHICKEN FRAMES 500G/$2.00 - MUST HAVE GOOD PRINT - NO LINES OR SMUDGES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35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300</v>
      </c>
      <c r="S9" s="20" t="s">
        <v>78</v>
      </c>
      <c r="T9" s="35">
        <v>450</v>
      </c>
      <c r="U9" s="20" t="s">
        <v>78</v>
      </c>
      <c r="V9" s="35">
        <v>35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94.5</v>
      </c>
      <c r="F10" s="113"/>
      <c r="G10" s="12" t="s">
        <v>53</v>
      </c>
      <c r="H10" s="116">
        <f>IF(ISNUMBER(SEARCH("sheet",O8,1)),(U7*T9/2000*1.08),(U7*T9/1000*1.08))</f>
        <v>4860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198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23.625</v>
      </c>
      <c r="F11" s="115"/>
      <c r="G11" s="12" t="s">
        <v>15</v>
      </c>
      <c r="H11" s="114">
        <f>H10/B10</f>
        <v>1215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150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199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 t="s">
        <v>196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44681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7FA01B-432D-4B13-975A-9E02C4ADA499}"/>
</file>

<file path=customXml/itemProps2.xml><?xml version="1.0" encoding="utf-8"?>
<ds:datastoreItem xmlns:ds="http://schemas.openxmlformats.org/officeDocument/2006/customXml" ds:itemID="{EA66311A-22AE-4108-BC1D-BC8664129E62}"/>
</file>

<file path=customXml/itemProps3.xml><?xml version="1.0" encoding="utf-8"?>
<ds:datastoreItem xmlns:ds="http://schemas.openxmlformats.org/officeDocument/2006/customXml" ds:itemID="{EDE74767-B9AB-4F61-9404-08899C226D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2022-03-30T02:12:50Z</cp:lastPrinted>
  <dcterms:created xsi:type="dcterms:W3CDTF">2019-11-27T23:28:06Z</dcterms:created>
  <dcterms:modified xsi:type="dcterms:W3CDTF">2022-03-30T02:30:17Z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