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C92D4BF-1104-42D8-B557-82FE7B7319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<sst xmlns="http://schemas.openxmlformats.org/spreadsheetml/2006/main" count="301" uniqueCount="199">
  <si>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</si>
  <si>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</si>
  <si>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</si>
  <si>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</si>
  <si>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</si>
  <si>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</si>
  <si>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</si>
  <si>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</si>
  <si>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</si>
  <si>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</si>
  <si>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</si>
  <si>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</si>
  <si>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</si>
  <si>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</si>
  <si>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</si>
  <si>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</si>
  <si>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</si>
  <si>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</si>
  <si>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</si>
  <si>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</si>
  <si>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</si>
  <si>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</si>
  <si>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</si>
  <si>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</si>
  <si>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</si>
  <si>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</si>
  <si>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</si>
  <si>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</si>
  <si>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</si>
  <si>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</si>
  <si>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</si>
  <si>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</si>
  <si>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</si>
  <si>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</si>
  <si>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</si>
  <si>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</si>
  <si>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</si>
  <si>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</si>
  <si>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</si>
  <si>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</si>
  <si>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</si>
  <si>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</si>
  <si>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</si>
  <si>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</si>
  <si>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</si>
  <si>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</si>
  <si>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</si>
  <si>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</si>
  <si>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</si>
  <si>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</si>
  <si>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</si>
  <si>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</si>
  <si>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</si>
  <si>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</si>
  <si>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</si>
  <si>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</si>
  <si>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</si>
  <si>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</si>
  <si>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</si>
  <si>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</si>
  <si>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</si>
  <si>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</si>
  <si>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</si>
  <si>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</si>
  <si>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</si>
  <si>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</si>
  <si>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</si>
  <si>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</si>
  <si>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</si>
  <si>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</si>
  <si>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</si>
  <si>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</si>
  <si>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</si>
  <si>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</si>
  <si>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</si>
  <si>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</si>
  <si>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</si>
  <si>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</si>
  <si>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</si>
  <si>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</si>
  <si>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</si>
  <si>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</si>
  <si>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</si>
  <si>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</si>
  <si>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</si>
  <si>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</si>
  <si>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</si>
  <si>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</si>
  <si>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</si>
  <si>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</si>
  <si>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</si>
  <si>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</si>
  <si>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</si>
  <si>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</si>
  <si>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</si>
  <si>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</si>
  <si>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</si>
  <si>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</si>
  <si>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</si>
  <si>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</si>
  <si>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</si>
  <si>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</si>
  <si>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</si>
  <si>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</si>
  <si>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</si>
  <si>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</si>
  <si>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</si>
  <si>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</si>
  <si>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</si>
  <si>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</si>
  <si>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</si>
  <si>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</si>
  <si>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</si>
  <si>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</si>
  <si>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</si>
  <si>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</si>
  <si>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</si>
  <si>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</si>
  <si>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</si>
  <si>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</si>
  <si>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</si>
  <si>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</si>
  <si>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</si>
  <si>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</si>
  <si>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</si>
  <si>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</si>
  <si>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</si>
  <si>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</si>
  <si>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</si>
  <si>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</si>
  <si>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</si>
  <si>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</si>
  <si>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</si>
  <si>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</si>
  <si>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</si>
  <si>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</si>
  <si>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</si>
  <si>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</si>
  <si>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</si>
  <si>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</si>
  <si>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</si>
  <si>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</si>
  <si>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</si>
  <si>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</si>
  <si>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</si>
  <si>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</si>
  <si>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</si>
  <si>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</si>
  <si>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</si>
  <si>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</si>
  <si>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</si>
  <si>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</si>
  <si>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</si>
  <si>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</si>
  <si>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</si>
  <si>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</si>
  <si>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</si>
  <si>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</si>
  <si>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</si>
  <si>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</si>
  <si>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</si>
  <si>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</si>
  <si>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</si>
  <si>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</si>
  <si>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</si>
  <si>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</si>
  <si>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</si>
  <si>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</si>
  <si>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</si>
  <si>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</si>
  <si>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</si>
  <si>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</si>
  <si>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</si>
  <si>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</si>
  <si>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</si>
  <si>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</si>
  <si>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</si>
  <si>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</si>
  <si>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</si>
  <si>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</si>
  <si>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</si>
  <si>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</si>
  <si>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</si>
  <si>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</si>
  <si>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</si>
  <si>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</si>
  <si>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</si>
  <si>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</si>
  <si>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</si>
  <si>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</si>
  <si>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</si>
  <si>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</si>
  <si>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</si>
  <si>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</si>
  <si>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</si>
  <si>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</si>
  <si>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FIREMEX</t>
  </si>
  <si>
    <t>RUN AT 190UM</t>
  </si>
  <si>
    <t>NEW CUSTOMER - RUN AT 190UM - 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</si>
</sst>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0" sqref="B10:C10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PBR12002400200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44550</v>
      </c>
      <c r="K1" s="146"/>
      <c r="L1" s="147"/>
      <c r="M1" s="35"/>
      <c r="N1" s="18" t="s">
        <v>55</v>
      </c>
      <c r="O1" s="125" t="str">
        <f>B1</f>
        <v>PBR12002400200</v>
      </c>
      <c r="P1" s="125"/>
      <c r="Q1" s="126"/>
      <c r="R1" s="18" t="s">
        <v>56</v>
      </c>
      <c r="S1" s="125" t="str">
        <f>F1</f>
        <v>FIREMEX</v>
      </c>
      <c r="T1" s="125"/>
      <c r="U1" s="126"/>
      <c r="V1" s="18" t="s">
        <v>180</v>
      </c>
      <c r="W1" s="146">
        <f ca="1">J1</f>
        <v>44550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942170</v>
      </c>
      <c r="G2" s="104"/>
      <c r="H2" s="105"/>
      <c r="I2" s="18" t="s">
        <v>58</v>
      </c>
      <c r="J2" s="103">
        <v>44581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942170</v>
      </c>
      <c r="T2" s="125"/>
      <c r="U2" s="126"/>
      <c r="V2" s="18" t="s">
        <v>58</v>
      </c>
      <c r="W2" s="148">
        <f>J2</f>
        <v>44581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CUSTOMER - RUN AT 190UM - NOT OVER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20</v>
      </c>
      <c r="P7" s="105"/>
      <c r="Q7" s="18" t="str">
        <f>IF(ISNUMBER(SEARCH("roll",O8,1)),"Per Roll","Per Carton")</f>
        <v>Per Roll</v>
      </c>
      <c r="R7" s="104">
        <v>25</v>
      </c>
      <c r="S7" s="105"/>
      <c r="T7" s="18" t="str">
        <f>IF(ISNUMBER(SEARCH("bag",O8,1)),"Total Bags","Total Sheets")</f>
        <v>Total Bags</v>
      </c>
      <c r="U7" s="125">
        <f>R7*O7</f>
        <v>500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1200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200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1200</v>
      </c>
      <c r="S9" s="25" t="s">
        <v>77</v>
      </c>
      <c r="T9" s="36">
        <v>2400</v>
      </c>
      <c r="U9" s="25" t="s">
        <v>77</v>
      </c>
      <c r="V9" s="36">
        <v>200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14</v>
      </c>
      <c r="C10" s="105"/>
      <c r="D10" s="56" t="s">
        <v>133</v>
      </c>
      <c r="E10" s="127">
        <f>IF(ISNUMBER(SEARCH("sheet",O8,1)),((R9*T9*H8/540000)*U7/2000*1.3),((R9*T9*H8/540000)*U7/1000*1.08))</f>
        <v>576.00000000000011</v>
      </c>
      <c r="F10" s="128"/>
      <c r="G10" s="18" t="s">
        <v>52</v>
      </c>
      <c r="H10" s="131">
        <f>IF(ISNUMBER(SEARCH("sheet",O8,1)),(U7*T9/2000*1.08),(U7*T9/1000*1.08))</f>
        <v>1296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41.142857142857153</v>
      </c>
      <c r="F11" s="130"/>
      <c r="G11" s="18" t="s">
        <v>14</v>
      </c>
      <c r="H11" s="129">
        <f>H10/B10</f>
        <v>92.571428571428569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22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44581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44571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195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156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157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158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159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174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67" t="s">
        <v>183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5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65" t="s">
        <v>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29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 t="s">
        <v>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5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65" t="s">
        <v>46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43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5" t="s">
        <v>44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3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65" t="s">
        <v>62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43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5" t="s">
        <v>63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65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43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5" t="s">
        <v>68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3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65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43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65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5" t="s">
        <v>66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3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4" t="s">
        <v>61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3" t="s">
        <v>43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176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154</v>
      </c>
    </row>
    <row r="60" spans="1:20" x14ac:dyDescent="0.25">
      <c r="A60" s="67" t="s">
        <v>147</v>
      </c>
      <c r="O60" s="1"/>
      <c r="Q60" s="1"/>
      <c r="R60" s="3"/>
      <c r="S60" s="1"/>
    </row>
    <row r="61" spans="1:20" x14ac:dyDescent="0.25">
      <c r="A61" s="67" t="s">
        <v>148</v>
      </c>
      <c r="O61" s="1"/>
      <c r="Q61" s="1"/>
      <c r="R61" s="1"/>
      <c r="S61" s="1"/>
    </row>
    <row r="62" spans="1:20" x14ac:dyDescent="0.25">
      <c r="A62" s="67" t="s">
        <v>149</v>
      </c>
      <c r="O62" s="1"/>
      <c r="Q62" s="1"/>
      <c r="R62" s="1"/>
      <c r="S62" s="1"/>
    </row>
    <row r="63" spans="1:20" x14ac:dyDescent="0.25">
      <c r="A63" s="67" t="s">
        <v>150</v>
      </c>
      <c r="O63" s="1"/>
      <c r="Q63" s="1"/>
      <c r="R63" s="1"/>
      <c r="S63" s="1"/>
      <c r="T63" s="1"/>
    </row>
    <row r="64" spans="1:20" x14ac:dyDescent="0.25">
      <c r="A64" s="67" t="s">
        <v>151</v>
      </c>
      <c r="O64" s="1"/>
      <c r="Q64" s="1"/>
      <c r="R64" s="1"/>
      <c r="S64" s="1"/>
      <c r="T64" s="1"/>
    </row>
    <row r="65" spans="1:20" x14ac:dyDescent="0.25">
      <c r="A65" s="67" t="s">
        <v>152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173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153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137474F-88BF-4C5B-99FA-7FF3070C3644}"/>
</file>

<file path=customXml/itemProps2.xml><?xml version="1.0" encoding="utf-8"?>
<ds:datastoreItem xmlns:ds="http://schemas.openxmlformats.org/officeDocument/2006/customXml" ds:itemID="{700CDF7C-ED4F-4283-B695-28D273E4B4EB}"/>
</file>

<file path=customXml/itemProps3.xml><?xml version="1.0" encoding="utf-8"?>
<ds:datastoreItem xmlns:ds="http://schemas.openxmlformats.org/officeDocument/2006/customXml" ds:itemID="{3E7B697A-2765-4F93-A218-977AB00025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2021-12-20T00:37:31Z</cp:lastPrinted>
  <dcterms:created xsi:type="dcterms:W3CDTF">2019-11-27T23:28:06Z</dcterms:created>
  <dcterms:modified xsi:type="dcterms:W3CDTF">2021-12-20T04:16:18Z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