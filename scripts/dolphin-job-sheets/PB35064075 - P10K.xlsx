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1A02CC4-16DE-4F8B-842B-6FFECCE6C6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<sst xmlns="http://schemas.openxmlformats.org/spreadsheetml/2006/main" count="306" uniqueCount="200">
  <si>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</si>
  <si>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</si>
  <si>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</si>
  <si>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</si>
  <si>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</si>
  <si>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</si>
  <si>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</si>
  <si>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</si>
  <si>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</si>
  <si>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</si>
  <si>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</si>
  <si>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</si>
  <si>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</si>
  <si>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</si>
  <si>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</si>
  <si>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</si>
  <si>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</si>
  <si>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</si>
  <si>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</si>
  <si>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</si>
  <si>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</si>
  <si>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</si>
  <si>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</si>
  <si>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</si>
  <si>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</si>
  <si>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</si>
  <si>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</si>
  <si>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</si>
  <si>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</si>
  <si>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</si>
  <si>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</si>
  <si>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</si>
  <si>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</si>
  <si>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</si>
  <si>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</si>
  <si>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</si>
  <si>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</si>
  <si>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</si>
  <si>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</si>
  <si>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</si>
  <si>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</si>
  <si>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</si>
  <si>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</si>
  <si>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</si>
  <si>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</si>
  <si>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</si>
  <si>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</si>
  <si>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</si>
  <si>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</si>
  <si>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</si>
  <si>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</si>
  <si>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</si>
  <si>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</si>
  <si>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</si>
  <si>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</si>
  <si>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</si>
  <si>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</si>
  <si>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</si>
  <si>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</si>
  <si>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</si>
  <si>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</si>
  <si>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</si>
  <si>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</si>
  <si>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</si>
  <si>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</si>
  <si>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</si>
  <si>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</si>
  <si>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</si>
  <si>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</si>
  <si>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</si>
  <si>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</si>
  <si>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</si>
  <si>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</si>
  <si>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</si>
  <si>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</si>
  <si>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</si>
  <si>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</si>
  <si>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</si>
  <si>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</si>
  <si>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</si>
  <si>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</si>
  <si>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</si>
  <si>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</si>
  <si>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</si>
  <si>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</si>
  <si>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</si>
  <si>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</si>
  <si>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</si>
  <si>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</si>
  <si>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</si>
  <si>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</si>
  <si>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</si>
  <si>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</si>
  <si>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</si>
  <si>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</si>
  <si>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</si>
  <si>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</si>
  <si>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</si>
  <si>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</si>
  <si>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</si>
  <si>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</si>
  <si>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</si>
  <si>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</si>
  <si>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</si>
  <si>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</si>
  <si>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</si>
  <si>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</si>
  <si>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</si>
  <si>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</si>
  <si>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</si>
  <si>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</si>
  <si>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</si>
  <si>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</si>
  <si>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</si>
  <si>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</si>
  <si>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</si>
  <si>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</si>
  <si>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</si>
  <si>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</si>
  <si>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</si>
  <si>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</si>
  <si>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</si>
  <si>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</si>
  <si>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</si>
  <si>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</si>
  <si>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</si>
  <si>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</si>
  <si>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</si>
  <si>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</si>
  <si>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</si>
  <si>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</si>
  <si>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</si>
  <si>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</si>
  <si>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</si>
  <si>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</si>
  <si>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</si>
  <si>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</si>
  <si>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</si>
  <si>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</si>
  <si>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</si>
  <si>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</si>
  <si>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</si>
  <si>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</si>
  <si>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</si>
  <si>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</si>
  <si>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</si>
  <si>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</si>
  <si>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</si>
  <si>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</si>
  <si>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</si>
  <si>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</si>
  <si>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</si>
  <si>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</si>
  <si>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</si>
  <si>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</si>
  <si>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</si>
  <si>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</si>
  <si>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</si>
  <si>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</si>
  <si>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</si>
  <si>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</si>
  <si>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</si>
  <si>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</si>
  <si>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</si>
  <si>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</si>
  <si>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</si>
  <si>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</si>
  <si>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</si>
  <si>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</si>
  <si>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</si>
  <si>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</si>
  <si>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</si>
  <si>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</si>
  <si>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</si>
  <si>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</si>
  <si>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</si>
  <si>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</si>
  <si>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</si>
  <si>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</si>
  <si>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</si>
  <si>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</si>
  <si>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</si>
  <si>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</si>
  <si>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</si>
  <si>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</si>
  <si>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</si>
  <si>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</si>
  <si>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</si>
  <si>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</si>
  <si>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</si>
  <si>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</si>
  <si>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</si>
  <si>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</si>
  <si>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</si>
  <si>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</si>
  <si>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DEBRETT SEAFOODS</t>
  </si>
  <si>
    <t>P10K</t>
  </si>
  <si>
    <t>MUST HAVE WATER TIGHT SEALS - 5THOU ON BACKORDER 09.03.2021</t>
  </si>
  <si>
    <t>ANTIBLOCK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</si>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</sst>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PB350640750</v>
      </c>
      <c r="C1" s="110"/>
      <c r="D1" s="111"/>
      <c r="E1" s="10" t="s">
        <v>57</v>
      </c>
      <c r="F1" s="86" t="s">
        <v>195</v>
      </c>
      <c r="G1" s="86"/>
      <c r="H1" s="87"/>
      <c r="I1" s="11" t="s">
        <v>181</v>
      </c>
      <c r="J1" s="83">
        <f ca="1">TODAY()</f>
        <v>45338</v>
      </c>
      <c r="K1" s="83"/>
      <c r="L1" s="84"/>
      <c r="M1" s="28"/>
      <c r="N1" s="10" t="s">
        <v>56</v>
      </c>
      <c r="O1" s="110" t="str">
        <f>B1</f>
        <v>PB350640750</v>
      </c>
      <c r="P1" s="110"/>
      <c r="Q1" s="111"/>
      <c r="R1" s="10" t="s">
        <v>57</v>
      </c>
      <c r="S1" s="110" t="str">
        <f>F1</f>
        <v>DEBRETT SEAFOODS</v>
      </c>
      <c r="T1" s="110"/>
      <c r="U1" s="111"/>
      <c r="V1" s="10" t="s">
        <v>181</v>
      </c>
      <c r="W1" s="83">
        <f ca="1">J1</f>
        <v>45338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>P10K</v>
      </c>
      <c r="C2" s="110"/>
      <c r="D2" s="111"/>
      <c r="E2" s="10" t="s">
        <v>58</v>
      </c>
      <c r="F2" s="86">
        <v>939801</v>
      </c>
      <c r="G2" s="86"/>
      <c r="H2" s="87"/>
      <c r="I2" s="10" t="s">
        <v>59</v>
      </c>
      <c r="J2" s="85">
        <v>44285</v>
      </c>
      <c r="K2" s="86"/>
      <c r="L2" s="87"/>
      <c r="M2" s="28"/>
      <c r="N2" s="10" t="s">
        <v>100</v>
      </c>
      <c r="O2" s="110" t="str">
        <f>IF(B2="","",B2)</f>
        <v>P10K</v>
      </c>
      <c r="P2" s="110"/>
      <c r="Q2" s="111"/>
      <c r="R2" s="10" t="s">
        <v>58</v>
      </c>
      <c r="S2" s="110">
        <f>IF(F2="","",F2)</f>
        <v>939801</v>
      </c>
      <c r="T2" s="110"/>
      <c r="U2" s="111"/>
      <c r="V2" s="10" t="s">
        <v>59</v>
      </c>
      <c r="W2" s="121">
        <f>J2</f>
        <v>44285</v>
      </c>
      <c r="X2" s="110"/>
      <c r="Y2" s="111"/>
    </row>
    <row r="3" spans="1:25" ht="20.100000000000001" customHeight="1" x14ac:dyDescent="0.25">
      <c r="A3" s="112" t="s">
        <v>197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MUST HAVE WATER TIGHT SEALS - 5THOU ON BACKORDER 09.03.2021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20</v>
      </c>
      <c r="P7" s="87"/>
      <c r="Q7" s="10" t="str">
        <f>IF(ISNUMBER(SEARCH("roll",O8,1)),"Per Roll","Per Carton")</f>
        <v>Per Carton</v>
      </c>
      <c r="R7" s="86">
        <v>500</v>
      </c>
      <c r="S7" s="87"/>
      <c r="T7" s="10" t="str">
        <f>IF(ISNUMBER(SEARCH("bag",O8,1)),"Total Bags","Total Sheets")</f>
        <v>Total Bags</v>
      </c>
      <c r="U7" s="110">
        <f>R7*O7</f>
        <v>10000</v>
      </c>
      <c r="V7" s="111"/>
      <c r="W7" s="10" t="s">
        <v>102</v>
      </c>
      <c r="X7" s="86" t="s">
        <v>31</v>
      </c>
      <c r="Y7" s="87"/>
    </row>
    <row r="8" spans="1:25" ht="20.100000000000001" customHeight="1" x14ac:dyDescent="0.25">
      <c r="A8" s="12" t="s">
        <v>16</v>
      </c>
      <c r="B8" s="88">
        <f>R9</f>
        <v>350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75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4" t="s">
        <v>164</v>
      </c>
      <c r="P8" s="125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5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194</v>
      </c>
      <c r="I9" s="99"/>
      <c r="J9" s="10" t="s">
        <v>55</v>
      </c>
      <c r="K9" s="86" t="s">
        <v>30</v>
      </c>
      <c r="L9" s="87"/>
      <c r="M9" s="28"/>
      <c r="N9" s="16"/>
      <c r="O9" s="126" t="str">
        <f>IF(O8="Poly Bag","PB",IF(O8="Poly Bag Roll","PBR",IF(O8="Centrefold Roll","CFR",IF(O8="Sheet","S",IF(O8="Sheet Roll","SR")))))</f>
        <v>PB</v>
      </c>
      <c r="P9" s="127"/>
      <c r="Q9" s="16"/>
      <c r="R9" s="29">
        <v>350</v>
      </c>
      <c r="S9" s="17" t="s">
        <v>78</v>
      </c>
      <c r="T9" s="29">
        <v>640</v>
      </c>
      <c r="U9" s="17" t="s">
        <v>78</v>
      </c>
      <c r="V9" s="29">
        <v>75</v>
      </c>
      <c r="W9" s="16"/>
      <c r="X9" s="135"/>
      <c r="Y9" s="136"/>
    </row>
    <row r="10" spans="1:25" ht="20.100000000000001" customHeight="1" x14ac:dyDescent="0.25">
      <c r="A10" s="10" t="s">
        <v>51</v>
      </c>
      <c r="B10" s="86">
        <v>10</v>
      </c>
      <c r="C10" s="87"/>
      <c r="D10" s="46" t="s">
        <v>134</v>
      </c>
      <c r="E10" s="100">
        <f>IF(ISNUMBER(SEARCH("sheet",O8,1)),((R9*T9*H8/540000)*U7/2000*1.3),((R9*T9*H8/540000)*U7/1000*1.08))</f>
        <v>336.00000000000006</v>
      </c>
      <c r="F10" s="101"/>
      <c r="G10" s="10" t="s">
        <v>53</v>
      </c>
      <c r="H10" s="104">
        <f>IF(ISNUMBER(SEARCH("sheet",O8,1)),(U7*T9/2000*1.08),(U7*T9/1000*1.08))</f>
        <v>6912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4" t="s">
        <v>44</v>
      </c>
      <c r="P10" s="125"/>
      <c r="Q10" s="13" t="s">
        <v>50</v>
      </c>
      <c r="R10" s="122" t="str">
        <f>IF(K11="NONE","None",IF(K11="INLINE","Yes",IF(K11="OUT OF LINE","Yes")))</f>
        <v>None</v>
      </c>
      <c r="S10" s="122"/>
      <c r="T10" s="13" t="s">
        <v>100</v>
      </c>
      <c r="U10" s="129" t="s">
        <v>196</v>
      </c>
      <c r="V10" s="129"/>
      <c r="W10" s="129"/>
      <c r="X10" s="129"/>
      <c r="Y10" s="13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33.600000000000009</v>
      </c>
      <c r="F11" s="103"/>
      <c r="G11" s="10" t="s">
        <v>15</v>
      </c>
      <c r="H11" s="102">
        <f>H10/B10</f>
        <v>691.2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 t="s">
        <v>38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23</v>
      </c>
      <c r="V17" s="87"/>
      <c r="W17" s="10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198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/>
      <c r="P25" s="33"/>
      <c r="Q25" s="9">
        <v>26</v>
      </c>
      <c r="R25" s="9"/>
      <c r="S25" s="9"/>
      <c r="T25" s="9"/>
      <c r="U25" s="9"/>
      <c r="V25" s="9"/>
      <c r="W25" s="9">
        <v>16</v>
      </c>
      <c r="X25" s="9">
        <v>14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7" t="s">
        <v>132</v>
      </c>
      <c r="H26" s="137"/>
      <c r="I26" s="137" t="s">
        <v>131</v>
      </c>
      <c r="J26" s="137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199</v>
      </c>
      <c r="C27" s="7"/>
      <c r="D27" s="7">
        <v>29</v>
      </c>
      <c r="E27" s="140">
        <v>2.8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45367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45359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60D9EAF-6546-4B4A-A9A8-04F0DF049EDB}"/>
</file>

<file path=customXml/itemProps2.xml><?xml version="1.0" encoding="utf-8"?>
<ds:datastoreItem xmlns:ds="http://schemas.openxmlformats.org/officeDocument/2006/customXml" ds:itemID="{3D84C942-DE05-4AB5-8D58-B669FE8D5114}"/>
</file>

<file path=customXml/itemProps3.xml><?xml version="1.0" encoding="utf-8"?>
<ds:datastoreItem xmlns:ds="http://schemas.openxmlformats.org/officeDocument/2006/customXml" ds:itemID="{2042DA6F-7015-41BE-8888-93E7A6C84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2021-03-09T00:50:56Z</cp:lastPrinted>
  <dcterms:created xsi:type="dcterms:W3CDTF">2019-11-27T23:28:06Z</dcterms:created>
  <dcterms:modified xsi:type="dcterms:W3CDTF">2024-02-16T04:11:14Z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