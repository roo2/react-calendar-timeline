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2763999C-7742-446B-BBB8-5A735E43ED11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<sst xmlns="http://schemas.openxmlformats.org/spreadsheetml/2006/main" count="302" uniqueCount="198">
  <si>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</si>
  <si>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</si>
  <si>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</si>
  <si>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</si>
  <si>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</si>
  <si>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</si>
  <si>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</si>
  <si>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</si>
  <si>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</si>
  <si>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</si>
  <si>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</si>
  <si>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</si>
  <si>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</si>
  <si>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</si>
  <si>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</si>
  <si>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</si>
  <si>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</si>
  <si>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</si>
  <si>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</si>
  <si>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</si>
  <si>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</si>
  <si>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</si>
  <si>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</si>
  <si>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</si>
  <si>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</si>
  <si>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</si>
  <si>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</si>
  <si>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</si>
  <si>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</si>
  <si>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</si>
  <si>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</si>
  <si>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</si>
  <si>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</si>
  <si>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</si>
  <si>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</si>
  <si>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</si>
  <si>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</si>
  <si>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</si>
  <si>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</si>
  <si>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</si>
  <si>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</si>
  <si>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</si>
  <si>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</si>
  <si>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</si>
  <si>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</si>
  <si>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</si>
  <si>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</si>
  <si>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</si>
  <si>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</si>
  <si>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</si>
  <si>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</si>
  <si>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</si>
  <si>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</si>
  <si>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</si>
  <si>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</si>
  <si>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</si>
  <si>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</si>
  <si>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</si>
  <si>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</si>
  <si>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</si>
  <si>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</si>
  <si>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</si>
  <si>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</si>
  <si>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</si>
  <si>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</si>
  <si>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</si>
  <si>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</si>
  <si>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</si>
  <si>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</si>
  <si>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</si>
  <si>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</si>
  <si>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</si>
  <si>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</si>
  <si>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</si>
  <si>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</si>
  <si>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</si>
  <si>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</si>
  <si>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</si>
  <si>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</si>
  <si>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</si>
  <si>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</si>
  <si>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</si>
  <si>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</si>
  <si>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</si>
  <si>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</si>
  <si>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</si>
  <si>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</si>
  <si>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</si>
  <si>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</si>
  <si>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</si>
  <si>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</si>
  <si>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</si>
  <si>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</si>
  <si>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</si>
  <si>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</si>
  <si>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</si>
  <si>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</si>
  <si>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</si>
  <si>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</si>
  <si>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</si>
  <si>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</si>
  <si>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</si>
  <si>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</si>
  <si>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</si>
  <si>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</si>
  <si>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</si>
  <si>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</si>
  <si>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</si>
  <si>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</si>
  <si>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</si>
  <si>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</si>
  <si>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</si>
  <si>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</si>
  <si>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</si>
  <si>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</si>
  <si>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</si>
  <si>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</si>
  <si>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</si>
  <si>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</si>
  <si>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</si>
  <si>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</si>
  <si>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</si>
  <si>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</si>
  <si>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</si>
  <si>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</si>
  <si>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</si>
  <si>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</si>
  <si>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</si>
  <si>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</si>
  <si>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</si>
  <si>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</si>
  <si>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</si>
  <si>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</si>
  <si>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</si>
  <si>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</si>
  <si>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</si>
  <si>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</si>
  <si>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</si>
  <si>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</si>
  <si>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</si>
  <si>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</si>
  <si>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</si>
  <si>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</si>
  <si>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</si>
  <si>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</si>
  <si>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</si>
  <si>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</si>
  <si>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</si>
  <si>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</si>
  <si>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</si>
  <si>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</si>
  <si>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</si>
  <si>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</si>
  <si>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</si>
  <si>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</si>
  <si>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</si>
  <si>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</si>
  <si>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</si>
  <si>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</si>
  <si>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</si>
  <si>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</si>
  <si>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</si>
  <si>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</si>
  <si>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</si>
  <si>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</si>
  <si>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</si>
  <si>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</si>
  <si>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</si>
  <si>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</si>
  <si>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</si>
  <si>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</si>
  <si>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</si>
  <si>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</si>
  <si>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</si>
  <si>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</si>
  <si>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</si>
  <si>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</si>
  <si>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</si>
  <si>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</si>
  <si>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</si>
  <si>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</si>
  <si>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</si>
  <si>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</si>
  <si>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</si>
  <si>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</si>
  <si>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</si>
  <si>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</si>
  <si>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</si>
  <si>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</si>
  <si>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</si>
  <si>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</si>
  <si>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</si>
  <si>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</si>
  <si>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</si>
  <si>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+/-3mm</t>
  </si>
  <si>
    <t>NOT UNDER</t>
  </si>
  <si>
    <t>AUS FISH CORAL</t>
  </si>
  <si>
    <t>NO CREASING OR SLACK ROLLS. ENSURE BAGS ARE STRONG - MUST HAVE WATER TIGHT SEALS. PLEASE CHECK FREQUENTLY - CUSTOMER WILL REJECT IF SEALS ARE BAD.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</si>
</sst>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PB20038065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44032</v>
      </c>
      <c r="K1" s="136"/>
      <c r="L1" s="137"/>
      <c r="M1" s="34"/>
      <c r="N1" s="12" t="s">
        <v>56</v>
      </c>
      <c r="O1" s="123" t="str">
        <f>B1</f>
        <v>PB20038065</v>
      </c>
      <c r="P1" s="123"/>
      <c r="Q1" s="124"/>
      <c r="R1" s="12" t="s">
        <v>57</v>
      </c>
      <c r="S1" s="123" t="str">
        <f>F1</f>
        <v>AUS FISH CORAL</v>
      </c>
      <c r="T1" s="123"/>
      <c r="U1" s="124"/>
      <c r="V1" s="12" t="s">
        <v>181</v>
      </c>
      <c r="W1" s="136">
        <f ca="1">J1</f>
        <v>44032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937844</v>
      </c>
      <c r="G2" s="73"/>
      <c r="H2" s="74"/>
      <c r="I2" s="12" t="s">
        <v>59</v>
      </c>
      <c r="J2" s="139">
        <v>44063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937844</v>
      </c>
      <c r="T2" s="123"/>
      <c r="U2" s="124"/>
      <c r="V2" s="12" t="s">
        <v>59</v>
      </c>
      <c r="W2" s="138">
        <f>J2</f>
        <v>44063</v>
      </c>
      <c r="X2" s="123"/>
      <c r="Y2" s="124"/>
    </row>
    <row r="3" spans="1:28" ht="20.05" customHeight="1" x14ac:dyDescent="0.3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NO CREASING OR SLACK ROLLS. ENSURE BAGS ARE STRONG - MUST HAVE WATER TIGHT SEALS. PLEASE CHECK FREQUENTLY - CUSTOMER WILL REJECT IF SEALS ARE BAD.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20000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200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65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195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200</v>
      </c>
      <c r="S9" s="20" t="s">
        <v>78</v>
      </c>
      <c r="T9" s="35">
        <v>380</v>
      </c>
      <c r="U9" s="20" t="s">
        <v>78</v>
      </c>
      <c r="V9" s="35">
        <v>65</v>
      </c>
      <c r="W9" s="19"/>
      <c r="X9" s="99"/>
      <c r="Y9" s="100"/>
    </row>
    <row r="10" spans="1:28" ht="20.05" customHeight="1" x14ac:dyDescent="0.3">
      <c r="A10" s="12" t="s">
        <v>51</v>
      </c>
      <c r="B10" s="73">
        <v>20</v>
      </c>
      <c r="C10" s="74"/>
      <c r="D10" s="54" t="s">
        <v>134</v>
      </c>
      <c r="E10" s="145">
        <f>IF(ISNUMBER(SEARCH("sheet",O8,1)),((R9*T9*H8/540000)*U7/2000*1.3),((R9*T9*H8/540000)*U7/1000*1.08))</f>
        <v>197.60000000000005</v>
      </c>
      <c r="F10" s="146"/>
      <c r="G10" s="12" t="s">
        <v>53</v>
      </c>
      <c r="H10" s="149">
        <f>IF(ISNUMBER(SEARCH("sheet",O8,1)),(U7*T9/2000*1.08),(U7*T9/1000*1.08))</f>
        <v>8208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9.8800000000000026</v>
      </c>
      <c r="F11" s="148"/>
      <c r="G11" s="12" t="s">
        <v>15</v>
      </c>
      <c r="H11" s="147">
        <f>H10/B10</f>
        <v>410.4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44063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44053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E2E034A-096B-4ECE-8E3C-AA2927E2483E}"/>
</file>

<file path=customXml/itemProps2.xml><?xml version="1.0" encoding="utf-8"?>
<ds:datastoreItem xmlns:ds="http://schemas.openxmlformats.org/officeDocument/2006/customXml" ds:itemID="{C9FC292A-4FA6-4DB2-B3AE-A1ED9C04CFC6}"/>
</file>

<file path=customXml/itemProps3.xml><?xml version="1.0" encoding="utf-8"?>
<ds:datastoreItem xmlns:ds="http://schemas.openxmlformats.org/officeDocument/2006/customXml" ds:itemID="{4C44948C-F9F2-4A9B-A6F9-E16240938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2020-04-14T04:21:58Z</cp:lastPrinted>
  <dcterms:created xsi:type="dcterms:W3CDTF">2019-11-27T23:28:06Z</dcterms:created>
  <dcterms:modified xsi:type="dcterms:W3CDTF">2020-07-20T05:23:36Z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