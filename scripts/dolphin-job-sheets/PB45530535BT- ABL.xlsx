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FF06F89-28EA-4E72-B638-60E640CD3BCE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<sst xmlns="http://schemas.openxmlformats.org/spreadsheetml/2006/main" count="300" uniqueCount="197">
  <si>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</si>
  <si>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</si>
  <si>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</si>
  <si>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</si>
  <si>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</si>
  <si>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</si>
  <si>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</si>
  <si>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</si>
  <si>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</si>
  <si>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</si>
  <si>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</si>
  <si>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</si>
  <si>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</si>
  <si>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</si>
  <si>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</si>
  <si>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</si>
  <si>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</si>
  <si>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</si>
  <si>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</si>
  <si>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</si>
  <si>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</si>
  <si>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</si>
  <si>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</si>
  <si>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</si>
  <si>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</si>
  <si>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</si>
  <si>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</si>
  <si>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</si>
  <si>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</si>
  <si>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</si>
  <si>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</si>
  <si>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</si>
  <si>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</si>
  <si>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</si>
  <si>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</si>
  <si>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</si>
  <si>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</si>
  <si>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</si>
  <si>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</si>
  <si>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</si>
  <si>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</si>
  <si>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</si>
  <si>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</si>
  <si>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</si>
  <si>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</si>
  <si>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</si>
  <si>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</si>
  <si>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</si>
  <si>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</si>
  <si>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</si>
  <si>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</si>
  <si>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</si>
  <si>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</si>
  <si>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</si>
  <si>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</si>
  <si>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</si>
  <si>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</si>
  <si>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</si>
  <si>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</si>
  <si>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</si>
  <si>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</si>
  <si>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</si>
  <si>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</si>
  <si>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</si>
  <si>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</si>
  <si>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</si>
  <si>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</si>
  <si>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</si>
  <si>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</si>
  <si>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</si>
  <si>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</si>
  <si>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</si>
  <si>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</si>
  <si>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</si>
  <si>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</si>
  <si>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</si>
  <si>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</si>
  <si>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</si>
  <si>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</si>
  <si>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</si>
  <si>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</si>
  <si>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</si>
  <si>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</si>
  <si>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</si>
  <si>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</si>
  <si>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</si>
  <si>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</si>
  <si>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</si>
  <si>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</si>
  <si>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</si>
  <si>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</si>
  <si>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</si>
  <si>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</si>
  <si>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</si>
  <si>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</si>
  <si>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</si>
  <si>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</si>
  <si>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</si>
  <si>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</si>
  <si>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</si>
  <si>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</si>
  <si>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</si>
  <si>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</si>
  <si>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</si>
  <si>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</si>
  <si>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</si>
  <si>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</si>
  <si>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</si>
  <si>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</si>
  <si>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</si>
  <si>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</si>
  <si>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</si>
  <si>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</si>
  <si>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</si>
  <si>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</si>
  <si>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</si>
  <si>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</si>
  <si>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</si>
  <si>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</si>
  <si>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</si>
  <si>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</si>
  <si>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</si>
  <si>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</si>
  <si>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</si>
  <si>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</si>
  <si>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</si>
  <si>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</si>
  <si>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</si>
  <si>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</si>
  <si>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</si>
  <si>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</si>
  <si>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</si>
  <si>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</si>
  <si>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</si>
  <si>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</si>
  <si>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</si>
  <si>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</si>
  <si>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</si>
  <si>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</si>
  <si>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</si>
  <si>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</si>
  <si>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</si>
  <si>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</si>
  <si>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</si>
  <si>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</si>
  <si>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</si>
  <si>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</si>
  <si>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</si>
  <si>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</si>
  <si>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</si>
  <si>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</si>
  <si>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</si>
  <si>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</si>
  <si>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</si>
  <si>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</si>
  <si>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</si>
  <si>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</si>
  <si>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</si>
  <si>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</si>
  <si>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</si>
  <si>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</si>
  <si>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</si>
  <si>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</si>
  <si>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</si>
  <si>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</si>
  <si>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</si>
  <si>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</si>
  <si>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</si>
  <si>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</si>
  <si>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</si>
  <si>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</si>
  <si>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</si>
  <si>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</si>
  <si>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</si>
  <si>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</si>
  <si>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</si>
  <si>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</si>
  <si>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</si>
  <si>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</si>
  <si>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</si>
  <si>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</si>
  <si>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</si>
  <si>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</si>
  <si>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</si>
  <si>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</si>
  <si>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</si>
  <si>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</si>
  <si>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</si>
  <si>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</si>
  <si>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</si>
  <si>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</si>
  <si>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</si>
  <si>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</si>
  <si>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</si>
  <si>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LIMAX</t>
  </si>
  <si>
    <t>ABL DISTRIBUTION</t>
  </si>
  <si>
    <t>NOT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</si>
</sst>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PB45530535BT</v>
      </c>
      <c r="C1" s="111"/>
      <c r="D1" s="112"/>
      <c r="E1" s="11" t="s">
        <v>57</v>
      </c>
      <c r="F1" s="87" t="s">
        <v>195</v>
      </c>
      <c r="G1" s="87"/>
      <c r="H1" s="88"/>
      <c r="I1" s="12" t="s">
        <v>180</v>
      </c>
      <c r="J1" s="84">
        <f ca="1">TODAY()</f>
        <v>45174</v>
      </c>
      <c r="K1" s="84"/>
      <c r="L1" s="85"/>
      <c r="M1" s="29"/>
      <c r="N1" s="11" t="s">
        <v>56</v>
      </c>
      <c r="O1" s="111" t="str">
        <f>B1</f>
        <v>PB45530535BT</v>
      </c>
      <c r="P1" s="111"/>
      <c r="Q1" s="112"/>
      <c r="R1" s="11" t="s">
        <v>57</v>
      </c>
      <c r="S1" s="111" t="str">
        <f>F1</f>
        <v>ABL DISTRIBUTION</v>
      </c>
      <c r="T1" s="111"/>
      <c r="U1" s="112"/>
      <c r="V1" s="11" t="s">
        <v>180</v>
      </c>
      <c r="W1" s="84">
        <f ca="1">J1</f>
        <v>45174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946246</v>
      </c>
      <c r="G2" s="87"/>
      <c r="H2" s="88"/>
      <c r="I2" s="11" t="s">
        <v>59</v>
      </c>
      <c r="J2" s="86">
        <v>45162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946246</v>
      </c>
      <c r="T2" s="111"/>
      <c r="U2" s="112"/>
      <c r="V2" s="11" t="s">
        <v>59</v>
      </c>
      <c r="W2" s="122">
        <f>J2</f>
        <v>45162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158</v>
      </c>
      <c r="C7" s="108"/>
      <c r="D7" s="108"/>
      <c r="E7" s="108"/>
      <c r="F7" s="108"/>
      <c r="G7" s="108"/>
      <c r="H7" s="108"/>
      <c r="I7" s="109"/>
      <c r="J7" s="75" t="s">
        <v>178</v>
      </c>
      <c r="K7" s="75"/>
      <c r="L7" s="73"/>
      <c r="M7" s="29"/>
      <c r="N7" s="11" t="str">
        <f>IF(ISNUMBER(SEARCH("roll",O8,1)),"No. Rolls","No. Cartons")</f>
        <v>No. Cartons</v>
      </c>
      <c r="O7" s="87">
        <v>12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12000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455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35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163</v>
      </c>
      <c r="P8" s="126"/>
      <c r="Q8" s="14" t="s">
        <v>188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193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196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455</v>
      </c>
      <c r="S9" s="18" t="s">
        <v>78</v>
      </c>
      <c r="T9" s="30">
        <v>305</v>
      </c>
      <c r="U9" s="18" t="s">
        <v>78</v>
      </c>
      <c r="V9" s="30">
        <v>35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4</v>
      </c>
      <c r="C10" s="88"/>
      <c r="D10" s="47" t="s">
        <v>134</v>
      </c>
      <c r="E10" s="101">
        <f>IF(ISNUMBER(SEARCH("sheet",O8,1)),((R9*T9*H8/540000)*U7/2000*1.3),((R9*T9*H8/540000)*U7/1000*1.08))</f>
        <v>116.571</v>
      </c>
      <c r="F10" s="102"/>
      <c r="G10" s="11" t="s">
        <v>53</v>
      </c>
      <c r="H10" s="105">
        <f>IF(ISNUMBER(SEARCH("sheet",O8,1)),(U7*T9/2000*1.08),(U7*T9/1000*1.08))</f>
        <v>3952.8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29.142749999999999</v>
      </c>
      <c r="F11" s="104"/>
      <c r="G11" s="11" t="s">
        <v>15</v>
      </c>
      <c r="H11" s="103">
        <f>H10/B10</f>
        <v>988.2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12</v>
      </c>
      <c r="R13" s="11" t="s">
        <v>74</v>
      </c>
      <c r="S13" s="31" t="s">
        <v>23</v>
      </c>
      <c r="T13" s="11" t="s">
        <v>177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150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23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146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145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144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143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/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>BLUE TINT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175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194</v>
      </c>
      <c r="P25" s="34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49999999999999" customHeight="1" x14ac:dyDescent="0.75">
      <c r="A26" s="23"/>
      <c r="B26" s="22" t="s">
        <v>179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181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189</v>
      </c>
      <c r="X27" s="24" t="s">
        <v>190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181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189</v>
      </c>
      <c r="X44" s="24" t="s">
        <v>190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45204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45195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149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192</v>
      </c>
      <c r="T19" s="1"/>
      <c r="V19" s="1"/>
    </row>
    <row r="20" spans="1:23" x14ac:dyDescent="0.75">
      <c r="A20" s="55" t="s">
        <v>155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165</v>
      </c>
      <c r="T20" s="1"/>
      <c r="V20" s="1"/>
    </row>
    <row r="21" spans="1:23" x14ac:dyDescent="0.75">
      <c r="A21" s="55" t="s">
        <v>156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166</v>
      </c>
      <c r="T21" s="1"/>
      <c r="V21" s="1"/>
      <c r="W21" s="2"/>
    </row>
    <row r="22" spans="1:23" x14ac:dyDescent="0.75">
      <c r="A22" s="55" t="s">
        <v>157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158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159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160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167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168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169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170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171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182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184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172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176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154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147</v>
      </c>
    </row>
    <row r="60" spans="1:20" x14ac:dyDescent="0.75">
      <c r="A60" s="55" t="s">
        <v>148</v>
      </c>
      <c r="O60" s="1"/>
      <c r="Q60" s="1"/>
      <c r="R60" s="3"/>
      <c r="S60" s="1"/>
    </row>
    <row r="61" spans="1:20" x14ac:dyDescent="0.75">
      <c r="A61" s="55" t="s">
        <v>149</v>
      </c>
      <c r="O61" s="1"/>
      <c r="Q61" s="1"/>
      <c r="R61" s="1"/>
      <c r="S61" s="1"/>
    </row>
    <row r="62" spans="1:20" x14ac:dyDescent="0.75">
      <c r="A62" s="55" t="s">
        <v>150</v>
      </c>
      <c r="O62" s="1"/>
      <c r="Q62" s="1"/>
      <c r="R62" s="1"/>
      <c r="S62" s="1"/>
    </row>
    <row r="63" spans="1:20" x14ac:dyDescent="0.75">
      <c r="A63" s="55" t="s">
        <v>151</v>
      </c>
      <c r="O63" s="1"/>
      <c r="Q63" s="1"/>
      <c r="R63" s="1"/>
      <c r="S63" s="1"/>
      <c r="T63" s="1"/>
    </row>
    <row r="64" spans="1:20" x14ac:dyDescent="0.75">
      <c r="A64" s="55" t="s">
        <v>152</v>
      </c>
      <c r="O64" s="1"/>
      <c r="Q64" s="1"/>
      <c r="R64" s="1"/>
      <c r="S64" s="1"/>
      <c r="T64" s="1"/>
    </row>
    <row r="65" spans="1:20" x14ac:dyDescent="0.75">
      <c r="A65" s="55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309D983-35CB-40C5-BB2E-EA97E8EF7CA4}"/>
</file>

<file path=customXml/itemProps2.xml><?xml version="1.0" encoding="utf-8"?>
<ds:datastoreItem xmlns:ds="http://schemas.openxmlformats.org/officeDocument/2006/customXml" ds:itemID="{204910AC-BCF7-4186-942E-B7F50EA3CF64}"/>
</file>

<file path=customXml/itemProps3.xml><?xml version="1.0" encoding="utf-8"?>
<ds:datastoreItem xmlns:ds="http://schemas.openxmlformats.org/officeDocument/2006/customXml" ds:itemID="{9110ADAE-E595-4C44-8776-354E16E007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2023-09-04T01:26:55Z</cp:lastPrinted>
  <dcterms:created xsi:type="dcterms:W3CDTF">2019-11-27T23:28:06Z</dcterms:created>
  <dcterms:modified xsi:type="dcterms:W3CDTF">2023-09-05T00:54:06Z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