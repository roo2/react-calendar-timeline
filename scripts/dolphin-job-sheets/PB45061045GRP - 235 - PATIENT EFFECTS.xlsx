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FE869A2-66FA-4F1B-8F99-D3B48C5C2CD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<sst xmlns="http://schemas.openxmlformats.org/spreadsheetml/2006/main" count="314" uniqueCount="205">
  <si>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</si>
  <si>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</si>
  <si>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</si>
  <si>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</si>
  <si>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</si>
  <si>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</si>
  <si>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</si>
  <si>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</si>
  <si>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</si>
  <si>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</si>
  <si>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</si>
  <si>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</si>
  <si>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</si>
  <si>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</si>
  <si>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</si>
  <si>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</si>
  <si>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</si>
  <si>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</si>
  <si>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</si>
  <si>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</si>
  <si>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</si>
  <si>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</si>
  <si>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</si>
  <si>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</si>
  <si>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</si>
  <si>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</si>
  <si>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</si>
  <si>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</si>
  <si>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</si>
  <si>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</si>
  <si>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</si>
  <si>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</si>
  <si>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</si>
  <si>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</si>
  <si>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</si>
  <si>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</si>
  <si>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</si>
  <si>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</si>
  <si>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</si>
  <si>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</si>
  <si>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</si>
  <si>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</si>
  <si>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</si>
  <si>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</si>
  <si>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</si>
  <si>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</si>
  <si>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</si>
  <si>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</si>
  <si>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</si>
  <si>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</si>
  <si>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</si>
  <si>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</si>
  <si>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</si>
  <si>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</si>
  <si>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</si>
  <si>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</si>
  <si>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</si>
  <si>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</si>
  <si>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</si>
  <si>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</si>
  <si>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</si>
  <si>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</si>
  <si>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</si>
  <si>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</si>
  <si>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</si>
  <si>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</si>
  <si>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</si>
  <si>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</si>
  <si>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</si>
  <si>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</si>
  <si>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</si>
  <si>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</si>
  <si>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</si>
  <si>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</si>
  <si>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</si>
  <si>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</si>
  <si>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</si>
  <si>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</si>
  <si>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</si>
  <si>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</si>
  <si>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</si>
  <si>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</si>
  <si>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</si>
  <si>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</si>
  <si>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</si>
  <si>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</si>
  <si>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</si>
  <si>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</si>
  <si>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</si>
  <si>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</si>
  <si>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</si>
  <si>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</si>
  <si>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</si>
  <si>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</si>
  <si>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</si>
  <si>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</si>
  <si>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</si>
  <si>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</si>
  <si>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</si>
  <si>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</si>
  <si>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</si>
  <si>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</si>
  <si>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</si>
  <si>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</si>
  <si>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</si>
  <si>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</si>
  <si>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</si>
  <si>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</si>
  <si>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</si>
  <si>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</si>
  <si>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</si>
  <si>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</si>
  <si>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</si>
  <si>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</si>
  <si>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</si>
  <si>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</si>
  <si>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</si>
  <si>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</si>
  <si>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</si>
  <si>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</si>
  <si>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</si>
  <si>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</si>
  <si>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</si>
  <si>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</si>
  <si>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</si>
  <si>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</si>
  <si>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</si>
  <si>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</si>
  <si>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</si>
  <si>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</si>
  <si>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</si>
  <si>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</si>
  <si>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</si>
  <si>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</si>
  <si>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</si>
  <si>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</si>
  <si>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</si>
  <si>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</si>
  <si>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</si>
  <si>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</si>
  <si>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</si>
  <si>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</si>
  <si>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</si>
  <si>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</si>
  <si>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</si>
  <si>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</si>
  <si>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</si>
  <si>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</si>
  <si>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</si>
  <si>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</si>
  <si>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</si>
  <si>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</si>
  <si>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</si>
  <si>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</si>
  <si>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</si>
  <si>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</si>
  <si>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</si>
  <si>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</si>
  <si>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</si>
  <si>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</si>
  <si>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</si>
  <si>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</si>
  <si>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</si>
  <si>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</si>
  <si>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</si>
  <si>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</si>
  <si>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</si>
  <si>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</si>
  <si>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</si>
  <si>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</si>
  <si>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</si>
  <si>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</si>
  <si>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</si>
  <si>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</si>
  <si>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</si>
  <si>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</si>
  <si>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</si>
  <si>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</si>
  <si>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</si>
  <si>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</si>
  <si>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</si>
  <si>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</si>
  <si>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</si>
  <si>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</si>
  <si>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</si>
  <si>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</si>
  <si>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</si>
  <si>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</si>
  <si>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</si>
  <si>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</si>
  <si>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</si>
  <si>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</si>
  <si>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</si>
  <si>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</si>
  <si>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"PATIENT EFFECTS"</t>
  </si>
  <si>
    <t>235 PATIENT EFFECTS</t>
  </si>
  <si>
    <t xml:space="preserve"> +/- 10mm</t>
  </si>
  <si>
    <t xml:space="preserve"> +/- 5um</t>
  </si>
  <si>
    <t>DIE CUT HANDLE</t>
  </si>
  <si>
    <t>QLD HEATH</t>
  </si>
  <si>
    <t>%</t>
  </si>
  <si>
    <t>PERF</t>
  </si>
  <si>
    <t>#45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</si>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</sst>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9" t="str">
        <f>O9&amp;R9&amp;IF(X8="G","G","")&amp;IF(O8="Centrefold Roll","("&amp;E8&amp;")","")&amp;T9&amp;V9&amp;C22&amp;C23&amp;C24&amp;O11&amp;R11</f>
        <v>PB45061045GRWHYP</v>
      </c>
      <c r="C1" s="109"/>
      <c r="D1" s="110"/>
      <c r="E1" s="9" t="s">
        <v>57</v>
      </c>
      <c r="F1" s="61" t="s">
        <v>199</v>
      </c>
      <c r="G1" s="61"/>
      <c r="H1" s="62"/>
      <c r="I1" s="10" t="s">
        <v>181</v>
      </c>
      <c r="J1" s="120">
        <f ca="1">TODAY()</f>
        <v>45786</v>
      </c>
      <c r="K1" s="120"/>
      <c r="L1" s="121"/>
      <c r="M1" s="27"/>
      <c r="N1" s="9" t="s">
        <v>56</v>
      </c>
      <c r="O1" s="109" t="str">
        <f>B1</f>
        <v>PB45061045GRWHYP</v>
      </c>
      <c r="P1" s="109"/>
      <c r="Q1" s="110"/>
      <c r="R1" s="9" t="s">
        <v>57</v>
      </c>
      <c r="S1" s="109" t="str">
        <f>F1</f>
        <v>QLD HEATH</v>
      </c>
      <c r="T1" s="109"/>
      <c r="U1" s="110"/>
      <c r="V1" s="9" t="s">
        <v>181</v>
      </c>
      <c r="W1" s="120">
        <f ca="1">J1</f>
        <v>45786</v>
      </c>
      <c r="X1" s="120"/>
      <c r="Y1" s="121"/>
    </row>
    <row r="2" spans="1:25" ht="20.149999999999999" customHeight="1" x14ac:dyDescent="0.8">
      <c r="A2" s="9" t="s">
        <v>100</v>
      </c>
      <c r="B2" s="109" t="str">
        <f>IF(U10="","",U10)</f>
        <v>235 PATIENT EFFECTS</v>
      </c>
      <c r="C2" s="109"/>
      <c r="D2" s="110"/>
      <c r="E2" s="9" t="s">
        <v>58</v>
      </c>
      <c r="F2" s="61">
        <v>58287</v>
      </c>
      <c r="G2" s="61"/>
      <c r="H2" s="62"/>
      <c r="I2" s="9" t="s">
        <v>59</v>
      </c>
      <c r="J2" s="123">
        <v>45807</v>
      </c>
      <c r="K2" s="61"/>
      <c r="L2" s="62"/>
      <c r="M2" s="27"/>
      <c r="N2" s="9" t="s">
        <v>100</v>
      </c>
      <c r="O2" s="109" t="str">
        <f>IF(B2="","",B2)</f>
        <v>235 PATIENT EFFECTS</v>
      </c>
      <c r="P2" s="109"/>
      <c r="Q2" s="110"/>
      <c r="R2" s="9" t="s">
        <v>58</v>
      </c>
      <c r="S2" s="109">
        <f>IF(F2="","",F2)</f>
        <v>58287</v>
      </c>
      <c r="T2" s="109"/>
      <c r="U2" s="110"/>
      <c r="V2" s="9" t="s">
        <v>59</v>
      </c>
      <c r="W2" s="122">
        <f>J2</f>
        <v>45807</v>
      </c>
      <c r="X2" s="109"/>
      <c r="Y2" s="110"/>
    </row>
    <row r="3" spans="1:25" ht="20.149999999999999" customHeight="1" x14ac:dyDescent="0.75">
      <c r="A3" s="111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 t="str">
        <f>A3</f>
        <v>DIE CUT HANDLE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101" t="s">
        <v>152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40</v>
      </c>
      <c r="P7" s="62"/>
      <c r="Q7" s="9" t="str">
        <f>IF(ISNUMBER(SEARCH("roll",O8,1)),"Per Roll","Per Carton")</f>
        <v>Per Carton</v>
      </c>
      <c r="R7" s="61">
        <v>250</v>
      </c>
      <c r="S7" s="62"/>
      <c r="T7" s="9" t="str">
        <f>IF(ISNUMBER(SEARCH("bag",O8,1)),"Total Bags","Total Sheets")</f>
        <v>Total Bags</v>
      </c>
      <c r="U7" s="109">
        <f>R7*O7</f>
        <v>10000</v>
      </c>
      <c r="V7" s="110"/>
      <c r="W7" s="9" t="s">
        <v>102</v>
      </c>
      <c r="X7" s="61" t="s">
        <v>31</v>
      </c>
      <c r="Y7" s="62"/>
    </row>
    <row r="8" spans="1:25" ht="20.149999999999999" customHeight="1" x14ac:dyDescent="0.8">
      <c r="A8" s="11" t="s">
        <v>16</v>
      </c>
      <c r="B8" s="97">
        <f>R9</f>
        <v>450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45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4" t="s">
        <v>48</v>
      </c>
      <c r="B9" s="126" t="s">
        <v>196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197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450</v>
      </c>
      <c r="S9" s="16" t="s">
        <v>78</v>
      </c>
      <c r="T9" s="28">
        <v>610</v>
      </c>
      <c r="U9" s="16" t="s">
        <v>78</v>
      </c>
      <c r="V9" s="28">
        <v>45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8</v>
      </c>
      <c r="C10" s="62"/>
      <c r="D10" s="45" t="s">
        <v>134</v>
      </c>
      <c r="E10" s="128">
        <f>IF(ISNUMBER(SEARCH("sheet",O8,1)),((R9*T9*H8/540000)*U7/2000*1.3),((R9*T9*H8/540000)*U7/1000*1.08))</f>
        <v>247.05</v>
      </c>
      <c r="F10" s="129"/>
      <c r="G10" s="9" t="s">
        <v>53</v>
      </c>
      <c r="H10" s="132">
        <f>IF(ISNUMBER(SEARCH("sheet",O8,1)),(U7*T9/2000*1.08),(U7*T9/1000*1.08))</f>
        <v>6588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Yes</v>
      </c>
      <c r="S10" s="95"/>
      <c r="T10" s="12" t="s">
        <v>100</v>
      </c>
      <c r="U10" s="105" t="s">
        <v>195</v>
      </c>
      <c r="V10" s="105"/>
      <c r="W10" s="105"/>
      <c r="X10" s="105"/>
      <c r="Y10" s="106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30.881250000000001</v>
      </c>
      <c r="F11" s="131"/>
      <c r="G11" s="9" t="s">
        <v>15</v>
      </c>
      <c r="H11" s="130">
        <f>H10/B10</f>
        <v>823.5</v>
      </c>
      <c r="I11" s="131"/>
      <c r="J11" s="9" t="s">
        <v>50</v>
      </c>
      <c r="K11" s="61" t="s">
        <v>65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>P</v>
      </c>
      <c r="S11" s="98"/>
      <c r="T11" s="11"/>
      <c r="U11" s="107"/>
      <c r="V11" s="107"/>
      <c r="W11" s="107"/>
      <c r="X11" s="107"/>
      <c r="Y11" s="108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70</v>
      </c>
      <c r="C13" s="61"/>
      <c r="D13" s="62"/>
      <c r="E13" s="17" t="s">
        <v>61</v>
      </c>
      <c r="F13" s="61" t="s">
        <v>66</v>
      </c>
      <c r="G13" s="61"/>
      <c r="H13" s="62"/>
      <c r="I13" s="9" t="s">
        <v>62</v>
      </c>
      <c r="J13" s="61" t="s">
        <v>177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40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9</v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1" t="s">
        <v>194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168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3" t="s">
        <v>147</v>
      </c>
      <c r="D17" s="94"/>
      <c r="E17" s="90"/>
      <c r="F17" s="64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3" t="s">
        <v>146</v>
      </c>
      <c r="D18" s="94"/>
      <c r="E18" s="90"/>
      <c r="F18" s="64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3" t="s">
        <v>145</v>
      </c>
      <c r="D19" s="94"/>
      <c r="E19" s="90"/>
      <c r="F19" s="64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3" t="s">
        <v>144</v>
      </c>
      <c r="D20" s="94"/>
      <c r="E20" s="90"/>
      <c r="F20" s="64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3" t="s">
        <v>143</v>
      </c>
      <c r="D21" s="94"/>
      <c r="E21" s="90"/>
      <c r="F21" s="64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>GREEN</v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GR</v>
      </c>
      <c r="D22" s="94"/>
      <c r="E22" s="89" t="s">
        <v>200</v>
      </c>
      <c r="F22" s="64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39" t="s">
        <v>155</v>
      </c>
      <c r="B23" s="13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94"/>
      <c r="E23" s="89" t="s">
        <v>200</v>
      </c>
      <c r="F23" s="64"/>
      <c r="G23" s="46" t="s">
        <v>87</v>
      </c>
      <c r="H23" s="30"/>
      <c r="I23" s="58" t="s">
        <v>204</v>
      </c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0" t="s">
        <v>148</v>
      </c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Y</v>
      </c>
      <c r="D24" s="94"/>
      <c r="E24" s="89" t="s">
        <v>200</v>
      </c>
      <c r="F24" s="64"/>
      <c r="G24" s="46" t="s">
        <v>88</v>
      </c>
      <c r="H24" s="30"/>
      <c r="I24" s="58" t="s">
        <v>203</v>
      </c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201</v>
      </c>
      <c r="P25" s="32"/>
      <c r="Q25" s="8">
        <v>30</v>
      </c>
      <c r="R25" s="8">
        <v>6.5</v>
      </c>
      <c r="S25" s="8"/>
      <c r="T25" s="8">
        <v>10</v>
      </c>
      <c r="U25" s="8"/>
      <c r="V25" s="8"/>
      <c r="W25" s="8">
        <v>145</v>
      </c>
      <c r="X25" s="8">
        <v>145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202</v>
      </c>
      <c r="C27" s="7"/>
      <c r="D27" s="8">
        <v>17.8</v>
      </c>
      <c r="E27" s="57">
        <v>7.4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/>
      <c r="C28" s="7"/>
      <c r="D28" s="8">
        <v>18.399999999999999</v>
      </c>
      <c r="E28" s="57">
        <v>7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45817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45807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B90232C-3134-4C4E-AEDA-13734D6A7AF2}"/>
</file>

<file path=customXml/itemProps2.xml><?xml version="1.0" encoding="utf-8"?>
<ds:datastoreItem xmlns:ds="http://schemas.openxmlformats.org/officeDocument/2006/customXml" ds:itemID="{8005A77B-AFCC-409E-B38A-A931ECC1B3D2}"/>
</file>

<file path=customXml/itemProps3.xml><?xml version="1.0" encoding="utf-8"?>
<ds:datastoreItem xmlns:ds="http://schemas.openxmlformats.org/officeDocument/2006/customXml" ds:itemID="{91359DC7-C89E-48DF-8906-10D6A0B68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2025-05-09T00:31:12Z</cp:lastPrinted>
  <dcterms:created xsi:type="dcterms:W3CDTF">2019-11-27T23:28:06Z</dcterms:created>
  <dcterms:modified xsi:type="dcterms:W3CDTF">2025-05-14T00:48:22Z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