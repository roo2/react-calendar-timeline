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AAE0FF6-A0F0-4831-9532-E382515D19C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<sst xmlns="http://schemas.openxmlformats.org/spreadsheetml/2006/main" count="303" uniqueCount="201">
  <si>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</si>
  <si>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</si>
  <si>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</si>
  <si>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</si>
  <si>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</si>
  <si>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</si>
  <si>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</si>
  <si>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</si>
  <si>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</si>
  <si>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</si>
  <si>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</si>
  <si>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</si>
  <si>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</si>
  <si>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</si>
  <si>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</si>
  <si>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</si>
  <si>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</si>
  <si>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</si>
  <si>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</si>
  <si>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</si>
  <si>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</si>
  <si>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</si>
  <si>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</si>
  <si>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</si>
  <si>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</si>
  <si>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</si>
  <si>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</si>
  <si>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</si>
  <si>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</si>
  <si>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</si>
  <si>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</si>
  <si>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</si>
  <si>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</si>
  <si>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</si>
  <si>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</si>
  <si>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</si>
  <si>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</si>
  <si>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</si>
  <si>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</si>
  <si>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</si>
  <si>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</si>
  <si>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</si>
  <si>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</si>
  <si>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</si>
  <si>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</si>
  <si>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</si>
  <si>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</si>
  <si>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</si>
  <si>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</si>
  <si>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</si>
  <si>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</si>
  <si>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</si>
  <si>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</si>
  <si>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</si>
  <si>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</si>
  <si>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</si>
  <si>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</si>
  <si>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</si>
  <si>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</si>
  <si>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</si>
  <si>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</si>
  <si>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</si>
  <si>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</si>
  <si>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</si>
  <si>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</si>
  <si>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</si>
  <si>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</si>
  <si>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</si>
  <si>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</si>
  <si>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</si>
  <si>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</si>
  <si>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</si>
  <si>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</si>
  <si>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</si>
  <si>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</si>
  <si>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</si>
  <si>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</si>
  <si>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</si>
  <si>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</si>
  <si>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</si>
  <si>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</si>
  <si>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</si>
  <si>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</si>
  <si>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</si>
  <si>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</si>
  <si>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</si>
  <si>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</si>
  <si>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</si>
  <si>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</si>
  <si>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</si>
  <si>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</si>
  <si>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</si>
  <si>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</si>
  <si>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</si>
  <si>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</si>
  <si>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</si>
  <si>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</si>
  <si>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</si>
  <si>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</si>
  <si>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</si>
  <si>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</si>
  <si>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</si>
  <si>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</si>
  <si>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</si>
  <si>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</si>
  <si>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</si>
  <si>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</si>
  <si>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</si>
  <si>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</si>
  <si>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</si>
  <si>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</si>
  <si>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</si>
  <si>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</si>
  <si>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</si>
  <si>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</si>
  <si>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</si>
  <si>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</si>
  <si>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</si>
  <si>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</si>
  <si>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</si>
  <si>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</si>
  <si>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</si>
  <si>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</si>
  <si>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</si>
  <si>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</si>
  <si>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</si>
  <si>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</si>
  <si>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</si>
  <si>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</si>
  <si>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</si>
  <si>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</si>
  <si>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</si>
  <si>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</si>
  <si>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</si>
  <si>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</si>
  <si>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</si>
  <si>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</si>
  <si>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</si>
  <si>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</si>
  <si>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</si>
  <si>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</si>
  <si>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</si>
  <si>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</si>
  <si>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</si>
  <si>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</si>
  <si>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</si>
  <si>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</si>
  <si>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</si>
  <si>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</si>
  <si>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</si>
  <si>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</si>
  <si>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</si>
  <si>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</si>
  <si>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</si>
  <si>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</si>
  <si>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</si>
  <si>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</si>
  <si>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</si>
  <si>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</si>
  <si>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</si>
  <si>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</si>
  <si>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</si>
  <si>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</si>
  <si>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</si>
  <si>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</si>
  <si>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</si>
  <si>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</si>
  <si>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</si>
  <si>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</si>
  <si>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</si>
  <si>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</si>
  <si>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</si>
  <si>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</si>
  <si>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</si>
  <si>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</si>
  <si>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</si>
  <si>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</si>
  <si>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</si>
  <si>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</si>
  <si>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</si>
  <si>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</si>
  <si>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</si>
  <si>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</si>
  <si>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</si>
  <si>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</si>
  <si>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</si>
  <si>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</si>
  <si>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</si>
  <si>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</si>
  <si>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</si>
  <si>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</si>
  <si>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</si>
  <si>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</si>
  <si>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</si>
  <si>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</si>
  <si>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MUST HAVE NEAT GUSSET AND WATER TIGHT SEAL - NO LEAKS</t>
  </si>
  <si>
    <t>DENCO TRADING</t>
  </si>
  <si>
    <t>NOT OVER</t>
  </si>
  <si>
    <t>(280+260)</t>
  </si>
  <si>
    <t>ANTISTATIC</t>
  </si>
  <si>
    <t>ANTISLIP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</si>
</sst>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113" t="str">
        <f>O9&amp;R9&amp;IF(X8="G","G","")&amp;IF(O8="Centrefold Roll","("&amp;E8&amp;")","")&amp;T9&amp;V9&amp;C22&amp;C23&amp;C24&amp;O11&amp;R11</f>
        <v>PBR540G920100AS0</v>
      </c>
      <c r="C1" s="113"/>
      <c r="D1" s="114"/>
      <c r="E1" s="16" t="s">
        <v>56</v>
      </c>
      <c r="F1" s="94" t="s">
        <v>196</v>
      </c>
      <c r="G1" s="94"/>
      <c r="H1" s="95"/>
      <c r="I1" s="16" t="s">
        <v>180</v>
      </c>
      <c r="J1" s="130">
        <f ca="1">TODAY()</f>
        <v>46085</v>
      </c>
      <c r="K1" s="130"/>
      <c r="L1" s="131"/>
      <c r="M1" s="30"/>
      <c r="N1" s="16" t="s">
        <v>55</v>
      </c>
      <c r="O1" s="113" t="str">
        <f>B1</f>
        <v>PBR540G920100AS0</v>
      </c>
      <c r="P1" s="113"/>
      <c r="Q1" s="114"/>
      <c r="R1" s="16" t="s">
        <v>56</v>
      </c>
      <c r="S1" s="113" t="str">
        <f>F1</f>
        <v>DENCO TRADING</v>
      </c>
      <c r="T1" s="113"/>
      <c r="U1" s="114"/>
      <c r="V1" s="16" t="s">
        <v>180</v>
      </c>
      <c r="W1" s="130">
        <f ca="1">J1</f>
        <v>46085</v>
      </c>
      <c r="X1" s="130"/>
      <c r="Y1" s="131"/>
    </row>
    <row r="2" spans="1:25" ht="20.100000000000001" customHeight="1" x14ac:dyDescent="0.25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>
        <v>950846</v>
      </c>
      <c r="G2" s="94"/>
      <c r="H2" s="95"/>
      <c r="I2" s="16" t="s">
        <v>58</v>
      </c>
      <c r="J2" s="93">
        <v>46106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950846</v>
      </c>
      <c r="T2" s="113"/>
      <c r="U2" s="114"/>
      <c r="V2" s="16" t="s">
        <v>58</v>
      </c>
      <c r="W2" s="132">
        <f>J2</f>
        <v>46106</v>
      </c>
      <c r="X2" s="113"/>
      <c r="Y2" s="114"/>
    </row>
    <row r="3" spans="1:25" ht="20.100000000000001" customHeight="1" x14ac:dyDescent="0.25">
      <c r="A3" s="125" t="s">
        <v>195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30"/>
      <c r="N3" s="125" t="str">
        <f>A3</f>
        <v>MUST HAVE NEAT GUSSET AND WATER TIGHT SEAL - NO LEAKS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00000000000001" customHeight="1" x14ac:dyDescent="0.2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  <c r="M4" s="30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00000000000001" customHeight="1" x14ac:dyDescent="0.25">
      <c r="A5" s="129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30"/>
      <c r="N5" s="129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14</v>
      </c>
      <c r="P7" s="95"/>
      <c r="Q7" s="16" t="str">
        <f>IF(ISNUMBER(SEARCH("roll",O8,1)),"Per Roll","Per Carton")</f>
        <v>Per Roll</v>
      </c>
      <c r="R7" s="94">
        <v>200</v>
      </c>
      <c r="S7" s="95"/>
      <c r="T7" s="16" t="str">
        <f>IF(ISNUMBER(SEARCH("bag",O8,1)),"Total Bags","Total Sheets")</f>
        <v>Total Bags</v>
      </c>
      <c r="U7" s="113">
        <f>R7*O7</f>
        <v>2800</v>
      </c>
      <c r="V7" s="114"/>
      <c r="W7" s="16" t="s">
        <v>101</v>
      </c>
      <c r="X7" s="94" t="s">
        <v>22</v>
      </c>
      <c r="Y7" s="95"/>
    </row>
    <row r="8" spans="1:25" ht="20.100000000000001" customHeight="1" x14ac:dyDescent="0.25">
      <c r="A8" s="17" t="s">
        <v>15</v>
      </c>
      <c r="B8" s="103">
        <f>R9</f>
        <v>540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(280+260)</v>
      </c>
      <c r="F8" s="106"/>
      <c r="G8" s="17" t="s">
        <v>51</v>
      </c>
      <c r="H8" s="103">
        <f>(IF(V9&lt;30,"30",V9))</f>
        <v>100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3"/>
    </row>
    <row r="9" spans="1:25" ht="20.100000000000001" customHeight="1" x14ac:dyDescent="0.3">
      <c r="A9" s="21" t="s">
        <v>47</v>
      </c>
      <c r="B9" s="111" t="s">
        <v>194</v>
      </c>
      <c r="C9" s="112"/>
      <c r="D9" s="137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197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540</v>
      </c>
      <c r="S9" s="23" t="s">
        <v>77</v>
      </c>
      <c r="T9" s="31">
        <v>920</v>
      </c>
      <c r="U9" s="23" t="s">
        <v>77</v>
      </c>
      <c r="V9" s="31">
        <v>100</v>
      </c>
      <c r="W9" s="22"/>
      <c r="X9" s="100" t="s">
        <v>198</v>
      </c>
      <c r="Y9" s="101"/>
    </row>
    <row r="10" spans="1:25" ht="20.100000000000001" customHeight="1" x14ac:dyDescent="0.25">
      <c r="A10" s="16" t="s">
        <v>50</v>
      </c>
      <c r="B10" s="94">
        <v>10</v>
      </c>
      <c r="C10" s="95"/>
      <c r="D10" s="49" t="s">
        <v>133</v>
      </c>
      <c r="E10" s="115">
        <f>IF(ISNUMBER(SEARCH("sheet",O8,1)),((R9*T9*H8/540000)*U7/2000*1.3),((R9*T9*H8/540000)*U7/1000*1.08))</f>
        <v>278.20800000000003</v>
      </c>
      <c r="F10" s="116"/>
      <c r="G10" s="16" t="s">
        <v>52</v>
      </c>
      <c r="H10" s="119">
        <f>IF(ISNUMBER(SEARCH("sheet",O8,1)),(U7*T9/2000*1.08),(U7*T9/1000*1.08))</f>
        <v>2782.0800000000004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27.820800000000002</v>
      </c>
      <c r="F11" s="118"/>
      <c r="G11" s="16" t="s">
        <v>14</v>
      </c>
      <c r="H11" s="117">
        <f>H10/B10</f>
        <v>278.20800000000003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4" t="s">
        <v>70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6"/>
    </row>
    <row r="13" spans="1:25" ht="20.100000000000001" customHeight="1" x14ac:dyDescent="0.25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14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>
        <v>0</v>
      </c>
      <c r="X13" s="16" t="s">
        <v>75</v>
      </c>
      <c r="Y13" s="33"/>
    </row>
    <row r="14" spans="1:25" ht="20.100000000000001" customHeight="1" x14ac:dyDescent="0.3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0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30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30</v>
      </c>
      <c r="V17" s="95"/>
      <c r="W17" s="16" t="str">
        <f>IF(ISNUMBER(SEARCH("roll",O8,1)),"Total Rolls","Total Ctns")</f>
        <v>Total Rolls</v>
      </c>
      <c r="X17" s="138"/>
      <c r="Y17" s="139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38"/>
      <c r="Y18" s="139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 t="s">
        <v>199</v>
      </c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0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 t="s">
        <v>200</v>
      </c>
      <c r="B24" s="84"/>
      <c r="C24" s="80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1" t="s">
        <v>131</v>
      </c>
      <c r="H26" s="141"/>
      <c r="I26" s="141" t="s">
        <v>130</v>
      </c>
      <c r="J26" s="141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46116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46106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9AB0BFA-2AF1-4EBB-A5EC-7F4529F66659}"/>
</file>

<file path=customXml/itemProps2.xml><?xml version="1.0" encoding="utf-8"?>
<ds:datastoreItem xmlns:ds="http://schemas.openxmlformats.org/officeDocument/2006/customXml" ds:itemID="{660C82B5-B63E-4FAE-A91F-A38E701E6D41}"/>
</file>

<file path=customXml/itemProps3.xml><?xml version="1.0" encoding="utf-8"?>
<ds:datastoreItem xmlns:ds="http://schemas.openxmlformats.org/officeDocument/2006/customXml" ds:itemID="{7298FED7-F047-4733-86FA-9B337E51DB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2022-01-24T04:44:54Z</cp:lastPrinted>
  <dcterms:created xsi:type="dcterms:W3CDTF">2019-11-27T23:28:06Z</dcterms:created>
  <dcterms:modified xsi:type="dcterms:W3CDTF">2026-03-04T08:43:39Z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