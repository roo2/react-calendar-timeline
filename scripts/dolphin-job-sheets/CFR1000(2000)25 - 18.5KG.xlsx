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C6C614B-C1C0-47E3-BE15-C4250CAEB3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9" i="1" l="1"/>
  <c r="E11" i="1" s="1"/>
  <c r="B2" i="1" l="1"/>
  <c r="C25" i="1" l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<sst xmlns="http://schemas.openxmlformats.org/spreadsheetml/2006/main" count="226" uniqueCount="167">
  <si>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</si>
  <si>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</si>
  <si>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</si>
  <si>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</si>
  <si>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</si>
  <si>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</si>
  <si>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</si>
  <si>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</si>
  <si>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</si>
  <si>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</si>
  <si>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</si>
  <si>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</si>
  <si>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</si>
  <si>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</si>
  <si>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</si>
  <si>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</si>
  <si>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</si>
  <si>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</si>
  <si>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</si>
  <si>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</si>
  <si>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</si>
  <si>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</si>
  <si>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</si>
  <si>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</si>
  <si>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</si>
  <si>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</si>
  <si>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</si>
  <si>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</si>
  <si>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</si>
  <si>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</si>
  <si>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</si>
  <si>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</si>
  <si>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</si>
  <si>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</si>
  <si>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</si>
  <si>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</si>
  <si>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</si>
  <si>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</si>
  <si>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</si>
  <si>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</si>
  <si>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</si>
  <si>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</si>
  <si>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</si>
  <si>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</si>
  <si>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</si>
  <si>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</si>
  <si>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</si>
  <si>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</si>
  <si>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</si>
  <si>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</si>
  <si>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</si>
  <si>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</si>
  <si>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</si>
  <si>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</si>
  <si>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</si>
  <si>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</si>
  <si>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</si>
  <si>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</si>
  <si>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</si>
  <si>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</si>
  <si>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</si>
  <si>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</si>
  <si>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</si>
  <si>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</si>
  <si>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</si>
  <si>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</si>
  <si>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</si>
  <si>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</si>
  <si>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</si>
  <si>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</si>
  <si>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</si>
  <si>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</si>
  <si>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</si>
  <si>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</si>
  <si>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</si>
  <si>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</si>
  <si>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</si>
  <si>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</si>
  <si>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</si>
  <si>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</si>
  <si>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</si>
  <si>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</si>
  <si>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</si>
  <si>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</si>
  <si>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</si>
  <si>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</si>
  <si>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</si>
  <si>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</si>
  <si>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</si>
  <si>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</si>
  <si>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</si>
  <si>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</si>
  <si>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</si>
  <si>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</si>
  <si>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</si>
  <si>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</si>
  <si>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</si>
  <si>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</si>
  <si>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</si>
  <si>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</si>
  <si>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</si>
  <si>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</si>
  <si>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</si>
  <si>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</si>
  <si>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</si>
  <si>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</si>
  <si>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</si>
  <si>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</si>
  <si>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</si>
  <si>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</si>
  <si>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</si>
  <si>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</si>
  <si>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</si>
  <si>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</si>
  <si>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</si>
  <si>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</si>
  <si>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</si>
  <si>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</si>
  <si>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</si>
  <si>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</si>
  <si>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</si>
  <si>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</si>
  <si>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</si>
  <si>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</si>
  <si>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</si>
  <si>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</si>
  <si>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</si>
  <si>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</si>
  <si>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</si>
  <si>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</si>
  <si>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</si>
  <si>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</si>
  <si>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</si>
  <si>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</si>
  <si>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</si>
  <si>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</si>
  <si>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</si>
  <si>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</si>
  <si>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</si>
  <si>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</si>
  <si>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</si>
  <si>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</si>
  <si>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</si>
  <si>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</si>
  <si>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</si>
  <si>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</si>
  <si>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</si>
  <si>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</si>
  <si>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</si>
  <si>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</si>
  <si>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</si>
  <si>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</si>
  <si>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</si>
  <si>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</si>
  <si>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</si>
  <si>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</si>
  <si>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</si>
  <si>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</si>
  <si>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</si>
  <si>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</si>
  <si>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</si>
  <si>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</si>
  <si>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</si>
  <si>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 xml:space="preserve"> +/- 10mm</t>
  </si>
  <si>
    <t>RUN AT 25UM</t>
  </si>
  <si>
    <t>EVERGUARD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</si>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</sst>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25" sqref="A25:B2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Centrefold","CFR")))&amp;B8&amp;IF(E8="","",E8)&amp;H8&amp;(IF(K11="INLINE","P",IF(K11="OUT OF LINE","P",IF(K11="NONE",""))))&amp;C24&amp;C25</f>
        <v>CFR1000(2000)300</v>
      </c>
      <c r="C1" s="61"/>
      <c r="D1" s="62"/>
      <c r="E1" s="11" t="s">
        <v>55</v>
      </c>
      <c r="F1" s="51" t="s">
        <v>165</v>
      </c>
      <c r="G1" s="51"/>
      <c r="H1" s="52"/>
      <c r="I1" s="11" t="s">
        <v>148</v>
      </c>
      <c r="J1" s="76">
        <f ca="1">TODAY()</f>
        <v>45461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333M</v>
      </c>
      <c r="C2" s="65"/>
      <c r="D2" s="66"/>
      <c r="E2" s="11" t="s">
        <v>56</v>
      </c>
      <c r="F2" s="51">
        <v>947261</v>
      </c>
      <c r="G2" s="51"/>
      <c r="H2" s="52"/>
      <c r="I2" s="11" t="s">
        <v>57</v>
      </c>
      <c r="J2" s="78" t="s">
        <v>162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158</v>
      </c>
      <c r="B7" s="51" t="s">
        <v>161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146</v>
      </c>
      <c r="K7" s="91"/>
      <c r="L7" s="92"/>
    </row>
    <row r="8" spans="1:14" ht="20.100000000000001" customHeight="1" x14ac:dyDescent="0.25">
      <c r="A8" s="12" t="s">
        <v>14</v>
      </c>
      <c r="B8" s="97">
        <v>1000</v>
      </c>
      <c r="C8" s="98"/>
      <c r="D8" s="12" t="str">
        <f>IF(B7="Tube","Gusset","Centrefold")</f>
        <v>Centrefold</v>
      </c>
      <c r="E8" s="93" t="str">
        <f>IF(B7="Cont Centrefold","("&amp;B8*2&amp;")","")</f>
        <v>(2000)</v>
      </c>
      <c r="F8" s="94"/>
      <c r="G8" s="12" t="s">
        <v>50</v>
      </c>
      <c r="H8" s="97">
        <v>30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163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12</v>
      </c>
      <c r="C10" s="52"/>
      <c r="D10" s="36" t="s">
        <v>104</v>
      </c>
      <c r="E10" s="85">
        <f>E11*B10</f>
        <v>222</v>
      </c>
      <c r="F10" s="86"/>
      <c r="G10" s="11" t="s">
        <v>51</v>
      </c>
      <c r="H10" s="65">
        <f>H11*B10</f>
        <v>3996</v>
      </c>
      <c r="I10" s="66"/>
      <c r="J10" s="11" t="s">
        <v>39</v>
      </c>
      <c r="K10" s="51" t="s">
        <v>40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>CF Rolls</v>
      </c>
      <c r="B11" s="83">
        <v>12</v>
      </c>
      <c r="C11" s="84"/>
      <c r="D11" s="42" t="s">
        <v>105</v>
      </c>
      <c r="E11" s="87">
        <f>IF(D9="RUN 2 UP",(B8*H8*H11/540000)*2,(B8*H8*H11/540000))</f>
        <v>18.5</v>
      </c>
      <c r="F11" s="88"/>
      <c r="G11" s="42" t="s">
        <v>13</v>
      </c>
      <c r="H11" s="89">
        <v>333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12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64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 t="s">
        <v>166</v>
      </c>
      <c r="B25" s="49"/>
      <c r="C25" s="63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>0</v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45491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45482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136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144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137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138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139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140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141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142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145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143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143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B30BACF-BAAC-4C12-8310-E0F152D47373}"/>
</file>

<file path=customXml/itemProps2.xml><?xml version="1.0" encoding="utf-8"?>
<ds:datastoreItem xmlns:ds="http://schemas.openxmlformats.org/officeDocument/2006/customXml" ds:itemID="{775643A8-F7C8-4482-A796-EF29BCBDC6BE}"/>
</file>

<file path=customXml/itemProps3.xml><?xml version="1.0" encoding="utf-8"?>
<ds:datastoreItem xmlns:ds="http://schemas.openxmlformats.org/officeDocument/2006/customXml" ds:itemID="{0D8CA8A3-DAC5-49E4-9450-B85628C959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2024-03-01T03:22:53Z</cp:lastPrinted>
  <dcterms:created xsi:type="dcterms:W3CDTF">2019-11-27T23:28:06Z</dcterms:created>
  <dcterms:modified xsi:type="dcterms:W3CDTF">2024-06-18T05:33:04Z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