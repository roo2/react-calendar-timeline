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B0745CB-4403-426D-A59C-E55A8D4E998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<sst xmlns="http://schemas.openxmlformats.org/spreadsheetml/2006/main" count="305" uniqueCount="201">
  <si>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</si>
  <si>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</si>
  <si>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</si>
  <si>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</si>
  <si>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</si>
  <si>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</si>
  <si>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</si>
  <si>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</si>
  <si>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</si>
  <si>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</si>
  <si>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</si>
  <si>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</si>
  <si>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</si>
  <si>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</si>
  <si>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</si>
  <si>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</si>
  <si>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</si>
  <si>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</si>
  <si>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</si>
  <si>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</si>
  <si>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</si>
  <si>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</si>
  <si>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</si>
  <si>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</si>
  <si>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</si>
  <si>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</si>
  <si>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</si>
  <si>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</si>
  <si>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</si>
  <si>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</si>
  <si>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</si>
  <si>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</si>
  <si>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</si>
  <si>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</si>
  <si>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</si>
  <si>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</si>
  <si>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</si>
  <si>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</si>
  <si>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</si>
  <si>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</si>
  <si>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</si>
  <si>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</si>
  <si>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</si>
  <si>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</si>
  <si>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</si>
  <si>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</si>
  <si>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</si>
  <si>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</si>
  <si>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</si>
  <si>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</si>
  <si>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</si>
  <si>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</si>
  <si>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</si>
  <si>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</si>
  <si>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</si>
  <si>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</si>
  <si>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</si>
  <si>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</si>
  <si>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</si>
  <si>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</si>
  <si>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</si>
  <si>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</si>
  <si>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</si>
  <si>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</si>
  <si>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</si>
  <si>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</si>
  <si>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</si>
  <si>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</si>
  <si>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</si>
  <si>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</si>
  <si>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</si>
  <si>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</si>
  <si>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</si>
  <si>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</si>
  <si>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</si>
  <si>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</si>
  <si>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</si>
  <si>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</si>
  <si>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</si>
  <si>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</si>
  <si>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</si>
  <si>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</si>
  <si>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</si>
  <si>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</si>
  <si>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</si>
  <si>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</si>
  <si>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</si>
  <si>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</si>
  <si>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</si>
  <si>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</si>
  <si>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</si>
  <si>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</si>
  <si>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</si>
  <si>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</si>
  <si>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</si>
  <si>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</si>
  <si>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</si>
  <si>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</si>
  <si>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</si>
  <si>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</si>
  <si>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</si>
  <si>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</si>
  <si>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</si>
  <si>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</si>
  <si>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</si>
  <si>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</si>
  <si>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</si>
  <si>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</si>
  <si>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</si>
  <si>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</si>
  <si>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</si>
  <si>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</si>
  <si>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</si>
  <si>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</si>
  <si>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</si>
  <si>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</si>
  <si>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</si>
  <si>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</si>
  <si>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</si>
  <si>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</si>
  <si>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</si>
  <si>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</si>
  <si>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</si>
  <si>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</si>
  <si>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</si>
  <si>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</si>
  <si>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</si>
  <si>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</si>
  <si>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</si>
  <si>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</si>
  <si>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</si>
  <si>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</si>
  <si>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</si>
  <si>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</si>
  <si>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</si>
  <si>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</si>
  <si>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</si>
  <si>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</si>
  <si>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</si>
  <si>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</si>
  <si>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</si>
  <si>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</si>
  <si>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</si>
  <si>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</si>
  <si>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</si>
  <si>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</si>
  <si>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</si>
  <si>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</si>
  <si>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</si>
  <si>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</si>
  <si>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</si>
  <si>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</si>
  <si>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</si>
  <si>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</si>
  <si>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</si>
  <si>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</si>
  <si>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</si>
  <si>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</si>
  <si>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</si>
  <si>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</si>
  <si>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</si>
  <si>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</si>
  <si>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</si>
  <si>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</si>
  <si>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</si>
  <si>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</si>
  <si>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</si>
  <si>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</si>
  <si>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</si>
  <si>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</si>
  <si>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</si>
  <si>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</si>
  <si>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</si>
  <si>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</si>
  <si>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</si>
  <si>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</si>
  <si>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</si>
  <si>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</si>
  <si>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</si>
  <si>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</si>
  <si>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</si>
  <si>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</si>
  <si>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</si>
  <si>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</si>
  <si>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</si>
  <si>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</si>
  <si>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</si>
  <si>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</si>
  <si>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</si>
  <si>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</si>
  <si>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</si>
  <si>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</si>
  <si>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</si>
  <si>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>ASAP</t>
  </si>
  <si>
    <t>Centrefold Roll</t>
  </si>
  <si>
    <t>(115+105)</t>
  </si>
  <si>
    <t xml:space="preserve"> +0mm/-5mm</t>
  </si>
  <si>
    <t>RUN AT 100UM</t>
  </si>
  <si>
    <t>ARBOUR GROVE</t>
  </si>
  <si>
    <t>NEW CUSTOMER - SAME VENT AS FERNLAND - SPOT ON FINISH. USE DOLPHIN REMILL, MUST NOT BE BLOCKED.</t>
  </si>
  <si>
    <t>HOLE PUNCH SAME AS FERNLANDS PB22G360100BKUV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</si>
</sst>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10" fontId="9" fillId="0" borderId="4" xfId="1" applyNumberFormat="1" applyFont="1" applyBorder="1" applyAlignment="1" applyProtection="1">
      <alignment horizontal="center"/>
      <protection locked="0"/>
    </xf>
    <xf numFmtId="10" fontId="9" fillId="0" borderId="5" xfId="1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PB220G350120BKUVV</v>
      </c>
      <c r="C1" s="126"/>
      <c r="D1" s="127"/>
      <c r="E1" s="12" t="s">
        <v>57</v>
      </c>
      <c r="F1" s="128" t="s">
        <v>198</v>
      </c>
      <c r="G1" s="128"/>
      <c r="H1" s="129"/>
      <c r="I1" s="13" t="s">
        <v>181</v>
      </c>
      <c r="J1" s="130">
        <f ca="1">TODAY()</f>
        <v>44272</v>
      </c>
      <c r="K1" s="130"/>
      <c r="L1" s="131"/>
      <c r="M1" s="35"/>
      <c r="N1" s="12" t="s">
        <v>56</v>
      </c>
      <c r="O1" s="126" t="str">
        <f>B1</f>
        <v>PB220G350120BKUVV</v>
      </c>
      <c r="P1" s="126"/>
      <c r="Q1" s="127"/>
      <c r="R1" s="12" t="s">
        <v>57</v>
      </c>
      <c r="S1" s="126" t="str">
        <f>F1</f>
        <v>ARBOUR GROVE</v>
      </c>
      <c r="T1" s="126"/>
      <c r="U1" s="127"/>
      <c r="V1" s="12" t="s">
        <v>181</v>
      </c>
      <c r="W1" s="130">
        <f ca="1">J1</f>
        <v>44272</v>
      </c>
      <c r="X1" s="130"/>
      <c r="Y1" s="131"/>
    </row>
    <row r="2" spans="1:28" ht="20.100000000000001" customHeight="1" x14ac:dyDescent="0.25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939850</v>
      </c>
      <c r="G2" s="74"/>
      <c r="H2" s="75"/>
      <c r="I2" s="12" t="s">
        <v>59</v>
      </c>
      <c r="J2" s="133">
        <v>44293</v>
      </c>
      <c r="K2" s="134"/>
      <c r="L2" s="135"/>
      <c r="M2" s="35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939850</v>
      </c>
      <c r="T2" s="126"/>
      <c r="U2" s="127"/>
      <c r="V2" s="12" t="s">
        <v>59</v>
      </c>
      <c r="W2" s="132">
        <f>J2</f>
        <v>44293</v>
      </c>
      <c r="X2" s="126"/>
      <c r="Y2" s="127"/>
    </row>
    <row r="3" spans="1:28" ht="20.100000000000001" customHeight="1" x14ac:dyDescent="0.25">
      <c r="A3" s="164" t="s">
        <v>199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6"/>
      <c r="M3" s="35"/>
      <c r="N3" s="164" t="str">
        <f>A3</f>
        <v>NEW CUSTOMER - SAME VENT AS FERNLAND - SPOT ON FINISH. USE DOLPHIN REMILL, MUST NOT BE BLOCKED.</v>
      </c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6"/>
    </row>
    <row r="4" spans="1:28" ht="20.100000000000001" customHeight="1" x14ac:dyDescent="0.25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9"/>
      <c r="M4" s="35"/>
      <c r="N4" s="167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9"/>
    </row>
    <row r="5" spans="1:28" ht="20.100000000000001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2"/>
      <c r="M5" s="35"/>
      <c r="N5" s="170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2"/>
    </row>
    <row r="6" spans="1:28" ht="20.100000000000001" customHeight="1" x14ac:dyDescent="0.25">
      <c r="A6" s="137" t="s">
        <v>2</v>
      </c>
      <c r="B6" s="138"/>
      <c r="C6" s="138"/>
      <c r="D6" s="138"/>
      <c r="E6" s="138"/>
      <c r="F6" s="138"/>
      <c r="G6" s="138"/>
      <c r="H6" s="138"/>
      <c r="I6" s="138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8" t="s">
        <v>177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25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6">
        <f>R7*O7</f>
        <v>25000</v>
      </c>
      <c r="V7" s="127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220</v>
      </c>
      <c r="C8" s="115"/>
      <c r="D8" s="15" t="str">
        <f>IF(ISNUMBER(SEARCH("bag",O8,1)),"Gusset","Centrefold")</f>
        <v>Gusset</v>
      </c>
      <c r="E8" s="114" t="str">
        <f>IF(O8="Centrefold Roll",B8*2,IF(X9="","None",X9))</f>
        <v>(115+105)</v>
      </c>
      <c r="F8" s="115"/>
      <c r="G8" s="15" t="s">
        <v>52</v>
      </c>
      <c r="H8" s="114">
        <f>(IF(V9&lt;30,"30",V9))</f>
        <v>120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Gusset Tube</v>
      </c>
      <c r="L8" s="127"/>
      <c r="M8" s="35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13"/>
    </row>
    <row r="9" spans="1:28" ht="20.100000000000001" customHeight="1" x14ac:dyDescent="0.3">
      <c r="A9" s="19" t="s">
        <v>48</v>
      </c>
      <c r="B9" s="139" t="s">
        <v>196</v>
      </c>
      <c r="C9" s="140"/>
      <c r="D9" s="147" t="str">
        <f>IF(K10="Middle","RUN 2 UP",IF(AND(O8="Centrefold Roll",B8=380),"RUN 2 UP",""))</f>
        <v/>
      </c>
      <c r="E9" s="118"/>
      <c r="F9" s="119"/>
      <c r="G9" s="19" t="s">
        <v>48</v>
      </c>
      <c r="H9" s="139" t="s">
        <v>197</v>
      </c>
      <c r="I9" s="140"/>
      <c r="J9" s="12" t="s">
        <v>55</v>
      </c>
      <c r="K9" s="74" t="s">
        <v>30</v>
      </c>
      <c r="L9" s="75"/>
      <c r="M9" s="35"/>
      <c r="N9" s="20"/>
      <c r="O9" s="120" t="str">
        <f>IF(O8="Poly Bag","PB",IF(O8="Poly Bag Roll","PBR",IF(O8="Centrefold Roll","CFR",IF(O8="Sheet","S",IF(O8="Sheet Roll","SR")))))</f>
        <v>PB</v>
      </c>
      <c r="P9" s="121"/>
      <c r="Q9" s="20"/>
      <c r="R9" s="36">
        <v>220</v>
      </c>
      <c r="S9" s="21" t="s">
        <v>78</v>
      </c>
      <c r="T9" s="36">
        <v>350</v>
      </c>
      <c r="U9" s="21" t="s">
        <v>78</v>
      </c>
      <c r="V9" s="36">
        <v>120</v>
      </c>
      <c r="W9" s="20"/>
      <c r="X9" s="100" t="s">
        <v>195</v>
      </c>
      <c r="Y9" s="101"/>
    </row>
    <row r="10" spans="1:28" ht="20.100000000000001" customHeight="1" x14ac:dyDescent="0.25">
      <c r="A10" s="12" t="s">
        <v>51</v>
      </c>
      <c r="B10" s="74">
        <v>30</v>
      </c>
      <c r="C10" s="75"/>
      <c r="D10" s="55" t="s">
        <v>134</v>
      </c>
      <c r="E10" s="141">
        <f>IF(ISNUMBER(SEARCH("sheet",O8,1)),((R9*T9*H8/540000)*U7/2000*1.3),((R9*T9*H8/540000)*U7/1000*1.08))</f>
        <v>462</v>
      </c>
      <c r="F10" s="142"/>
      <c r="G10" s="12" t="s">
        <v>53</v>
      </c>
      <c r="H10" s="145">
        <f>IF(ISNUMBER(SEARCH("sheet",O8,1)),(U7*T9/2000*1.08),(U7*T9/1000*1.08))</f>
        <v>9450</v>
      </c>
      <c r="I10" s="146"/>
      <c r="J10" s="12" t="s">
        <v>41</v>
      </c>
      <c r="K10" s="74" t="s">
        <v>44</v>
      </c>
      <c r="L10" s="75"/>
      <c r="M10" s="35"/>
      <c r="N10" s="22" t="s">
        <v>141</v>
      </c>
      <c r="O10" s="116" t="s">
        <v>140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43">
        <f>E10/B10</f>
        <v>15.4</v>
      </c>
      <c r="F11" s="144"/>
      <c r="G11" s="12" t="s">
        <v>15</v>
      </c>
      <c r="H11" s="143">
        <f>H10/B10</f>
        <v>315</v>
      </c>
      <c r="I11" s="144"/>
      <c r="J11" s="12" t="s">
        <v>50</v>
      </c>
      <c r="K11" s="74" t="s">
        <v>44</v>
      </c>
      <c r="L11" s="75"/>
      <c r="M11" s="35"/>
      <c r="N11" s="15"/>
      <c r="O11" s="114" t="str">
        <f>IF(O10="NONE","","V")</f>
        <v>V</v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36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57</v>
      </c>
      <c r="P13" s="12" t="s">
        <v>73</v>
      </c>
      <c r="Q13" s="25">
        <f>O7</f>
        <v>25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100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0" t="s">
        <v>4</v>
      </c>
      <c r="F16" s="160"/>
      <c r="G16" s="160" t="s">
        <v>5</v>
      </c>
      <c r="H16" s="160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 t="s">
        <v>38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10" t="s">
        <v>147</v>
      </c>
      <c r="D17" s="111"/>
      <c r="E17" s="103"/>
      <c r="F17" s="104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10" t="s">
        <v>146</v>
      </c>
      <c r="D18" s="111"/>
      <c r="E18" s="103"/>
      <c r="F18" s="104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10" t="s">
        <v>145</v>
      </c>
      <c r="D19" s="111"/>
      <c r="E19" s="103"/>
      <c r="F19" s="104"/>
      <c r="G19" s="57" t="s">
        <v>83</v>
      </c>
      <c r="H19" s="38"/>
      <c r="I19" s="71"/>
      <c r="J19" s="72"/>
      <c r="K19" s="71"/>
      <c r="L19" s="72"/>
      <c r="M19" s="35"/>
      <c r="N19" s="87" t="s">
        <v>200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10" t="s">
        <v>144</v>
      </c>
      <c r="D20" s="111"/>
      <c r="E20" s="103"/>
      <c r="F20" s="104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10" t="s">
        <v>143</v>
      </c>
      <c r="D21" s="111"/>
      <c r="E21" s="103">
        <v>0.4</v>
      </c>
      <c r="F21" s="104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BLACK</v>
      </c>
      <c r="B22" s="73"/>
      <c r="C22" s="11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11"/>
      <c r="E22" s="103">
        <v>0.03</v>
      </c>
      <c r="F22" s="104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1" t="s">
        <v>192</v>
      </c>
      <c r="B23" s="161"/>
      <c r="C23" s="11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11"/>
      <c r="E23" s="103">
        <v>0.02</v>
      </c>
      <c r="F23" s="104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62"/>
      <c r="B24" s="163"/>
      <c r="C24" s="11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1"/>
      <c r="E24" s="103"/>
      <c r="F24" s="104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/>
      <c r="P25" s="4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9" t="s">
        <v>132</v>
      </c>
      <c r="H26" s="109"/>
      <c r="I26" s="109" t="s">
        <v>131</v>
      </c>
      <c r="J26" s="109"/>
      <c r="K26" s="29" t="s">
        <v>94</v>
      </c>
      <c r="L26" s="29" t="s">
        <v>95</v>
      </c>
      <c r="M26" s="35"/>
      <c r="N26" s="105" t="s">
        <v>137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8"/>
      <c r="H27" s="108"/>
      <c r="I27" s="108"/>
      <c r="J27" s="108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8"/>
      <c r="H28" s="108"/>
      <c r="I28" s="108"/>
      <c r="J28" s="108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148" t="s">
        <v>116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50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3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6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57" t="s">
        <v>136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9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44303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44293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194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4F09E6C-B990-4A64-8966-EB4741625C94}"/>
</file>

<file path=customXml/itemProps2.xml><?xml version="1.0" encoding="utf-8"?>
<ds:datastoreItem xmlns:ds="http://schemas.openxmlformats.org/officeDocument/2006/customXml" ds:itemID="{C5A38090-C954-4158-A46E-888A13BF0766}"/>
</file>

<file path=customXml/itemProps3.xml><?xml version="1.0" encoding="utf-8"?>
<ds:datastoreItem xmlns:ds="http://schemas.openxmlformats.org/officeDocument/2006/customXml" ds:itemID="{08F7081F-8ECF-49A0-A0D3-AD0676EFE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2021-03-17T04:05:50Z</cp:lastPrinted>
  <dcterms:created xsi:type="dcterms:W3CDTF">2019-11-27T23:28:06Z</dcterms:created>
  <dcterms:modified xsi:type="dcterms:W3CDTF">2021-03-17T04:06:13Z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