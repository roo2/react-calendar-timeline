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663E385-B6BD-44F0-B490-475A04CBF1AE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<sst xmlns="http://schemas.openxmlformats.org/spreadsheetml/2006/main" count="304" uniqueCount="199">
  <si>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</si>
  <si>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</si>
  <si>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</si>
  <si>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</si>
  <si>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</si>
  <si>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</si>
  <si>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</si>
  <si>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</si>
  <si>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</si>
  <si>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</si>
  <si>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</si>
  <si>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</si>
  <si>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</si>
  <si>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</si>
  <si>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</si>
  <si>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</si>
  <si>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</si>
  <si>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</si>
  <si>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</si>
  <si>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</si>
  <si>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</si>
  <si>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</si>
  <si>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</si>
  <si>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</si>
  <si>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</si>
  <si>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</si>
  <si>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</si>
  <si>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</si>
  <si>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</si>
  <si>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</si>
  <si>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</si>
  <si>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</si>
  <si>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</si>
  <si>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</si>
  <si>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</si>
  <si>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</si>
  <si>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</si>
  <si>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</si>
  <si>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</si>
  <si>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</si>
  <si>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</si>
  <si>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</si>
  <si>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</si>
  <si>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</si>
  <si>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</si>
  <si>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</si>
  <si>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</si>
  <si>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</si>
  <si>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</si>
  <si>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</si>
  <si>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</si>
  <si>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</si>
  <si>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</si>
  <si>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</si>
  <si>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</si>
  <si>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</si>
  <si>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</si>
  <si>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</si>
  <si>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</si>
  <si>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</si>
  <si>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</si>
  <si>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</si>
  <si>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</si>
  <si>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</si>
  <si>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</si>
  <si>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</si>
  <si>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</si>
  <si>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</si>
  <si>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</si>
  <si>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</si>
  <si>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</si>
  <si>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</si>
  <si>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</si>
  <si>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</si>
  <si>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</si>
  <si>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</si>
  <si>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</si>
  <si>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</si>
  <si>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</si>
  <si>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</si>
  <si>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</si>
  <si>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</si>
  <si>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</si>
  <si>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</si>
  <si>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</si>
  <si>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</si>
  <si>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</si>
  <si>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</si>
  <si>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</si>
  <si>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</si>
  <si>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</si>
  <si>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</si>
  <si>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</si>
  <si>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</si>
  <si>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</si>
  <si>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</si>
  <si>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</si>
  <si>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</si>
  <si>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</si>
  <si>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</si>
  <si>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</si>
  <si>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</si>
  <si>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</si>
  <si>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</si>
  <si>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</si>
  <si>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</si>
  <si>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</si>
  <si>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</si>
  <si>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</si>
  <si>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</si>
  <si>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</si>
  <si>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</si>
  <si>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</si>
  <si>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</si>
  <si>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</si>
  <si>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</si>
  <si>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</si>
  <si>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</si>
  <si>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</si>
  <si>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</si>
  <si>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</si>
  <si>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</si>
  <si>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</si>
  <si>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</si>
  <si>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</si>
  <si>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</si>
  <si>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</si>
  <si>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</si>
  <si>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</si>
  <si>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</si>
  <si>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</si>
  <si>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</si>
  <si>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</si>
  <si>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</si>
  <si>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</si>
  <si>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</si>
  <si>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</si>
  <si>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</si>
  <si>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</si>
  <si>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</si>
  <si>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</si>
  <si>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</si>
  <si>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</si>
  <si>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</si>
  <si>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</si>
  <si>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</si>
  <si>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</si>
  <si>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</si>
  <si>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</si>
  <si>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</si>
  <si>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</si>
  <si>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</si>
  <si>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</si>
  <si>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</si>
  <si>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</si>
  <si>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</si>
  <si>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</si>
  <si>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</si>
  <si>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</si>
  <si>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</si>
  <si>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</si>
  <si>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</si>
  <si>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</si>
  <si>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</si>
  <si>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</si>
  <si>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</si>
  <si>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</si>
  <si>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</si>
  <si>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</si>
  <si>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</si>
  <si>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</si>
  <si>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</si>
  <si>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</si>
  <si>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</si>
  <si>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</si>
  <si>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</si>
  <si>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</si>
  <si>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</si>
  <si>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</si>
  <si>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</si>
  <si>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</si>
  <si>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</si>
  <si>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</si>
  <si>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</si>
  <si>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</si>
  <si>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</si>
  <si>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</si>
  <si>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</si>
  <si>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</si>
  <si>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</si>
  <si>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</si>
  <si>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</si>
  <si>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</si>
  <si>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</si>
  <si>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</si>
  <si>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</si>
  <si>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 xml:space="preserve">LIMAX </t>
  </si>
  <si>
    <t>METRO SOUTH</t>
  </si>
  <si>
    <t>NEW ITEM - MUST HAVE WATER TIGHT SEALS -                                                                 PLEASE CHECK FREQUENTLY - MUST BE SOLID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</si>
</sst>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6" fillId="0" borderId="3" xfId="2" applyFont="1" applyBorder="1" applyAlignment="1" applyProtection="1">
      <alignment horizontal="left" vertical="top"/>
      <protection locked="0"/>
    </xf>
    <xf numFmtId="0" fontId="16" fillId="0" borderId="8" xfId="2" applyFont="1" applyBorder="1" applyAlignment="1" applyProtection="1">
      <alignment horizontal="left" vertical="top"/>
      <protection locked="0"/>
    </xf>
    <xf numFmtId="0" fontId="16" fillId="0" borderId="9" xfId="2" applyFont="1" applyBorder="1" applyAlignment="1" applyProtection="1">
      <alignment horizontal="left" vertical="top"/>
      <protection locked="0"/>
    </xf>
    <xf numFmtId="0" fontId="16" fillId="0" borderId="0" xfId="2" applyFont="1" applyBorder="1" applyAlignment="1" applyProtection="1">
      <alignment horizontal="left" vertical="top"/>
      <protection locked="0"/>
    </xf>
    <xf numFmtId="0" fontId="16" fillId="0" borderId="10" xfId="2" applyFont="1" applyBorder="1" applyAlignment="1" applyProtection="1">
      <alignment horizontal="left" vertical="top"/>
      <protection locked="0"/>
    </xf>
    <xf numFmtId="0" fontId="16" fillId="0" borderId="11" xfId="2" applyFont="1" applyBorder="1" applyAlignment="1" applyProtection="1">
      <alignment horizontal="left" vertical="top"/>
      <protection locked="0"/>
    </xf>
    <xf numFmtId="0" fontId="16" fillId="0" borderId="1" xfId="2" applyFont="1" applyBorder="1" applyAlignment="1" applyProtection="1">
      <alignment horizontal="left" vertical="top"/>
      <protection locked="0"/>
    </xf>
    <xf numFmtId="0" fontId="16" fillId="0" borderId="12" xfId="2" applyFont="1" applyBorder="1" applyAlignment="1" applyProtection="1">
      <alignment horizontal="left" vertical="top"/>
      <protection locked="0"/>
    </xf>
    <xf numFmtId="0" fontId="17" fillId="5" borderId="7" xfId="0" applyFont="1" applyFill="1" applyBorder="1" applyAlignment="1" applyProtection="1">
      <alignment horizontal="center" vertical="center" wrapText="1"/>
      <protection locked="0"/>
    </xf>
    <xf numFmtId="0" fontId="17" fillId="5" borderId="3" xfId="0" applyFont="1" applyFill="1" applyBorder="1" applyAlignment="1" applyProtection="1">
      <alignment horizontal="center" vertical="center" wrapText="1"/>
      <protection locked="0"/>
    </xf>
    <xf numFmtId="0" fontId="17" fillId="5" borderId="8" xfId="0" applyFont="1" applyFill="1" applyBorder="1" applyAlignment="1" applyProtection="1">
      <alignment horizontal="center" vertical="center" wrapText="1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7" fillId="5" borderId="0" xfId="0" applyFont="1" applyFill="1" applyBorder="1" applyAlignment="1" applyProtection="1">
      <alignment horizontal="center" vertical="center" wrapText="1"/>
      <protection locked="0"/>
    </xf>
    <xf numFmtId="0" fontId="17" fillId="5" borderId="10" xfId="0" applyFont="1" applyFill="1" applyBorder="1" applyAlignment="1" applyProtection="1">
      <alignment horizontal="center" vertical="center" wrapText="1"/>
      <protection locked="0"/>
    </xf>
    <xf numFmtId="0" fontId="17" fillId="5" borderId="11" xfId="0" applyFont="1" applyFill="1" applyBorder="1" applyAlignment="1" applyProtection="1">
      <alignment horizontal="center" vertical="center" wrapText="1"/>
      <protection locked="0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17" fillId="5" borderId="12" xfId="0" applyFont="1" applyFill="1" applyBorder="1" applyAlignment="1" applyProtection="1">
      <alignment horizontal="center" vertical="center" wrapText="1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2" t="str">
        <f>O9&amp;R9&amp;IF(X8="G","G","")&amp;IF(O8="Centrefold Roll","("&amp;E8&amp;")","")&amp;T9&amp;V9&amp;C22&amp;C23&amp;C24&amp;O11&amp;R11</f>
        <v>PB100300100Y</v>
      </c>
      <c r="C1" s="122"/>
      <c r="D1" s="123"/>
      <c r="E1" s="12" t="s">
        <v>57</v>
      </c>
      <c r="F1" s="124" t="s">
        <v>197</v>
      </c>
      <c r="G1" s="125"/>
      <c r="H1" s="126"/>
      <c r="I1" s="13" t="s">
        <v>181</v>
      </c>
      <c r="J1" s="95">
        <f ca="1">TODAY()</f>
        <v>44795</v>
      </c>
      <c r="K1" s="95"/>
      <c r="L1" s="96"/>
      <c r="M1" s="34"/>
      <c r="N1" s="12" t="s">
        <v>56</v>
      </c>
      <c r="O1" s="122" t="str">
        <f>B1</f>
        <v>PB100300100Y</v>
      </c>
      <c r="P1" s="122"/>
      <c r="Q1" s="123"/>
      <c r="R1" s="12" t="s">
        <v>57</v>
      </c>
      <c r="S1" s="122" t="str">
        <f>F1</f>
        <v>METRO SOUTH</v>
      </c>
      <c r="T1" s="122"/>
      <c r="U1" s="123"/>
      <c r="V1" s="12" t="s">
        <v>181</v>
      </c>
      <c r="W1" s="95">
        <f ca="1">J1</f>
        <v>44795</v>
      </c>
      <c r="X1" s="95"/>
      <c r="Y1" s="96"/>
    </row>
    <row r="2" spans="1:28" ht="20.149999999999999" customHeight="1" x14ac:dyDescent="0.8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943741</v>
      </c>
      <c r="G2" s="98"/>
      <c r="H2" s="99"/>
      <c r="I2" s="12" t="s">
        <v>59</v>
      </c>
      <c r="J2" s="97" t="s">
        <v>192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943741</v>
      </c>
      <c r="T2" s="122"/>
      <c r="U2" s="123"/>
      <c r="V2" s="12" t="s">
        <v>59</v>
      </c>
      <c r="W2" s="127" t="str">
        <f>J2</f>
        <v>ASAP</v>
      </c>
      <c r="X2" s="122"/>
      <c r="Y2" s="123"/>
    </row>
    <row r="3" spans="1:28" ht="20.149999999999999" customHeight="1" x14ac:dyDescent="0.75">
      <c r="A3" s="160" t="s">
        <v>198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2"/>
      <c r="M3" s="34"/>
      <c r="N3" s="160" t="str">
        <f>A3</f>
        <v>NEW ITEM - MUST HAVE WATER TIGHT SEALS -                                                                 PLEASE CHECK FREQUENTLY - MUST BE SOLID YELLOW</v>
      </c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2"/>
    </row>
    <row r="4" spans="1:28" ht="20.149999999999999" customHeight="1" x14ac:dyDescent="0.75">
      <c r="A4" s="163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5"/>
      <c r="M4" s="34"/>
      <c r="N4" s="163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5"/>
    </row>
    <row r="5" spans="1:28" ht="20.149999999999999" customHeight="1" x14ac:dyDescent="0.75">
      <c r="A5" s="166"/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8"/>
      <c r="M5" s="34"/>
      <c r="N5" s="166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8"/>
    </row>
    <row r="6" spans="1:28" ht="20.149999999999999" customHeight="1" x14ac:dyDescent="0.7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49999999999999" customHeight="1" x14ac:dyDescent="0.9">
      <c r="A7" s="12" t="s">
        <v>49</v>
      </c>
      <c r="B7" s="119" t="s">
        <v>148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2</v>
      </c>
      <c r="P7" s="99"/>
      <c r="Q7" s="12" t="str">
        <f>IF(ISNUMBER(SEARCH("roll",O8,1)),"Per Roll","Per Carton")</f>
        <v>Per Carton</v>
      </c>
      <c r="R7" s="98">
        <v>2000</v>
      </c>
      <c r="S7" s="99"/>
      <c r="T7" s="12" t="str">
        <f>IF(ISNUMBER(SEARCH("bag",O8,1)),"Total Bags","Total Sheets")</f>
        <v>Total Bags</v>
      </c>
      <c r="U7" s="122">
        <f>R7*O7</f>
        <v>4000</v>
      </c>
      <c r="V7" s="123"/>
      <c r="W7" s="12" t="s">
        <v>102</v>
      </c>
      <c r="X7" s="98" t="s">
        <v>23</v>
      </c>
      <c r="Y7" s="99"/>
      <c r="AB7" s="14"/>
    </row>
    <row r="8" spans="1:28" ht="20.149999999999999" customHeight="1" x14ac:dyDescent="0.8">
      <c r="A8" s="15" t="s">
        <v>16</v>
      </c>
      <c r="B8" s="100">
        <f>R9</f>
        <v>100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0" t="s">
        <v>164</v>
      </c>
      <c r="P8" s="13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28" t="str">
        <f>IF(AND(W8="Gusset",X9=""), "None",IF(AND(W8="Centrefold",X9=""),"None",IF(W8="Gusset","G",IF(W8="Centrefold","CF"))))</f>
        <v>None</v>
      </c>
      <c r="Y8" s="129"/>
    </row>
    <row r="9" spans="1:28" ht="20.149999999999999" customHeight="1" x14ac:dyDescent="0.9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32" t="str">
        <f>IF(O8="Poly Bag","PB",IF(O8="Poly Bag Roll","PBR",IF(O8="Centrefold Roll","CFR",IF(O8="Sheet","S",IF(O8="Sheet Roll","SR")))))</f>
        <v>PB</v>
      </c>
      <c r="P9" s="133"/>
      <c r="Q9" s="19"/>
      <c r="R9" s="35">
        <v>100</v>
      </c>
      <c r="S9" s="20" t="s">
        <v>78</v>
      </c>
      <c r="T9" s="35">
        <v>300</v>
      </c>
      <c r="U9" s="20" t="s">
        <v>78</v>
      </c>
      <c r="V9" s="35">
        <v>100</v>
      </c>
      <c r="W9" s="19"/>
      <c r="X9" s="143"/>
      <c r="Y9" s="144"/>
    </row>
    <row r="10" spans="1:28" ht="20.149999999999999" customHeight="1" x14ac:dyDescent="0.8">
      <c r="A10" s="12" t="s">
        <v>51</v>
      </c>
      <c r="B10" s="98">
        <v>2</v>
      </c>
      <c r="C10" s="99"/>
      <c r="D10" s="54" t="s">
        <v>134</v>
      </c>
      <c r="E10" s="112">
        <f>IF(ISNUMBER(SEARCH("sheet",O8,1)),((R9*T9*H8/540000)*U7/2000*1.3),((R9*T9*H8/540000)*U7/1000*1.08))</f>
        <v>24</v>
      </c>
      <c r="F10" s="113"/>
      <c r="G10" s="12" t="s">
        <v>53</v>
      </c>
      <c r="H10" s="116">
        <f>IF(ISNUMBER(SEARCH("sheet",O8,1)),(U7*T9/2000*1.08),(U7*T9/1000*1.08))</f>
        <v>1296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0" t="s">
        <v>44</v>
      </c>
      <c r="P10" s="131"/>
      <c r="Q10" s="16" t="s">
        <v>50</v>
      </c>
      <c r="R10" s="128" t="str">
        <f>IF(K11="NONE","None",IF(K11="INLINE","Yes",IF(K11="OUT OF LINE","Yes")))</f>
        <v>None</v>
      </c>
      <c r="S10" s="128"/>
      <c r="T10" s="16" t="s">
        <v>100</v>
      </c>
      <c r="U10" s="135"/>
      <c r="V10" s="135"/>
      <c r="W10" s="135"/>
      <c r="X10" s="135"/>
      <c r="Y10" s="136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12</v>
      </c>
      <c r="F11" s="115"/>
      <c r="G11" s="12" t="s">
        <v>15</v>
      </c>
      <c r="H11" s="114">
        <f>H10/B10</f>
        <v>648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37"/>
      <c r="V11" s="137"/>
      <c r="W11" s="137"/>
      <c r="X11" s="137"/>
      <c r="Y11" s="138"/>
    </row>
    <row r="12" spans="1:28" ht="20.149999999999999" customHeight="1" x14ac:dyDescent="0.7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34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49999999999999" customHeight="1" x14ac:dyDescent="0.8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2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34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49999999999999" customHeight="1" x14ac:dyDescent="0.7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49999999999999" customHeight="1" x14ac:dyDescent="0.8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49"/>
      <c r="Y16" s="150"/>
    </row>
    <row r="17" spans="1:25" ht="20.149999999999999" customHeight="1" x14ac:dyDescent="0.8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49"/>
      <c r="Y17" s="150"/>
    </row>
    <row r="18" spans="1:25" ht="20.149999999999999" customHeight="1" x14ac:dyDescent="0.8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49"/>
      <c r="Y18" s="150"/>
    </row>
    <row r="19" spans="1:25" ht="20.149999999999999" customHeight="1" x14ac:dyDescent="0.7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51" t="s">
        <v>116</v>
      </c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3"/>
    </row>
    <row r="20" spans="1:25" ht="20.149999999999999" customHeight="1" x14ac:dyDescent="0.7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54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6"/>
    </row>
    <row r="21" spans="1:25" ht="20.149999999999999" customHeight="1" x14ac:dyDescent="0.7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54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6"/>
    </row>
    <row r="22" spans="1:25" ht="20.149999999999999" customHeight="1" x14ac:dyDescent="0.75">
      <c r="A22" s="85" t="str">
        <f>(IF(B7="NATURAL","",B7))</f>
        <v>YELLOW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57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9"/>
    </row>
    <row r="23" spans="1:25" ht="20.149999999999999" customHeight="1" x14ac:dyDescent="0.7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34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49999999999999" customHeight="1" x14ac:dyDescent="0.7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48" t="s">
        <v>132</v>
      </c>
      <c r="H26" s="148"/>
      <c r="I26" s="148" t="s">
        <v>131</v>
      </c>
      <c r="J26" s="148"/>
      <c r="K26" s="28" t="s">
        <v>94</v>
      </c>
      <c r="L26" s="28" t="s">
        <v>95</v>
      </c>
      <c r="M26" s="34"/>
      <c r="N26" s="145" t="s">
        <v>137</v>
      </c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7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139" t="s">
        <v>99</v>
      </c>
      <c r="B29" s="140"/>
      <c r="C29" s="140"/>
      <c r="D29" s="140"/>
      <c r="E29" s="140"/>
      <c r="F29" s="141"/>
      <c r="G29" s="141"/>
      <c r="H29" s="141"/>
      <c r="I29" s="141"/>
      <c r="J29" s="141"/>
      <c r="K29" s="140"/>
      <c r="L29" s="14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44826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44816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B8C129B-E78E-4227-A44F-F4B2D96F4E18}"/>
</file>

<file path=customXml/itemProps2.xml><?xml version="1.0" encoding="utf-8"?>
<ds:datastoreItem xmlns:ds="http://schemas.openxmlformats.org/officeDocument/2006/customXml" ds:itemID="{2A80A3B1-1550-4052-AA56-BFCD84A612CC}"/>
</file>

<file path=customXml/itemProps3.xml><?xml version="1.0" encoding="utf-8"?>
<ds:datastoreItem xmlns:ds="http://schemas.openxmlformats.org/officeDocument/2006/customXml" ds:itemID="{6E9CC5C9-94B9-4F39-9FB1-968A0C788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2022-08-18T01:27:43Z</cp:lastPrinted>
  <dcterms:created xsi:type="dcterms:W3CDTF">2019-11-27T23:28:06Z</dcterms:created>
  <dcterms:modified xsi:type="dcterms:W3CDTF">2022-08-22T00:50:49Z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