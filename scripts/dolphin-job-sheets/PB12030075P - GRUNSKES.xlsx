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BD9FC78A-1303-4685-8A53-F063661E4150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<sst xmlns="http://schemas.openxmlformats.org/spreadsheetml/2006/main" count="305" uniqueCount="200">
  <si>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</si>
  <si>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</si>
  <si>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</si>
  <si>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</si>
  <si>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</si>
  <si>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</si>
  <si>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</si>
  <si>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</si>
  <si>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</si>
  <si>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</si>
  <si>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</si>
  <si>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</si>
  <si>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</si>
  <si>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</si>
  <si>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</si>
  <si>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</si>
  <si>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</si>
  <si>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</si>
  <si>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</si>
  <si>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</si>
  <si>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</si>
  <si>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</si>
  <si>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</si>
  <si>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</si>
  <si>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</si>
  <si>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</si>
  <si>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</si>
  <si>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</si>
  <si>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</si>
  <si>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</si>
  <si>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</si>
  <si>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</si>
  <si>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</si>
  <si>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</si>
  <si>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</si>
  <si>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</si>
  <si>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</si>
  <si>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</si>
  <si>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</si>
  <si>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</si>
  <si>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</si>
  <si>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</si>
  <si>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</si>
  <si>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</si>
  <si>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</si>
  <si>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</si>
  <si>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</si>
  <si>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</si>
  <si>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</si>
  <si>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</si>
  <si>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</si>
  <si>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</si>
  <si>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</si>
  <si>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</si>
  <si>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</si>
  <si>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</si>
  <si>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</si>
  <si>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</si>
  <si>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</si>
  <si>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</si>
  <si>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</si>
  <si>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</si>
  <si>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</si>
  <si>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</si>
  <si>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</si>
  <si>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</si>
  <si>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</si>
  <si>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</si>
  <si>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</si>
  <si>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</si>
  <si>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</si>
  <si>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</si>
  <si>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</si>
  <si>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</si>
  <si>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</si>
  <si>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</si>
  <si>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</si>
  <si>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</si>
  <si>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</si>
  <si>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</si>
  <si>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</si>
  <si>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</si>
  <si>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</si>
  <si>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</si>
  <si>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</si>
  <si>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</si>
  <si>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</si>
  <si>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</si>
  <si>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</si>
  <si>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</si>
  <si>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</si>
  <si>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</si>
  <si>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</si>
  <si>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</si>
  <si>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</si>
  <si>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</si>
  <si>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</si>
  <si>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</si>
  <si>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</si>
  <si>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</si>
  <si>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</si>
  <si>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</si>
  <si>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</si>
  <si>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</si>
  <si>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</si>
  <si>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</si>
  <si>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</si>
  <si>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</si>
  <si>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</si>
  <si>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</si>
  <si>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</si>
  <si>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</si>
  <si>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</si>
  <si>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</si>
  <si>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</si>
  <si>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</si>
  <si>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</si>
  <si>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</si>
  <si>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</si>
  <si>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</si>
  <si>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</si>
  <si>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</si>
  <si>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</si>
  <si>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</si>
  <si>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</si>
  <si>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</si>
  <si>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</si>
  <si>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</si>
  <si>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</si>
  <si>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</si>
  <si>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</si>
  <si>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</si>
  <si>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</si>
  <si>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</si>
  <si>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</si>
  <si>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</si>
  <si>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</si>
  <si>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</si>
  <si>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</si>
  <si>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</si>
  <si>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</si>
  <si>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</si>
  <si>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</si>
  <si>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</si>
  <si>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</si>
  <si>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</si>
  <si>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</si>
  <si>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</si>
  <si>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</si>
  <si>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</si>
  <si>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</si>
  <si>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</si>
  <si>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</si>
  <si>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</si>
  <si>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</si>
  <si>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</si>
  <si>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</si>
  <si>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</si>
  <si>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</si>
  <si>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</si>
  <si>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</si>
  <si>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</si>
  <si>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</si>
  <si>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</si>
  <si>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</si>
  <si>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</si>
  <si>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</si>
  <si>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</si>
  <si>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</si>
  <si>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</si>
  <si>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</si>
  <si>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</si>
  <si>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</si>
  <si>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</si>
  <si>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</si>
  <si>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</si>
  <si>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</si>
  <si>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</si>
  <si>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</si>
  <si>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</si>
  <si>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</si>
  <si>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</si>
  <si>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</si>
  <si>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</si>
  <si>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</si>
  <si>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</si>
  <si>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</si>
  <si>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</si>
  <si>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</si>
  <si>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</si>
  <si>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</si>
  <si>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</si>
  <si>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</si>
  <si>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</si>
  <si>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MUST HAVE WATER TIGHT SEALS - PLEASE CHECK FREQUENTLY</t>
  </si>
  <si>
    <t>GRUNSKES</t>
  </si>
  <si>
    <r>
      <rPr>
        <b/>
        <sz val="16"/>
        <color rgb="FFFF0000"/>
        <rFont val="Calibri"/>
        <family val="2"/>
        <scheme val="minor"/>
      </rPr>
      <t xml:space="preserve">MUST HAVE TREATER TURNED ON - TO BE EXTRUDED ONLY - NO PRINTING/CONVERSION </t>
    </r>
    <r>
      <rPr>
        <b/>
        <sz val="16"/>
        <color theme="1"/>
        <rFont val="Calibri"/>
        <family val="2"/>
        <scheme val="minor"/>
      </rPr>
      <t xml:space="preserve">
PRINTING AND CONVERSION TO BE COMPLETED BY MASTERPRINT</t>
    </r>
  </si>
  <si>
    <t>GRUNSKES PRINT - TO BE SENT TO MASTERPRINT FOR PRINTING</t>
  </si>
  <si>
    <t xml:space="preserve"> +/- 5um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</si>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</sst>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PB12030075P</v>
      </c>
      <c r="C1" s="123"/>
      <c r="D1" s="124"/>
      <c r="E1" s="12" t="s">
        <v>57</v>
      </c>
      <c r="F1" s="134" t="s">
        <v>195</v>
      </c>
      <c r="G1" s="134"/>
      <c r="H1" s="135"/>
      <c r="I1" s="13" t="s">
        <v>181</v>
      </c>
      <c r="J1" s="136">
        <f ca="1">TODAY()</f>
        <v>44041</v>
      </c>
      <c r="K1" s="136"/>
      <c r="L1" s="137"/>
      <c r="M1" s="34"/>
      <c r="N1" s="12" t="s">
        <v>56</v>
      </c>
      <c r="O1" s="123" t="str">
        <f>B1</f>
        <v>PB12030075P</v>
      </c>
      <c r="P1" s="123"/>
      <c r="Q1" s="124"/>
      <c r="R1" s="12" t="s">
        <v>57</v>
      </c>
      <c r="S1" s="123" t="str">
        <f>F1</f>
        <v>GRUNSKES</v>
      </c>
      <c r="T1" s="123"/>
      <c r="U1" s="124"/>
      <c r="V1" s="12" t="s">
        <v>181</v>
      </c>
      <c r="W1" s="136">
        <f ca="1">J1</f>
        <v>44041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937451</v>
      </c>
      <c r="G2" s="73"/>
      <c r="H2" s="74"/>
      <c r="I2" s="12" t="s">
        <v>59</v>
      </c>
      <c r="J2" s="139">
        <v>44008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937451</v>
      </c>
      <c r="T2" s="123"/>
      <c r="U2" s="124"/>
      <c r="V2" s="12" t="s">
        <v>59</v>
      </c>
      <c r="W2" s="138">
        <f>J2</f>
        <v>44008</v>
      </c>
      <c r="X2" s="123"/>
      <c r="Y2" s="124"/>
    </row>
    <row r="3" spans="1:28" ht="20.100000000000001" customHeight="1" x14ac:dyDescent="0.2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">
        <v>194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25</v>
      </c>
      <c r="P7" s="74"/>
      <c r="Q7" s="12" t="str">
        <f>IF(ISNUMBER(SEARCH("roll",O8,1)),"Per Roll","Per Carton")</f>
        <v>Per Carton</v>
      </c>
      <c r="R7" s="73">
        <v>2000</v>
      </c>
      <c r="S7" s="74"/>
      <c r="T7" s="12" t="str">
        <f>IF(ISNUMBER(SEARCH("bag",O8,1)),"Total Bags","Total Sheets")</f>
        <v>Total Bags</v>
      </c>
      <c r="U7" s="123">
        <f>R7*O7</f>
        <v>50000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120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75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198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198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120</v>
      </c>
      <c r="S9" s="20" t="s">
        <v>78</v>
      </c>
      <c r="T9" s="35">
        <v>300</v>
      </c>
      <c r="U9" s="20" t="s">
        <v>78</v>
      </c>
      <c r="V9" s="35">
        <v>75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24</v>
      </c>
      <c r="C10" s="74"/>
      <c r="D10" s="54" t="s">
        <v>134</v>
      </c>
      <c r="E10" s="145">
        <f>IF(ISNUMBER(SEARCH("sheet",O8,1)),((R9*T9*H8/540000)*U7/2000*1.3),((R9*T9*H8/540000)*U7/1000*1.08))</f>
        <v>270</v>
      </c>
      <c r="F10" s="146"/>
      <c r="G10" s="12" t="s">
        <v>53</v>
      </c>
      <c r="H10" s="149">
        <f>IF(ISNUMBER(SEARCH("sheet",O8,1)),(U7*T9/2000*1.08),(U7*T9/1000*1.08))</f>
        <v>16200.000000000002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Yes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11.25</v>
      </c>
      <c r="F11" s="148"/>
      <c r="G11" s="12" t="s">
        <v>15</v>
      </c>
      <c r="H11" s="147">
        <f>H10/B10</f>
        <v>675.00000000000011</v>
      </c>
      <c r="I11" s="148"/>
      <c r="J11" s="12" t="s">
        <v>50</v>
      </c>
      <c r="K11" s="73" t="s">
        <v>64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>P</v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66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 t="s">
        <v>197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4" t="s">
        <v>4</v>
      </c>
      <c r="F16" s="164"/>
      <c r="G16" s="164" t="s">
        <v>5</v>
      </c>
      <c r="H16" s="164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5"/>
      <c r="B23" s="165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6"/>
      <c r="B24" s="167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199</v>
      </c>
      <c r="P25" s="39"/>
      <c r="Q25" s="10">
        <v>26</v>
      </c>
      <c r="R25" s="10">
        <v>6</v>
      </c>
      <c r="S25" s="10"/>
      <c r="T25" s="10">
        <v>6</v>
      </c>
      <c r="U25" s="10"/>
      <c r="V25" s="10"/>
      <c r="W25" s="10">
        <v>160</v>
      </c>
      <c r="X25" s="10">
        <v>160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2" t="s">
        <v>116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6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1" t="s">
        <v>136</v>
      </c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44072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44062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482C9EC-3680-4B7F-BAFD-14E9AAC1BB42}"/>
</file>

<file path=customXml/itemProps2.xml><?xml version="1.0" encoding="utf-8"?>
<ds:datastoreItem xmlns:ds="http://schemas.openxmlformats.org/officeDocument/2006/customXml" ds:itemID="{FBE617F4-C417-40B6-836C-BCEF67FE202E}"/>
</file>

<file path=customXml/itemProps3.xml><?xml version="1.0" encoding="utf-8"?>
<ds:datastoreItem xmlns:ds="http://schemas.openxmlformats.org/officeDocument/2006/customXml" ds:itemID="{AF4FF494-55A5-4D99-8909-47F0041F55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2020-05-18T05:42:08Z</cp:lastPrinted>
  <dcterms:created xsi:type="dcterms:W3CDTF">2019-11-27T23:28:06Z</dcterms:created>
  <dcterms:modified xsi:type="dcterms:W3CDTF">2020-07-28T22:12:44Z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