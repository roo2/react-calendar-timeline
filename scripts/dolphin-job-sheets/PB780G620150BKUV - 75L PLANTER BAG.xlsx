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84780A1-BE4A-4AAF-96A9-9D4A85E757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<sst xmlns="http://schemas.openxmlformats.org/spreadsheetml/2006/main" count="310" uniqueCount="206">
  <si>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</si>
  <si>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</si>
  <si>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</si>
  <si>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</si>
  <si>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</si>
  <si>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</si>
  <si>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</si>
  <si>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</si>
  <si>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</si>
  <si>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</si>
  <si>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</si>
  <si>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</si>
  <si>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</si>
  <si>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</si>
  <si>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</si>
  <si>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</si>
  <si>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</si>
  <si>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</si>
  <si>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</si>
  <si>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</si>
  <si>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</si>
  <si>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</si>
  <si>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</si>
  <si>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</si>
  <si>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</si>
  <si>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</si>
  <si>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</si>
  <si>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</si>
  <si>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</si>
  <si>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</si>
  <si>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</si>
  <si>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</si>
  <si>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</si>
  <si>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</si>
  <si>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</si>
  <si>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</si>
  <si>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</si>
  <si>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</si>
  <si>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</si>
  <si>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</si>
  <si>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</si>
  <si>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</si>
  <si>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</si>
  <si>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</si>
  <si>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</si>
  <si>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</si>
  <si>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</si>
  <si>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</si>
  <si>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</si>
  <si>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</si>
  <si>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</si>
  <si>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</si>
  <si>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</si>
  <si>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</si>
  <si>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</si>
  <si>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</si>
  <si>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</si>
  <si>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</si>
  <si>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</si>
  <si>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</si>
  <si>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</si>
  <si>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</si>
  <si>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</si>
  <si>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</si>
  <si>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</si>
  <si>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</si>
  <si>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</si>
  <si>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</si>
  <si>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</si>
  <si>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</si>
  <si>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</si>
  <si>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</si>
  <si>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</si>
  <si>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</si>
  <si>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</si>
  <si>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</si>
  <si>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</si>
  <si>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</si>
  <si>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</si>
  <si>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</si>
  <si>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</si>
  <si>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</si>
  <si>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</si>
  <si>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</si>
  <si>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</si>
  <si>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</si>
  <si>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</si>
  <si>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</si>
  <si>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</si>
  <si>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</si>
  <si>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</si>
  <si>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</si>
  <si>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</si>
  <si>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</si>
  <si>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</si>
  <si>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</si>
  <si>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</si>
  <si>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</si>
  <si>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</si>
  <si>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</si>
  <si>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</si>
  <si>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</si>
  <si>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</si>
  <si>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</si>
  <si>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</si>
  <si>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</si>
  <si>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</si>
  <si>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</si>
  <si>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</si>
  <si>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</si>
  <si>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</si>
  <si>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</si>
  <si>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</si>
  <si>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</si>
  <si>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</si>
  <si>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</si>
  <si>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</si>
  <si>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</si>
  <si>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</si>
  <si>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</si>
  <si>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</si>
  <si>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</si>
  <si>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</si>
  <si>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</si>
  <si>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</si>
  <si>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</si>
  <si>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</si>
  <si>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</si>
  <si>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</si>
  <si>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</si>
  <si>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</si>
  <si>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</si>
  <si>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</si>
  <si>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</si>
  <si>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</si>
  <si>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</si>
  <si>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</si>
  <si>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</si>
  <si>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</si>
  <si>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</si>
  <si>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</si>
  <si>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</si>
  <si>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</si>
  <si>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</si>
  <si>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</si>
  <si>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</si>
  <si>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</si>
  <si>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</si>
  <si>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</si>
  <si>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</si>
  <si>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</si>
  <si>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</si>
  <si>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</si>
  <si>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</si>
  <si>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</si>
  <si>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</si>
  <si>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</si>
  <si>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</si>
  <si>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</si>
  <si>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</si>
  <si>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</si>
  <si>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</si>
  <si>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</si>
  <si>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</si>
  <si>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</si>
  <si>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</si>
  <si>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</si>
  <si>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</si>
  <si>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</si>
  <si>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</si>
  <si>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</si>
  <si>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</si>
  <si>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</si>
  <si>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</si>
  <si>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</si>
  <si>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</si>
  <si>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</si>
  <si>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</si>
  <si>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</si>
  <si>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</si>
  <si>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</si>
  <si>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</si>
  <si>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</si>
  <si>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</si>
  <si>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</si>
  <si>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</si>
  <si>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</si>
  <si>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</si>
  <si>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</si>
  <si>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</si>
  <si>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</si>
  <si>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</si>
  <si>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</si>
  <si>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</si>
  <si>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</si>
  <si>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</si>
  <si>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ASAP</t>
  </si>
  <si>
    <t>Centrefold Roll</t>
  </si>
  <si>
    <t>RUN AT 140um</t>
  </si>
  <si>
    <t>(410+370)</t>
  </si>
  <si>
    <t>75L PLANTER BAG</t>
  </si>
  <si>
    <t>130 Meat</t>
  </si>
  <si>
    <t>150 Meat</t>
  </si>
  <si>
    <t>PERF</t>
  </si>
  <si>
    <t>01.11.2022</t>
  </si>
  <si>
    <t>MEAT CARTONS ONLY - MUST PACK IN BUNDLES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</si>
</sst>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17" fillId="5" borderId="4" xfId="0" applyFont="1" applyFill="1" applyBorder="1"/>
    <xf numFmtId="0" fontId="18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2" t="str">
        <f>O9&amp;R9&amp;IF(X8="G","G","")&amp;IF(O8="Centrefold Roll","("&amp;E8&amp;")","")&amp;T9&amp;V9&amp;C22&amp;C23&amp;C24&amp;O11&amp;R11</f>
        <v>PB780G620150BKUVV</v>
      </c>
      <c r="C1" s="112"/>
      <c r="D1" s="113"/>
      <c r="E1" s="11" t="s">
        <v>57</v>
      </c>
      <c r="F1" s="88" t="s">
        <v>193</v>
      </c>
      <c r="G1" s="88"/>
      <c r="H1" s="89"/>
      <c r="I1" s="12" t="s">
        <v>181</v>
      </c>
      <c r="J1" s="85">
        <f ca="1">TODAY()</f>
        <v>44939</v>
      </c>
      <c r="K1" s="85"/>
      <c r="L1" s="86"/>
      <c r="M1" s="30"/>
      <c r="N1" s="11" t="s">
        <v>56</v>
      </c>
      <c r="O1" s="112" t="str">
        <f>B1</f>
        <v>PB780G620150BKUVV</v>
      </c>
      <c r="P1" s="112"/>
      <c r="Q1" s="113"/>
      <c r="R1" s="11" t="s">
        <v>57</v>
      </c>
      <c r="S1" s="112" t="str">
        <f>F1</f>
        <v>HT CONCEPTS</v>
      </c>
      <c r="T1" s="112"/>
      <c r="U1" s="113"/>
      <c r="V1" s="11" t="s">
        <v>181</v>
      </c>
      <c r="W1" s="85">
        <f ca="1">J1</f>
        <v>44939</v>
      </c>
      <c r="X1" s="85"/>
      <c r="Y1" s="86"/>
    </row>
    <row r="2" spans="1:25" ht="20.100000000000001" customHeight="1" x14ac:dyDescent="0.25">
      <c r="A2" s="11" t="s">
        <v>100</v>
      </c>
      <c r="B2" s="112" t="str">
        <f>IF(U10="","",U10)</f>
        <v>75L PLANTER BAG</v>
      </c>
      <c r="C2" s="112"/>
      <c r="D2" s="113"/>
      <c r="E2" s="11" t="s">
        <v>58</v>
      </c>
      <c r="F2" s="88">
        <v>944257</v>
      </c>
      <c r="G2" s="88"/>
      <c r="H2" s="89"/>
      <c r="I2" s="11" t="s">
        <v>59</v>
      </c>
      <c r="J2" s="87" t="s">
        <v>204</v>
      </c>
      <c r="K2" s="88"/>
      <c r="L2" s="89"/>
      <c r="M2" s="30"/>
      <c r="N2" s="11" t="s">
        <v>100</v>
      </c>
      <c r="O2" s="112" t="str">
        <f>IF(B2="","",B2)</f>
        <v>75L PLANTER BAG</v>
      </c>
      <c r="P2" s="112"/>
      <c r="Q2" s="113"/>
      <c r="R2" s="11" t="s">
        <v>58</v>
      </c>
      <c r="S2" s="112">
        <f>IF(F2="","",F2)</f>
        <v>944257</v>
      </c>
      <c r="T2" s="112"/>
      <c r="U2" s="113"/>
      <c r="V2" s="11" t="s">
        <v>59</v>
      </c>
      <c r="W2" s="123" t="str">
        <f>J2</f>
        <v>01.11.2022</v>
      </c>
      <c r="X2" s="112"/>
      <c r="Y2" s="113"/>
    </row>
    <row r="3" spans="1:25" ht="20.100000000000001" customHeight="1" x14ac:dyDescent="0.25">
      <c r="A3" s="114" t="s">
        <v>192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114" t="str">
        <f>A3</f>
        <v>SPOT ON FINISH. USE DOLPHIN REMILL, MUST NOT BE BLOCKED.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30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00000000000001" customHeight="1" x14ac:dyDescent="0.3">
      <c r="A7" s="11" t="s">
        <v>49</v>
      </c>
      <c r="B7" s="109" t="s">
        <v>177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88">
        <v>25</v>
      </c>
      <c r="P7" s="89"/>
      <c r="Q7" s="11" t="str">
        <f>IF(ISNUMBER(SEARCH("roll",O8,1)),"Per Roll","Per Carton")</f>
        <v>Per Carton</v>
      </c>
      <c r="R7" s="88">
        <v>90</v>
      </c>
      <c r="S7" s="89"/>
      <c r="T7" s="11" t="str">
        <f>IF(ISNUMBER(SEARCH("bag",O8,1)),"Total Bags","Total Sheets")</f>
        <v>Total Bags</v>
      </c>
      <c r="U7" s="112">
        <f>R7*O7</f>
        <v>2250</v>
      </c>
      <c r="V7" s="113"/>
      <c r="W7" s="11" t="s">
        <v>102</v>
      </c>
      <c r="X7" s="88" t="s">
        <v>23</v>
      </c>
      <c r="Y7" s="89"/>
    </row>
    <row r="8" spans="1:25" ht="20.100000000000001" customHeight="1" x14ac:dyDescent="0.25">
      <c r="A8" s="13" t="s">
        <v>16</v>
      </c>
      <c r="B8" s="90">
        <f>R9</f>
        <v>780</v>
      </c>
      <c r="C8" s="91"/>
      <c r="D8" s="13" t="str">
        <f>IF(ISNUMBER(SEARCH("bag",O8,1)),"Gusset","Centrefold")</f>
        <v>Gusset</v>
      </c>
      <c r="E8" s="90" t="str">
        <f>IF(O8="Centrefold Roll",B8*2,IF(X9="","None",X9))</f>
        <v>(410+370)</v>
      </c>
      <c r="F8" s="91"/>
      <c r="G8" s="13" t="s">
        <v>52</v>
      </c>
      <c r="H8" s="90">
        <f>(IF(V9&lt;30,"30",V9))</f>
        <v>150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30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17" t="s">
        <v>48</v>
      </c>
      <c r="B9" s="100" t="s">
        <v>195</v>
      </c>
      <c r="C9" s="101"/>
      <c r="D9" s="108" t="str">
        <f>IF(K10="Middle","RUN 2 UP",IF(AND(O8="Centrefold Roll",B8=380),"RUN 2 UP",""))</f>
        <v/>
      </c>
      <c r="E9" s="109"/>
      <c r="F9" s="110"/>
      <c r="G9" s="17" t="s">
        <v>48</v>
      </c>
      <c r="H9" s="100" t="s">
        <v>198</v>
      </c>
      <c r="I9" s="101"/>
      <c r="J9" s="11" t="s">
        <v>55</v>
      </c>
      <c r="K9" s="88" t="s">
        <v>30</v>
      </c>
      <c r="L9" s="89"/>
      <c r="M9" s="30"/>
      <c r="N9" s="18"/>
      <c r="O9" s="128" t="str">
        <f>IF(O8="Poly Bag","PB",IF(O8="Poly Bag Roll","PBR",IF(O8="Centrefold Roll","CFR",IF(O8="Sheet","S",IF(O8="Sheet Roll","SR")))))</f>
        <v>PB</v>
      </c>
      <c r="P9" s="129"/>
      <c r="Q9" s="18"/>
      <c r="R9" s="31">
        <v>780</v>
      </c>
      <c r="S9" s="19" t="s">
        <v>78</v>
      </c>
      <c r="T9" s="31">
        <v>620</v>
      </c>
      <c r="U9" s="19" t="s">
        <v>78</v>
      </c>
      <c r="V9" s="31">
        <v>150</v>
      </c>
      <c r="W9" s="18"/>
      <c r="X9" s="137" t="s">
        <v>199</v>
      </c>
      <c r="Y9" s="138"/>
    </row>
    <row r="10" spans="1:25" ht="20.100000000000001" customHeight="1" x14ac:dyDescent="0.25">
      <c r="A10" s="11" t="s">
        <v>51</v>
      </c>
      <c r="B10" s="88">
        <v>8</v>
      </c>
      <c r="C10" s="89"/>
      <c r="D10" s="48" t="s">
        <v>134</v>
      </c>
      <c r="E10" s="102">
        <f>IF(ISNUMBER(SEARCH("sheet",O8,1)),((R9*T9*H8/540000)*U7/2000*1.3),((R9*T9*H8/540000)*U7/1000*1.08))</f>
        <v>326.43</v>
      </c>
      <c r="F10" s="103"/>
      <c r="G10" s="11" t="s">
        <v>53</v>
      </c>
      <c r="H10" s="106">
        <f>IF(ISNUMBER(SEARCH("sheet",O8,1)),(U7*T9/2000*1.08),(U7*T9/1000*1.08))</f>
        <v>1506.6000000000001</v>
      </c>
      <c r="I10" s="107"/>
      <c r="J10" s="11" t="s">
        <v>41</v>
      </c>
      <c r="K10" s="88" t="s">
        <v>44</v>
      </c>
      <c r="L10" s="89"/>
      <c r="M10" s="30"/>
      <c r="N10" s="14" t="s">
        <v>141</v>
      </c>
      <c r="O10" s="126" t="s">
        <v>188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200</v>
      </c>
      <c r="V10" s="131"/>
      <c r="W10" s="131"/>
      <c r="X10" s="131"/>
      <c r="Y10" s="132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40.803750000000001</v>
      </c>
      <c r="F11" s="105"/>
      <c r="G11" s="11" t="s">
        <v>15</v>
      </c>
      <c r="H11" s="104">
        <f>H10/B10</f>
        <v>188.32500000000002</v>
      </c>
      <c r="I11" s="105"/>
      <c r="J11" s="11" t="s">
        <v>50</v>
      </c>
      <c r="K11" s="88" t="s">
        <v>44</v>
      </c>
      <c r="L11" s="89"/>
      <c r="M11" s="30"/>
      <c r="N11" s="13"/>
      <c r="O11" s="90" t="str">
        <f>IF(O10="NONE","","V")</f>
        <v>V</v>
      </c>
      <c r="P11" s="91"/>
      <c r="Q11" s="13"/>
      <c r="R11" s="90" t="str">
        <f>IF(R10="None","","P")</f>
        <v/>
      </c>
      <c r="S11" s="91"/>
      <c r="T11" s="13"/>
      <c r="U11" s="133"/>
      <c r="V11" s="133"/>
      <c r="W11" s="133"/>
      <c r="X11" s="133"/>
      <c r="Y11" s="134"/>
    </row>
    <row r="12" spans="1:25" ht="20.100000000000001" customHeight="1" x14ac:dyDescent="0.2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30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00000000000001" customHeight="1" x14ac:dyDescent="0.25">
      <c r="A13" s="11" t="s">
        <v>68</v>
      </c>
      <c r="B13" s="88" t="s">
        <v>44</v>
      </c>
      <c r="C13" s="88"/>
      <c r="D13" s="89"/>
      <c r="E13" s="20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30"/>
      <c r="N13" s="11" t="s">
        <v>72</v>
      </c>
      <c r="O13" s="32" t="s">
        <v>77</v>
      </c>
      <c r="P13" s="11" t="s">
        <v>73</v>
      </c>
      <c r="Q13" s="21">
        <f>O7</f>
        <v>25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51" t="s">
        <v>75</v>
      </c>
      <c r="W13" s="15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30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00000000000001" customHeight="1" x14ac:dyDescent="0.2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00000000000001" customHeight="1" x14ac:dyDescent="0.25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88" t="s">
        <v>202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5" t="s">
        <v>6</v>
      </c>
      <c r="B17" s="75"/>
      <c r="C17" s="78" t="s">
        <v>147</v>
      </c>
      <c r="D17" s="79"/>
      <c r="E17" s="83"/>
      <c r="F17" s="84"/>
      <c r="G17" s="49" t="s">
        <v>81</v>
      </c>
      <c r="H17" s="33"/>
      <c r="I17" s="83"/>
      <c r="J17" s="84"/>
      <c r="K17" s="83"/>
      <c r="L17" s="84"/>
      <c r="M17" s="30"/>
      <c r="N17" s="11" t="s">
        <v>26</v>
      </c>
      <c r="O17" s="88" t="s">
        <v>37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0"/>
      <c r="Y17" s="141"/>
    </row>
    <row r="18" spans="1:25" ht="20.100000000000001" customHeight="1" x14ac:dyDescent="0.25">
      <c r="A18" s="75" t="s">
        <v>7</v>
      </c>
      <c r="B18" s="75"/>
      <c r="C18" s="78" t="s">
        <v>146</v>
      </c>
      <c r="D18" s="79"/>
      <c r="E18" s="83"/>
      <c r="F18" s="84"/>
      <c r="G18" s="49" t="s">
        <v>82</v>
      </c>
      <c r="H18" s="33"/>
      <c r="I18" s="83"/>
      <c r="J18" s="84"/>
      <c r="K18" s="83"/>
      <c r="L18" s="84"/>
      <c r="M18" s="30"/>
      <c r="N18" s="11" t="s">
        <v>101</v>
      </c>
      <c r="O18" s="88" t="s">
        <v>185</v>
      </c>
      <c r="P18" s="89"/>
      <c r="Q18" s="11" t="s">
        <v>106</v>
      </c>
      <c r="R18" s="88" t="s">
        <v>31</v>
      </c>
      <c r="S18" s="89"/>
      <c r="T18" s="22" t="s">
        <v>27</v>
      </c>
      <c r="U18" s="88" t="s">
        <v>36</v>
      </c>
      <c r="V18" s="89"/>
      <c r="W18" s="11" t="s">
        <v>109</v>
      </c>
      <c r="X18" s="140"/>
      <c r="Y18" s="141"/>
    </row>
    <row r="19" spans="1:25" ht="20.100000000000001" customHeight="1" x14ac:dyDescent="0.25">
      <c r="A19" s="75" t="s">
        <v>8</v>
      </c>
      <c r="B19" s="75"/>
      <c r="C19" s="78" t="s">
        <v>145</v>
      </c>
      <c r="D19" s="79"/>
      <c r="E19" s="83"/>
      <c r="F19" s="84"/>
      <c r="G19" s="49" t="s">
        <v>83</v>
      </c>
      <c r="H19" s="33"/>
      <c r="I19" s="83"/>
      <c r="J19" s="84"/>
      <c r="K19" s="83"/>
      <c r="L19" s="84"/>
      <c r="M19" s="30"/>
      <c r="N19" s="142" t="s">
        <v>205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00000000000001" customHeight="1" x14ac:dyDescent="0.25">
      <c r="A20" s="75" t="s">
        <v>9</v>
      </c>
      <c r="B20" s="75"/>
      <c r="C20" s="78" t="s">
        <v>144</v>
      </c>
      <c r="D20" s="79"/>
      <c r="E20" s="83"/>
      <c r="F20" s="84"/>
      <c r="G20" s="49" t="s">
        <v>84</v>
      </c>
      <c r="H20" s="33"/>
      <c r="I20" s="83"/>
      <c r="J20" s="84"/>
      <c r="K20" s="83"/>
      <c r="L20" s="84"/>
      <c r="M20" s="30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00000000000001" customHeight="1" x14ac:dyDescent="0.25">
      <c r="A21" s="75" t="s">
        <v>10</v>
      </c>
      <c r="B21" s="75"/>
      <c r="C21" s="78" t="s">
        <v>143</v>
      </c>
      <c r="D21" s="79"/>
      <c r="E21" s="83"/>
      <c r="F21" s="84"/>
      <c r="G21" s="49" t="s">
        <v>85</v>
      </c>
      <c r="H21" s="33"/>
      <c r="I21" s="83"/>
      <c r="J21" s="84"/>
      <c r="K21" s="83"/>
      <c r="L21" s="84"/>
      <c r="M21" s="30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00000000000001" customHeight="1" x14ac:dyDescent="0.25">
      <c r="A22" s="75" t="str">
        <f>(IF(B7="NATURAL","",B7))</f>
        <v>BLACK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9"/>
      <c r="E22" s="83"/>
      <c r="F22" s="84"/>
      <c r="G22" s="49" t="s">
        <v>86</v>
      </c>
      <c r="H22" s="33"/>
      <c r="I22" s="83"/>
      <c r="J22" s="84"/>
      <c r="K22" s="83"/>
      <c r="L22" s="84"/>
      <c r="M22" s="30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00000000000001" customHeight="1" x14ac:dyDescent="0.25">
      <c r="A23" s="80" t="s">
        <v>194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83"/>
      <c r="F23" s="84"/>
      <c r="G23" s="49" t="s">
        <v>87</v>
      </c>
      <c r="H23" s="33"/>
      <c r="I23" s="83"/>
      <c r="J23" s="84"/>
      <c r="K23" s="83"/>
      <c r="L23" s="84"/>
      <c r="M23" s="30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00000000000001" customHeight="1" x14ac:dyDescent="0.2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9" t="s">
        <v>88</v>
      </c>
      <c r="H24" s="33"/>
      <c r="I24" s="83"/>
      <c r="J24" s="84"/>
      <c r="K24" s="83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00000000000001" customHeight="1" x14ac:dyDescent="0.2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30"/>
      <c r="N25" s="23" t="s">
        <v>96</v>
      </c>
      <c r="O25" s="10" t="s">
        <v>203</v>
      </c>
      <c r="P25" s="35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39" t="s">
        <v>132</v>
      </c>
      <c r="H26" s="139"/>
      <c r="I26" s="139" t="s">
        <v>131</v>
      </c>
      <c r="J26" s="139"/>
      <c r="K26" s="25" t="s">
        <v>94</v>
      </c>
      <c r="L26" s="25" t="s">
        <v>95</v>
      </c>
      <c r="M26" s="30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44970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44960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197</v>
      </c>
      <c r="T19" s="1"/>
      <c r="V19" s="1"/>
    </row>
    <row r="20" spans="1:23" x14ac:dyDescent="0.2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2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2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201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202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148</v>
      </c>
    </row>
    <row r="60" spans="1:20" x14ac:dyDescent="0.25">
      <c r="A60" s="56" t="s">
        <v>149</v>
      </c>
      <c r="O60" s="1"/>
      <c r="Q60" s="1"/>
      <c r="R60" s="3"/>
      <c r="S60" s="1"/>
    </row>
    <row r="61" spans="1:20" x14ac:dyDescent="0.25">
      <c r="A61" s="56" t="s">
        <v>150</v>
      </c>
      <c r="O61" s="1"/>
      <c r="Q61" s="1"/>
      <c r="R61" s="1"/>
      <c r="S61" s="1"/>
    </row>
    <row r="62" spans="1:20" x14ac:dyDescent="0.25">
      <c r="A62" s="56" t="s">
        <v>151</v>
      </c>
      <c r="O62" s="1"/>
      <c r="Q62" s="1"/>
      <c r="R62" s="1"/>
      <c r="S62" s="1"/>
    </row>
    <row r="63" spans="1:20" x14ac:dyDescent="0.25">
      <c r="A63" s="56" t="s">
        <v>152</v>
      </c>
      <c r="O63" s="1"/>
      <c r="Q63" s="1"/>
      <c r="R63" s="1"/>
      <c r="S63" s="1"/>
      <c r="T63" s="1"/>
    </row>
    <row r="64" spans="1:20" x14ac:dyDescent="0.25">
      <c r="A64" s="56" t="s">
        <v>153</v>
      </c>
      <c r="O64" s="1"/>
      <c r="Q64" s="1"/>
      <c r="R64" s="1"/>
      <c r="S64" s="1"/>
      <c r="T64" s="1"/>
    </row>
    <row r="65" spans="1:20" x14ac:dyDescent="0.2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08826B-07E3-4954-81ED-D78C1175EFA9}"/>
</file>

<file path=customXml/itemProps2.xml><?xml version="1.0" encoding="utf-8"?>
<ds:datastoreItem xmlns:ds="http://schemas.openxmlformats.org/officeDocument/2006/customXml" ds:itemID="{2D47F2E3-5C11-439B-93F9-52FB6B867069}"/>
</file>

<file path=customXml/itemProps3.xml><?xml version="1.0" encoding="utf-8"?>
<ds:datastoreItem xmlns:ds="http://schemas.openxmlformats.org/officeDocument/2006/customXml" ds:itemID="{41799883-FCB6-45DB-84FF-476337BCF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2022-09-13T00:55:02Z</cp:lastPrinted>
  <dcterms:created xsi:type="dcterms:W3CDTF">2019-11-27T23:28:06Z</dcterms:created>
  <dcterms:modified xsi:type="dcterms:W3CDTF">2023-01-12T22:36:56Z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