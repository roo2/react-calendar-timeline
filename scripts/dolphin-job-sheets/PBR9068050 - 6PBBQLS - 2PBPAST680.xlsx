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17F164D-A9D5-4A42-90C2-9CA56FCD6E3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<sst xmlns="http://schemas.openxmlformats.org/spreadsheetml/2006/main" count="308" uniqueCount="205">
  <si>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</si>
  <si>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</si>
  <si>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</si>
  <si>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</si>
  <si>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</si>
  <si>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</si>
  <si>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</si>
  <si>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</si>
  <si>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</si>
  <si>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</si>
  <si>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</si>
  <si>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</si>
  <si>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</si>
  <si>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</si>
  <si>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</si>
  <si>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</si>
  <si>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</si>
  <si>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</si>
  <si>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</si>
  <si>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</si>
  <si>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</si>
  <si>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</si>
  <si>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</si>
  <si>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</si>
  <si>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</si>
  <si>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</si>
  <si>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</si>
  <si>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</si>
  <si>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</si>
  <si>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</si>
  <si>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</si>
  <si>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</si>
  <si>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</si>
  <si>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</si>
  <si>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</si>
  <si>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</si>
  <si>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</si>
  <si>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</si>
  <si>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</si>
  <si>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</si>
  <si>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</si>
  <si>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</si>
  <si>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</si>
  <si>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</si>
  <si>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</si>
  <si>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</si>
  <si>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</si>
  <si>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</si>
  <si>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</si>
  <si>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</si>
  <si>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</si>
  <si>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</si>
  <si>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</si>
  <si>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</si>
  <si>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</si>
  <si>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</si>
  <si>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</si>
  <si>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</si>
  <si>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</si>
  <si>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</si>
  <si>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</si>
  <si>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</si>
  <si>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</si>
  <si>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</si>
  <si>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</si>
  <si>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</si>
  <si>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</si>
  <si>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</si>
  <si>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</si>
  <si>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</si>
  <si>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</si>
  <si>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</si>
  <si>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</si>
  <si>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</si>
  <si>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</si>
  <si>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</si>
  <si>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</si>
  <si>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</si>
  <si>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</si>
  <si>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</si>
  <si>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</si>
  <si>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</si>
  <si>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</si>
  <si>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</si>
  <si>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</si>
  <si>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</si>
  <si>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</si>
  <si>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</si>
  <si>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</si>
  <si>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</si>
  <si>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</si>
  <si>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</si>
  <si>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</si>
  <si>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</si>
  <si>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</si>
  <si>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</si>
  <si>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</si>
  <si>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</si>
  <si>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</si>
  <si>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</si>
  <si>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</si>
  <si>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</si>
  <si>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</si>
  <si>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</si>
  <si>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</si>
  <si>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</si>
  <si>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</si>
  <si>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</si>
  <si>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</si>
  <si>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</si>
  <si>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</si>
  <si>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</si>
  <si>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</si>
  <si>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</si>
  <si>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</si>
  <si>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</si>
  <si>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</si>
  <si>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</si>
  <si>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</si>
  <si>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</si>
  <si>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</si>
  <si>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</si>
  <si>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</si>
  <si>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</si>
  <si>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</si>
  <si>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</si>
  <si>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</si>
  <si>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</si>
  <si>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</si>
  <si>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</si>
  <si>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</si>
  <si>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</si>
  <si>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</si>
  <si>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</si>
  <si>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</si>
  <si>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</si>
  <si>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</si>
  <si>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</si>
  <si>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</si>
  <si>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</si>
  <si>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</si>
  <si>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</si>
  <si>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</si>
  <si>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</si>
  <si>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</si>
  <si>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</si>
  <si>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</si>
  <si>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</si>
  <si>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</si>
  <si>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</si>
  <si>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</si>
  <si>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</si>
  <si>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</si>
  <si>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</si>
  <si>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</si>
  <si>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</si>
  <si>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</si>
  <si>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</si>
  <si>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</si>
  <si>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</si>
  <si>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</si>
  <si>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</si>
  <si>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</si>
  <si>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</si>
  <si>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</si>
  <si>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</si>
  <si>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</si>
  <si>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</si>
  <si>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</si>
  <si>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</si>
  <si>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</si>
  <si>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</si>
  <si>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</si>
  <si>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</si>
  <si>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</si>
  <si>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</si>
  <si>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</si>
  <si>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</si>
  <si>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</si>
  <si>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</si>
  <si>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</si>
  <si>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</si>
  <si>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</si>
  <si>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</si>
  <si>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</si>
  <si>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</si>
  <si>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</si>
  <si>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</si>
  <si>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</si>
  <si>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</si>
  <si>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</si>
  <si>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</si>
  <si>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</si>
  <si>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</si>
  <si>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</si>
  <si>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</si>
  <si>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BLACK TINT</t>
  </si>
  <si>
    <t>TRIPLE M</t>
  </si>
  <si>
    <t>"6 HINGE SEAT / ST QUICK LOCK"</t>
  </si>
  <si>
    <t>2PBPAST680</t>
  </si>
  <si>
    <t>ANTISTSTIC</t>
  </si>
  <si>
    <t>ANTIBLOCK</t>
  </si>
  <si>
    <t>LINE 1</t>
  </si>
  <si>
    <t>PERF</t>
  </si>
  <si>
    <t>VERY URGENT - CUSTOMER REQUIRES 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</si>
</sst>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PBR906805000P</v>
      </c>
      <c r="C1" s="111"/>
      <c r="D1" s="112"/>
      <c r="E1" s="10" t="s">
        <v>57</v>
      </c>
      <c r="F1" s="87" t="s">
        <v>197</v>
      </c>
      <c r="G1" s="87"/>
      <c r="H1" s="88"/>
      <c r="I1" s="11" t="s">
        <v>181</v>
      </c>
      <c r="J1" s="84">
        <f ca="1">TODAY()</f>
        <v>45534</v>
      </c>
      <c r="K1" s="84"/>
      <c r="L1" s="85"/>
      <c r="M1" s="28"/>
      <c r="N1" s="10" t="s">
        <v>56</v>
      </c>
      <c r="O1" s="111" t="str">
        <f>B1</f>
        <v>PBR906805000P</v>
      </c>
      <c r="P1" s="111"/>
      <c r="Q1" s="112"/>
      <c r="R1" s="10" t="s">
        <v>57</v>
      </c>
      <c r="S1" s="111" t="str">
        <f>F1</f>
        <v>TRIPLE M</v>
      </c>
      <c r="T1" s="111"/>
      <c r="U1" s="112"/>
      <c r="V1" s="10" t="s">
        <v>181</v>
      </c>
      <c r="W1" s="84">
        <f ca="1">J1</f>
        <v>45534</v>
      </c>
      <c r="X1" s="84"/>
      <c r="Y1" s="85"/>
    </row>
    <row r="2" spans="1:25" ht="20.149999999999999" customHeight="1" x14ac:dyDescent="0.8">
      <c r="A2" s="10" t="s">
        <v>100</v>
      </c>
      <c r="B2" s="111" t="str">
        <f>IF(U10="","",U10)</f>
        <v>2PBPAST680</v>
      </c>
      <c r="C2" s="111"/>
      <c r="D2" s="112"/>
      <c r="E2" s="10" t="s">
        <v>58</v>
      </c>
      <c r="F2" s="87">
        <v>948540</v>
      </c>
      <c r="G2" s="87"/>
      <c r="H2" s="88"/>
      <c r="I2" s="10" t="s">
        <v>59</v>
      </c>
      <c r="J2" s="86" t="s">
        <v>192</v>
      </c>
      <c r="K2" s="87"/>
      <c r="L2" s="88"/>
      <c r="M2" s="28"/>
      <c r="N2" s="10" t="s">
        <v>100</v>
      </c>
      <c r="O2" s="111" t="str">
        <f>IF(B2="","",B2)</f>
        <v>2PBPAST680</v>
      </c>
      <c r="P2" s="111"/>
      <c r="Q2" s="112"/>
      <c r="R2" s="10" t="s">
        <v>58</v>
      </c>
      <c r="S2" s="111">
        <f>IF(F2="","",F2)</f>
        <v>948540</v>
      </c>
      <c r="T2" s="111"/>
      <c r="U2" s="112"/>
      <c r="V2" s="10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204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Rolls</v>
      </c>
      <c r="O7" s="87">
        <v>14</v>
      </c>
      <c r="P7" s="88"/>
      <c r="Q7" s="10" t="str">
        <f>IF(ISNUMBER(SEARCH("roll",O8,1)),"Per Roll","Per Carton")</f>
        <v>Per Roll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14000</v>
      </c>
      <c r="V7" s="112"/>
      <c r="W7" s="10" t="s">
        <v>102</v>
      </c>
      <c r="X7" s="87" t="s">
        <v>23</v>
      </c>
      <c r="Y7" s="88"/>
    </row>
    <row r="8" spans="1:25" ht="20.149999999999999" customHeight="1" x14ac:dyDescent="0.8">
      <c r="A8" s="12" t="s">
        <v>16</v>
      </c>
      <c r="B8" s="89">
        <f>R9</f>
        <v>90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50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165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34</v>
      </c>
      <c r="L9" s="88"/>
      <c r="M9" s="28"/>
      <c r="N9" s="16"/>
      <c r="O9" s="127" t="str">
        <f>IF(O8="Poly Bag","PB",IF(O8="Poly Bag Roll","PBR",IF(O8="Centrefold Roll","CFR",IF(O8="Sheet","S",IF(O8="Sheet Roll","SR")))))</f>
        <v>PBR</v>
      </c>
      <c r="P9" s="128"/>
      <c r="Q9" s="16"/>
      <c r="R9" s="29">
        <v>90</v>
      </c>
      <c r="S9" s="17" t="s">
        <v>78</v>
      </c>
      <c r="T9" s="29">
        <v>680</v>
      </c>
      <c r="U9" s="17" t="s">
        <v>78</v>
      </c>
      <c r="V9" s="29">
        <v>50</v>
      </c>
      <c r="W9" s="16"/>
      <c r="X9" s="137"/>
      <c r="Y9" s="138"/>
    </row>
    <row r="10" spans="1:25" ht="20.149999999999999" customHeight="1" x14ac:dyDescent="0.8">
      <c r="A10" s="10" t="s">
        <v>51</v>
      </c>
      <c r="B10" s="87">
        <v>8</v>
      </c>
      <c r="C10" s="88"/>
      <c r="D10" s="46" t="s">
        <v>134</v>
      </c>
      <c r="E10" s="101">
        <f>IF(ISNUMBER(SEARCH("sheet",O8,1)),((R9*T9*H8/540000)*U7/2000*1.3),((R9*T9*H8/540000)*U7/1000*1.08))</f>
        <v>85.680000000000021</v>
      </c>
      <c r="F10" s="102"/>
      <c r="G10" s="10" t="s">
        <v>53</v>
      </c>
      <c r="H10" s="105">
        <f>IF(ISNUMBER(SEARCH("sheet",O8,1)),(U7*T9/2000*1.08),(U7*T9/1000*1.08))</f>
        <v>10281.6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199</v>
      </c>
      <c r="V10" s="130"/>
      <c r="W10" s="130"/>
      <c r="X10" s="131"/>
      <c r="Y10" s="132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10.710000000000003</v>
      </c>
      <c r="F11" s="104"/>
      <c r="G11" s="10" t="s">
        <v>15</v>
      </c>
      <c r="H11" s="103">
        <f>H10/B10</f>
        <v>1285.2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177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14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8" t="s">
        <v>198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/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/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Rolls</v>
      </c>
      <c r="U17" s="87" t="s">
        <v>31</v>
      </c>
      <c r="V17" s="88"/>
      <c r="W17" s="10" t="str">
        <f>IF(ISNUMBER(SEARCH("roll",O8,1)),"Total Rolls","Total Ctns")</f>
        <v>Total Rolls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/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200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203</v>
      </c>
      <c r="P25" s="33"/>
      <c r="Q25" s="9">
        <v>30</v>
      </c>
      <c r="R25" s="9">
        <v>9</v>
      </c>
      <c r="S25" s="9"/>
      <c r="T25" s="9">
        <v>8</v>
      </c>
      <c r="U25" s="9"/>
      <c r="V25" s="9">
        <v>3</v>
      </c>
      <c r="W25" s="9">
        <v>140</v>
      </c>
      <c r="X25" s="9">
        <v>140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9" t="s">
        <v>132</v>
      </c>
      <c r="H26" s="139"/>
      <c r="I26" s="139" t="s">
        <v>131</v>
      </c>
      <c r="J26" s="139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202</v>
      </c>
      <c r="C27" s="7"/>
      <c r="D27" s="9">
        <v>48</v>
      </c>
      <c r="E27" s="58">
        <v>5.2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45565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45555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196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  <c r="Q28" s="1"/>
      <c r="R28" s="1"/>
      <c r="S28" s="1"/>
      <c r="T28" s="1"/>
      <c r="V28" s="1"/>
      <c r="W28" s="2"/>
    </row>
    <row r="29" spans="1:23" x14ac:dyDescent="0.75">
      <c r="A29" s="54" t="s">
        <v>184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140</v>
      </c>
      <c r="U29" s="1"/>
      <c r="V29" s="1"/>
    </row>
    <row r="30" spans="1:23" x14ac:dyDescent="0.75">
      <c r="A30" s="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3"/>
      <c r="U30" s="1"/>
      <c r="V30" s="1"/>
    </row>
    <row r="31" spans="1:23" x14ac:dyDescent="0.75">
      <c r="A31" s="56" t="s">
        <v>46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6" t="s">
        <v>28</v>
      </c>
      <c r="U31" s="1"/>
      <c r="V31" s="1"/>
    </row>
    <row r="32" spans="1:23" x14ac:dyDescent="0.75">
      <c r="A32" s="5" t="s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 t="s">
        <v>168</v>
      </c>
      <c r="U32" s="1"/>
      <c r="V32" s="1"/>
    </row>
    <row r="33" spans="1:22" x14ac:dyDescent="0.75">
      <c r="A33" s="5" t="s">
        <v>34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110</v>
      </c>
      <c r="U33" s="1"/>
      <c r="V33" s="1"/>
    </row>
    <row r="34" spans="1:22" x14ac:dyDescent="0.75">
      <c r="A34" s="5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130</v>
      </c>
      <c r="U34" s="1"/>
      <c r="V34" s="1"/>
    </row>
    <row r="35" spans="1:22" x14ac:dyDescent="0.75">
      <c r="A35" s="56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150</v>
      </c>
      <c r="U35" s="1"/>
      <c r="V35" s="1"/>
    </row>
    <row r="36" spans="1:22" x14ac:dyDescent="0.75">
      <c r="A36" s="5" t="s">
        <v>44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180</v>
      </c>
      <c r="U36" s="1"/>
      <c r="V36" s="1"/>
    </row>
    <row r="37" spans="1:22" x14ac:dyDescent="0.75">
      <c r="A37" s="5" t="s">
        <v>42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75">
      <c r="A38" s="5" t="s">
        <v>43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170</v>
      </c>
      <c r="U38" s="1"/>
      <c r="V38" s="1"/>
    </row>
    <row r="39" spans="1:22" x14ac:dyDescent="0.75">
      <c r="A39" s="5" t="s">
        <v>45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38</v>
      </c>
      <c r="U39" s="1"/>
      <c r="V39" s="1"/>
    </row>
    <row r="40" spans="1:22" x14ac:dyDescent="0.75">
      <c r="A40" s="20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22" x14ac:dyDescent="0.75">
      <c r="A41" s="56" t="s">
        <v>63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 t="s">
        <v>26</v>
      </c>
    </row>
    <row r="42" spans="1:22" x14ac:dyDescent="0.75">
      <c r="A42" s="5" t="s">
        <v>44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35</v>
      </c>
    </row>
    <row r="43" spans="1:22" x14ac:dyDescent="0.75">
      <c r="A43" s="5" t="s">
        <v>65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37</v>
      </c>
    </row>
    <row r="44" spans="1:22" x14ac:dyDescent="0.75">
      <c r="A44" s="5" t="s">
        <v>64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171</v>
      </c>
    </row>
    <row r="45" spans="1:22" x14ac:dyDescent="0.7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/>
    </row>
    <row r="46" spans="1:22" x14ac:dyDescent="0.75">
      <c r="A46" s="56" t="s">
        <v>68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6" t="s">
        <v>101</v>
      </c>
    </row>
    <row r="47" spans="1:22" x14ac:dyDescent="0.75">
      <c r="A47" s="5" t="s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38</v>
      </c>
    </row>
    <row r="48" spans="1:22" x14ac:dyDescent="0.75">
      <c r="A48" s="5" t="s">
        <v>70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32</v>
      </c>
    </row>
    <row r="49" spans="1:20" x14ac:dyDescent="0.75">
      <c r="A49" s="5" t="s">
        <v>69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172</v>
      </c>
    </row>
    <row r="50" spans="1:20" x14ac:dyDescent="0.75">
      <c r="A50" s="20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183</v>
      </c>
    </row>
    <row r="51" spans="1:20" x14ac:dyDescent="0.75">
      <c r="A51" s="56" t="s">
        <v>61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185</v>
      </c>
    </row>
    <row r="52" spans="1:20" x14ac:dyDescent="0.75">
      <c r="A52" s="5" t="s">
        <v>44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20" x14ac:dyDescent="0.75">
      <c r="A53" s="5" t="s">
        <v>66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5" t="s">
        <v>173</v>
      </c>
    </row>
    <row r="54" spans="1:20" x14ac:dyDescent="0.75">
      <c r="A54" s="5" t="s">
        <v>67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31</v>
      </c>
    </row>
    <row r="55" spans="1:20" x14ac:dyDescent="0.75">
      <c r="A55" s="20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23</v>
      </c>
    </row>
    <row r="56" spans="1:20" x14ac:dyDescent="0.75">
      <c r="A56" s="55" t="s">
        <v>62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spans="1:20" x14ac:dyDescent="0.75">
      <c r="A57" s="20" t="s">
        <v>44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6" t="s">
        <v>27</v>
      </c>
    </row>
    <row r="58" spans="1:20" x14ac:dyDescent="0.75">
      <c r="A58" s="53" t="s">
        <v>177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36</v>
      </c>
      <c r="O58" s="1"/>
      <c r="P58" s="1"/>
      <c r="Q58" s="1"/>
      <c r="R58" s="1"/>
      <c r="S58" s="1"/>
      <c r="T58" s="1"/>
    </row>
    <row r="59" spans="1:20" x14ac:dyDescent="0.75">
      <c r="A59" s="54" t="s">
        <v>155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33</v>
      </c>
    </row>
    <row r="60" spans="1:20" x14ac:dyDescent="0.75">
      <c r="A60" s="54" t="s">
        <v>148</v>
      </c>
    </row>
    <row r="61" spans="1:20" x14ac:dyDescent="0.75">
      <c r="A61" s="54" t="s">
        <v>149</v>
      </c>
      <c r="O61" s="1"/>
      <c r="Q61" s="1"/>
      <c r="R61" s="3"/>
      <c r="S61" s="1"/>
    </row>
    <row r="62" spans="1:20" x14ac:dyDescent="0.75">
      <c r="A62" s="54" t="s">
        <v>150</v>
      </c>
      <c r="O62" s="1"/>
      <c r="Q62" s="1"/>
      <c r="R62" s="1"/>
      <c r="S62" s="1"/>
    </row>
    <row r="63" spans="1:20" x14ac:dyDescent="0.75">
      <c r="A63" s="54" t="s">
        <v>151</v>
      </c>
      <c r="O63" s="1"/>
      <c r="Q63" s="1"/>
      <c r="R63" s="1"/>
      <c r="S63" s="1"/>
    </row>
    <row r="64" spans="1:20" x14ac:dyDescent="0.75">
      <c r="A64" s="54" t="s">
        <v>152</v>
      </c>
      <c r="O64" s="1"/>
      <c r="Q64" s="1"/>
      <c r="R64" s="1"/>
      <c r="S64" s="1"/>
      <c r="T64" s="1"/>
    </row>
    <row r="65" spans="1:20" x14ac:dyDescent="0.75">
      <c r="A65" s="54" t="s">
        <v>153</v>
      </c>
      <c r="O65" s="1"/>
      <c r="Q65" s="1"/>
      <c r="R65" s="1"/>
      <c r="S65" s="1"/>
      <c r="T65" s="1"/>
    </row>
    <row r="66" spans="1:20" x14ac:dyDescent="0.75">
      <c r="A66" s="54" t="s">
        <v>174</v>
      </c>
      <c r="N66" s="3"/>
      <c r="O66" s="1"/>
      <c r="P66" s="1"/>
      <c r="Q66" s="1"/>
      <c r="R66" s="1"/>
      <c r="S66" s="1"/>
      <c r="T66" s="1"/>
    </row>
    <row r="67" spans="1:20" x14ac:dyDescent="0.75">
      <c r="A67" s="54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928E51E-FBCE-4140-B085-D96ACEDA4156}"/>
</file>

<file path=customXml/itemProps2.xml><?xml version="1.0" encoding="utf-8"?>
<ds:datastoreItem xmlns:ds="http://schemas.openxmlformats.org/officeDocument/2006/customXml" ds:itemID="{2E6DC151-0A25-40D4-A3D4-9F81B5F36B62}"/>
</file>

<file path=customXml/itemProps3.xml><?xml version="1.0" encoding="utf-8"?>
<ds:datastoreItem xmlns:ds="http://schemas.openxmlformats.org/officeDocument/2006/customXml" ds:itemID="{1FF73292-01AB-42EB-95BA-348ED7AD8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2024-08-29T23:33:01Z</cp:lastPrinted>
  <dcterms:created xsi:type="dcterms:W3CDTF">2019-11-27T23:28:06Z</dcterms:created>
  <dcterms:modified xsi:type="dcterms:W3CDTF">2024-08-29T23:33:04Z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