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1EC90EA-C9F5-4849-B3C6-B7BF526F61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8" i="1" l="1"/>
  <c r="C25" i="1" l="1"/>
  <c r="D9" i="1" l="1"/>
  <c r="B11" i="1" l="1"/>
  <c r="A11" i="1"/>
  <c r="D8" i="1" l="1"/>
  <c r="K8" i="1" l="1"/>
  <c r="A24" i="1" l="1"/>
  <c r="C24" i="1" s="1"/>
  <c r="B1" i="1" s="1"/>
  <c r="F16" i="1" l="1"/>
  <c r="J1" i="1" l="1"/>
  <c r="A4" i="2" l="1"/>
  <c r="A5" i="2"/>
  <c r="H10" i="1"/>
  <c r="B2" i="1" l="1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<sst xmlns="http://schemas.openxmlformats.org/spreadsheetml/2006/main" count="227" uniqueCount="168">
  <si>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</si>
  <si>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</si>
  <si>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</si>
  <si>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</si>
  <si>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</si>
  <si>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</si>
  <si>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</si>
  <si>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</si>
  <si>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</si>
  <si>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</si>
  <si>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</si>
  <si>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</si>
  <si>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</si>
  <si>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</si>
  <si>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</si>
  <si>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</si>
  <si>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</si>
  <si>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</si>
  <si>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</si>
  <si>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</si>
  <si>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</si>
  <si>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</si>
  <si>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</si>
  <si>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</si>
  <si>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</si>
  <si>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</si>
  <si>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</si>
  <si>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</si>
  <si>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</si>
  <si>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</si>
  <si>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</si>
  <si>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</si>
  <si>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</si>
  <si>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</si>
  <si>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</si>
  <si>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</si>
  <si>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</si>
  <si>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</si>
  <si>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</si>
  <si>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</si>
  <si>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</si>
  <si>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</si>
  <si>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</si>
  <si>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</si>
  <si>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</si>
  <si>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</si>
  <si>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</si>
  <si>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</si>
  <si>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</si>
  <si>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</si>
  <si>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</si>
  <si>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</si>
  <si>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</si>
  <si>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</si>
  <si>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</si>
  <si>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</si>
  <si>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</si>
  <si>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</si>
  <si>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</si>
  <si>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</si>
  <si>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</si>
  <si>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</si>
  <si>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</si>
  <si>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</si>
  <si>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</si>
  <si>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</si>
  <si>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</si>
  <si>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</si>
  <si>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</si>
  <si>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</si>
  <si>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</si>
  <si>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</si>
  <si>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</si>
  <si>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</si>
  <si>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</si>
  <si>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</si>
  <si>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</si>
  <si>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</si>
  <si>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</si>
  <si>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</si>
  <si>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</si>
  <si>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</si>
  <si>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</si>
  <si>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</si>
  <si>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</si>
  <si>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</si>
  <si>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</si>
  <si>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</si>
  <si>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</si>
  <si>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</si>
  <si>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</si>
  <si>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</si>
  <si>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</si>
  <si>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</si>
  <si>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</si>
  <si>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</si>
  <si>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</si>
  <si>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</si>
  <si>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</si>
  <si>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</si>
  <si>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</si>
  <si>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</si>
  <si>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</si>
  <si>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</si>
  <si>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</si>
  <si>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</si>
  <si>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</si>
  <si>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</si>
  <si>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</si>
  <si>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</si>
  <si>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</si>
  <si>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</si>
  <si>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</si>
  <si>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</si>
  <si>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</si>
  <si>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</si>
  <si>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</si>
  <si>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</si>
  <si>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</si>
  <si>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</si>
  <si>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</si>
  <si>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</si>
  <si>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</si>
  <si>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</si>
  <si>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</si>
  <si>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</si>
  <si>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</si>
  <si>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</si>
  <si>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</si>
  <si>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</si>
  <si>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</si>
  <si>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</si>
  <si>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</si>
  <si>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</si>
  <si>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</si>
  <si>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</si>
  <si>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</si>
  <si>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</si>
  <si>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</si>
  <si>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</si>
  <si>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</si>
  <si>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</si>
  <si>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</si>
  <si>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</si>
  <si>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</si>
  <si>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</si>
  <si>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</si>
  <si>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</si>
  <si>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</si>
  <si>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</si>
  <si>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</si>
  <si>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</si>
  <si>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</si>
  <si>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</si>
  <si>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</si>
  <si>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</si>
  <si>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</si>
  <si>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</si>
  <si>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</si>
  <si>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</si>
  <si>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</si>
  <si>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</si>
  <si>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</si>
  <si>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</si>
  <si>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HYQUAL</t>
  </si>
  <si>
    <t>%</t>
  </si>
  <si>
    <t>#65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</si>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</sst>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5" sqref="E25:F25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SR915100WH</v>
      </c>
      <c r="C1" s="61"/>
      <c r="D1" s="62"/>
      <c r="E1" s="10" t="s">
        <v>55</v>
      </c>
      <c r="F1" s="51" t="s">
        <v>164</v>
      </c>
      <c r="G1" s="51"/>
      <c r="H1" s="52"/>
      <c r="I1" s="10" t="s">
        <v>148</v>
      </c>
      <c r="J1" s="76">
        <f ca="1">TODAY()</f>
        <v>46038</v>
      </c>
      <c r="K1" s="76"/>
      <c r="L1" s="77"/>
    </row>
    <row r="2" spans="1:14" ht="20.100000000000001" customHeight="1" x14ac:dyDescent="0.25">
      <c r="A2" s="10" t="s">
        <v>94</v>
      </c>
      <c r="B2" s="65" t="str">
        <f>(ROUNDUP(E11,0)&amp;"KG")&amp;" "&amp;(ROUNDUP(H11,0)&amp;"M")</f>
        <v>17KG 200M</v>
      </c>
      <c r="C2" s="65"/>
      <c r="D2" s="66"/>
      <c r="E2" s="10" t="s">
        <v>56</v>
      </c>
      <c r="F2" s="51">
        <v>936757</v>
      </c>
      <c r="G2" s="51"/>
      <c r="H2" s="52"/>
      <c r="I2" s="10" t="s">
        <v>57</v>
      </c>
      <c r="J2" s="78">
        <v>43941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0" t="s">
        <v>158</v>
      </c>
      <c r="B7" s="51" t="s">
        <v>160</v>
      </c>
      <c r="C7" s="52"/>
      <c r="D7" s="10" t="s">
        <v>47</v>
      </c>
      <c r="E7" s="107" t="s">
        <v>123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1" t="s">
        <v>14</v>
      </c>
      <c r="B8" s="97">
        <v>915</v>
      </c>
      <c r="C8" s="98"/>
      <c r="D8" s="11" t="str">
        <f>IF(B7="Tube","Gusset","Centrefold")</f>
        <v>Centrefold</v>
      </c>
      <c r="E8" s="93" t="str">
        <f>IF(B7="Cont Centrefold",B8*2,"")</f>
        <v/>
      </c>
      <c r="F8" s="94"/>
      <c r="G8" s="11" t="s">
        <v>50</v>
      </c>
      <c r="H8" s="97">
        <v>100</v>
      </c>
      <c r="I8" s="98"/>
      <c r="J8" s="10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2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2" t="s">
        <v>46</v>
      </c>
      <c r="H9" s="81" t="s">
        <v>146</v>
      </c>
      <c r="I9" s="82"/>
      <c r="J9" s="10" t="s">
        <v>53</v>
      </c>
      <c r="K9" s="51" t="s">
        <v>28</v>
      </c>
      <c r="L9" s="52"/>
    </row>
    <row r="10" spans="1:14" ht="20.100000000000001" customHeight="1" x14ac:dyDescent="0.25">
      <c r="A10" s="10" t="s">
        <v>49</v>
      </c>
      <c r="B10" s="51">
        <v>5</v>
      </c>
      <c r="C10" s="52"/>
      <c r="D10" s="35" t="s">
        <v>104</v>
      </c>
      <c r="E10" s="85">
        <f>E11*B10*2</f>
        <v>169.44444444444443</v>
      </c>
      <c r="F10" s="86"/>
      <c r="G10" s="10" t="s">
        <v>51</v>
      </c>
      <c r="H10" s="65">
        <f>H11*B10</f>
        <v>1000</v>
      </c>
      <c r="I10" s="66"/>
      <c r="J10" s="10" t="s">
        <v>39</v>
      </c>
      <c r="K10" s="51" t="s">
        <v>41</v>
      </c>
      <c r="L10" s="52"/>
    </row>
    <row r="11" spans="1:14" s="42" customFormat="1" ht="20.100000000000001" customHeight="1" x14ac:dyDescent="0.25">
      <c r="A11" s="41" t="str">
        <f>IF(B7="Cont Sheet Roll","Sheet Rolls",IF(B7="Cont Centrefold","CF Rolls",""))</f>
        <v>Sheet Rolls</v>
      </c>
      <c r="B11" s="83">
        <f>IF(AND(B7="Cont Centrefold",D9="RUN 2 UP"),B10*2,IF(B7="Cont Centrefold",B10,IF(B7="Cont Sheet Roll",B10*2,"")))</f>
        <v>10</v>
      </c>
      <c r="C11" s="84"/>
      <c r="D11" s="41" t="s">
        <v>105</v>
      </c>
      <c r="E11" s="87">
        <f>IF(D9="RUN 2 UP",(B8*H8*H11/540000),(B8*H8*H11/540000)/2)</f>
        <v>16.944444444444443</v>
      </c>
      <c r="F11" s="88"/>
      <c r="G11" s="41" t="s">
        <v>13</v>
      </c>
      <c r="H11" s="89">
        <v>200</v>
      </c>
      <c r="I11" s="90"/>
      <c r="J11" s="41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0" t="s">
        <v>59</v>
      </c>
      <c r="B13" s="51" t="s">
        <v>42</v>
      </c>
      <c r="C13" s="51"/>
      <c r="D13" s="52"/>
      <c r="E13" s="13" t="s">
        <v>60</v>
      </c>
      <c r="F13" s="51" t="s">
        <v>42</v>
      </c>
      <c r="G13" s="51"/>
      <c r="H13" s="52"/>
      <c r="I13" s="10" t="s">
        <v>61</v>
      </c>
      <c r="J13" s="51" t="s">
        <v>42</v>
      </c>
      <c r="K13" s="51"/>
      <c r="L13" s="52"/>
    </row>
    <row r="14" spans="1:14" ht="20.100000000000001" customHeight="1" x14ac:dyDescent="0.3">
      <c r="A14" s="11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0" t="s">
        <v>71</v>
      </c>
      <c r="B16" s="51" t="s">
        <v>75</v>
      </c>
      <c r="C16" s="51"/>
      <c r="D16" s="52"/>
      <c r="E16" s="10" t="s">
        <v>72</v>
      </c>
      <c r="F16" s="61">
        <f>B10</f>
        <v>5</v>
      </c>
      <c r="G16" s="61"/>
      <c r="H16" s="62"/>
      <c r="I16" s="10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9" t="s">
        <v>76</v>
      </c>
      <c r="H19" s="30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9" t="s">
        <v>77</v>
      </c>
      <c r="H20" s="30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9" t="s">
        <v>78</v>
      </c>
      <c r="H21" s="30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9" t="s">
        <v>79</v>
      </c>
      <c r="H22" s="30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9" t="s">
        <v>80</v>
      </c>
      <c r="H23" s="30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>WHITE</v>
      </c>
      <c r="B24" s="49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WH</v>
      </c>
      <c r="D24" s="64"/>
      <c r="E24" s="103" t="s">
        <v>165</v>
      </c>
      <c r="F24" s="104"/>
      <c r="G24" s="9" t="s">
        <v>81</v>
      </c>
      <c r="H24" s="30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4"/>
      <c r="E25" s="103" t="s">
        <v>167</v>
      </c>
      <c r="F25" s="104"/>
      <c r="G25" s="9" t="s">
        <v>82</v>
      </c>
      <c r="H25" s="30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50" t="s">
        <v>103</v>
      </c>
      <c r="H27" s="50"/>
      <c r="I27" s="50" t="s">
        <v>102</v>
      </c>
      <c r="J27" s="50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166</v>
      </c>
      <c r="C28" s="6"/>
      <c r="D28" s="22">
        <v>68</v>
      </c>
      <c r="E28" s="44">
        <v>3</v>
      </c>
      <c r="F28" s="6"/>
      <c r="G28" s="45"/>
      <c r="H28" s="45"/>
      <c r="I28" s="45"/>
      <c r="J28" s="45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45"/>
      <c r="H29" s="45"/>
      <c r="I29" s="45"/>
      <c r="J29" s="45"/>
      <c r="K29" s="6"/>
      <c r="L29" s="22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46069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46059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A6B46D1-DFDE-4828-ADF6-3B8A8F2DA20D}"/>
</file>

<file path=customXml/itemProps2.xml><?xml version="1.0" encoding="utf-8"?>
<ds:datastoreItem xmlns:ds="http://schemas.openxmlformats.org/officeDocument/2006/customXml" ds:itemID="{3E9F25AB-32A4-44AA-970D-56D91EECC4EB}"/>
</file>

<file path=customXml/itemProps3.xml><?xml version="1.0" encoding="utf-8"?>
<ds:datastoreItem xmlns:ds="http://schemas.openxmlformats.org/officeDocument/2006/customXml" ds:itemID="{9A3DB04B-FFA6-4AE8-A477-0B05C97A21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2020-04-28T22:42:00Z</cp:lastPrinted>
  <dcterms:created xsi:type="dcterms:W3CDTF">2019-11-27T23:28:06Z</dcterms:created>
  <dcterms:modified xsi:type="dcterms:W3CDTF">2026-01-16T01:02:38Z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