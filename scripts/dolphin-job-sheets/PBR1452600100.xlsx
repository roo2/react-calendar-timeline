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F30B883-6926-467B-8FDD-6A2D3D1C431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<sst xmlns="http://schemas.openxmlformats.org/spreadsheetml/2006/main" count="302" uniqueCount="200">
  <si>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</si>
  <si>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</si>
  <si>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</si>
  <si>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</si>
  <si>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</si>
  <si>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</si>
  <si>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</si>
  <si>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</si>
  <si>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</si>
  <si>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</si>
  <si>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</si>
  <si>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</si>
  <si>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</si>
  <si>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</si>
  <si>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</si>
  <si>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</si>
  <si>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</si>
  <si>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</si>
  <si>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</si>
  <si>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</si>
  <si>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</si>
  <si>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</si>
  <si>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</si>
  <si>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</si>
  <si>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</si>
  <si>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</si>
  <si>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</si>
  <si>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</si>
  <si>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</si>
  <si>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</si>
  <si>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</si>
  <si>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</si>
  <si>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</si>
  <si>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</si>
  <si>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</si>
  <si>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</si>
  <si>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</si>
  <si>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</si>
  <si>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</si>
  <si>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</si>
  <si>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</si>
  <si>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</si>
  <si>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</si>
  <si>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</si>
  <si>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</si>
  <si>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</si>
  <si>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</si>
  <si>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</si>
  <si>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</si>
  <si>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</si>
  <si>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</si>
  <si>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</si>
  <si>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</si>
  <si>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</si>
  <si>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</si>
  <si>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</si>
  <si>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</si>
  <si>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</si>
  <si>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</si>
  <si>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</si>
  <si>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</si>
  <si>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</si>
  <si>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</si>
  <si>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</si>
  <si>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</si>
  <si>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</si>
  <si>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</si>
  <si>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</si>
  <si>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</si>
  <si>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</si>
  <si>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</si>
  <si>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</si>
  <si>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</si>
  <si>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</si>
  <si>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</si>
  <si>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</si>
  <si>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</si>
  <si>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</si>
  <si>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</si>
  <si>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</si>
  <si>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</si>
  <si>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</si>
  <si>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</si>
  <si>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</si>
  <si>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</si>
  <si>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</si>
  <si>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</si>
  <si>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</si>
  <si>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</si>
  <si>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</si>
  <si>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</si>
  <si>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</si>
  <si>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</si>
  <si>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</si>
  <si>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</si>
  <si>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</si>
  <si>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</si>
  <si>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</si>
  <si>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</si>
  <si>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</si>
  <si>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</si>
  <si>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</si>
  <si>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</si>
  <si>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</si>
  <si>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</si>
  <si>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</si>
  <si>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</si>
  <si>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</si>
  <si>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</si>
  <si>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</si>
  <si>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</si>
  <si>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</si>
  <si>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</si>
  <si>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</si>
  <si>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</si>
  <si>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</si>
  <si>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</si>
  <si>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</si>
  <si>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</si>
  <si>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</si>
  <si>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</si>
  <si>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</si>
  <si>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</si>
  <si>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</si>
  <si>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</si>
  <si>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</si>
  <si>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</si>
  <si>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</si>
  <si>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</si>
  <si>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</si>
  <si>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</si>
  <si>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</si>
  <si>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</si>
  <si>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</si>
  <si>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</si>
  <si>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</si>
  <si>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</si>
  <si>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</si>
  <si>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</si>
  <si>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</si>
  <si>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</si>
  <si>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</si>
  <si>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</si>
  <si>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</si>
  <si>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</si>
  <si>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</si>
  <si>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</si>
  <si>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</si>
  <si>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</si>
  <si>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</si>
  <si>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</si>
  <si>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</si>
  <si>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</si>
  <si>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</si>
  <si>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</si>
  <si>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</si>
  <si>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</si>
  <si>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</si>
  <si>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</si>
  <si>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</si>
  <si>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</si>
  <si>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</si>
  <si>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</si>
  <si>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</si>
  <si>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</si>
  <si>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</si>
  <si>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</si>
  <si>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</si>
  <si>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</si>
  <si>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</si>
  <si>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</si>
  <si>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</si>
  <si>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</si>
  <si>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</si>
  <si>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</si>
  <si>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</si>
  <si>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</si>
  <si>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</si>
  <si>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</si>
  <si>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</si>
  <si>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</si>
  <si>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</si>
  <si>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</si>
  <si>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</si>
  <si>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</si>
  <si>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</si>
  <si>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</si>
  <si>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</si>
  <si>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</si>
  <si>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</si>
  <si>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</si>
  <si>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</si>
  <si>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</si>
  <si>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</si>
  <si>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</si>
  <si>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</si>
  <si>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FROMM PACKAGING</t>
  </si>
  <si>
    <t>RUN AT 95um</t>
  </si>
  <si>
    <t>NO DOLPHIN LABELS OR PAPERWORK  MUST BE BY DUE DATE - NO EXCEPTIONS</t>
  </si>
  <si>
    <t>20.12.2022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</si>
</sst>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B14" sqref="AB14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PBR1452600100</v>
      </c>
      <c r="C1" s="95"/>
      <c r="D1" s="96"/>
      <c r="E1" s="16" t="s">
        <v>56</v>
      </c>
      <c r="F1" s="61" t="s">
        <v>196</v>
      </c>
      <c r="G1" s="61"/>
      <c r="H1" s="62"/>
      <c r="I1" s="16" t="s">
        <v>180</v>
      </c>
      <c r="J1" s="106">
        <f ca="1">TODAY()</f>
        <v>44848</v>
      </c>
      <c r="K1" s="106"/>
      <c r="L1" s="107"/>
      <c r="M1" s="30"/>
      <c r="N1" s="16" t="s">
        <v>55</v>
      </c>
      <c r="O1" s="95" t="str">
        <f>B1</f>
        <v>PBR1452600100</v>
      </c>
      <c r="P1" s="95"/>
      <c r="Q1" s="96"/>
      <c r="R1" s="16" t="s">
        <v>56</v>
      </c>
      <c r="S1" s="95" t="str">
        <f>F1</f>
        <v>FROMM PACKAGING</v>
      </c>
      <c r="T1" s="95"/>
      <c r="U1" s="96"/>
      <c r="V1" s="16" t="s">
        <v>180</v>
      </c>
      <c r="W1" s="106">
        <f ca="1">J1</f>
        <v>44848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/>
      </c>
      <c r="C2" s="95"/>
      <c r="D2" s="96"/>
      <c r="E2" s="16" t="s">
        <v>57</v>
      </c>
      <c r="F2" s="61">
        <v>944450</v>
      </c>
      <c r="G2" s="61"/>
      <c r="H2" s="62"/>
      <c r="I2" s="16" t="s">
        <v>58</v>
      </c>
      <c r="J2" s="125" t="s">
        <v>199</v>
      </c>
      <c r="K2" s="61"/>
      <c r="L2" s="62"/>
      <c r="M2" s="30"/>
      <c r="N2" s="16" t="s">
        <v>99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944450</v>
      </c>
      <c r="T2" s="95"/>
      <c r="U2" s="96"/>
      <c r="V2" s="16" t="s">
        <v>58</v>
      </c>
      <c r="W2" s="108" t="str">
        <f>J2</f>
        <v>20.12.2022</v>
      </c>
      <c r="X2" s="95"/>
      <c r="Y2" s="96"/>
    </row>
    <row r="3" spans="1:25" ht="20.149999999999999" customHeight="1" x14ac:dyDescent="0.75">
      <c r="A3" s="114" t="s">
        <v>198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97" t="str">
        <f>A3</f>
        <v>NO DOLPHIN LABELS OR PAPERWORK  MUST BE BY DUE DATE - NO EXCEPTIONS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30</v>
      </c>
      <c r="P7" s="62"/>
      <c r="Q7" s="16" t="str">
        <f>IF(ISNUMBER(SEARCH("roll",O8,1)),"Per Roll","Per Carton")</f>
        <v>Per Roll</v>
      </c>
      <c r="R7" s="61">
        <v>200</v>
      </c>
      <c r="S7" s="62"/>
      <c r="T7" s="16" t="str">
        <f>IF(ISNUMBER(SEARCH("bag",O8,1)),"Total Bags","Total Sheets")</f>
        <v>Total Bags</v>
      </c>
      <c r="U7" s="95">
        <f>R7*O7</f>
        <v>6000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23">
        <f>R9</f>
        <v>145</v>
      </c>
      <c r="C8" s="124"/>
      <c r="D8" s="20" t="str">
        <f>IF(ISNUMBER(SEARCH("bag",#REF!,1)),"Gusset","Centrefold")</f>
        <v>Centrefold</v>
      </c>
      <c r="E8" s="123" t="str">
        <f>IF(O8="Centrefold Roll",B8*2,IF(X9="","None",X9))</f>
        <v>None</v>
      </c>
      <c r="F8" s="124"/>
      <c r="G8" s="17" t="s">
        <v>51</v>
      </c>
      <c r="H8" s="123">
        <f>(IF(V9&lt;30,"30",V9))</f>
        <v>100</v>
      </c>
      <c r="I8" s="124"/>
      <c r="J8" s="16" t="s">
        <v>53</v>
      </c>
      <c r="K8" s="95" t="str">
        <f>IF(X8="None","Layflat Tube",IF(X8="","Layflat Tube",IF(X8="CF","Layflat Tube",IF(X8="G","Gusset Tube",IF(X9="","Layflat Tube",)))))</f>
        <v>Layflat Tube</v>
      </c>
      <c r="L8" s="96"/>
      <c r="M8" s="30"/>
      <c r="N8" s="18" t="s">
        <v>53</v>
      </c>
      <c r="O8" s="132" t="s">
        <v>164</v>
      </c>
      <c r="P8" s="133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5" ht="20.149999999999999" customHeight="1" x14ac:dyDescent="0.9">
      <c r="A9" s="21" t="s">
        <v>47</v>
      </c>
      <c r="B9" s="138" t="s">
        <v>194</v>
      </c>
      <c r="C9" s="139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38" t="s">
        <v>197</v>
      </c>
      <c r="I9" s="139"/>
      <c r="J9" s="16" t="s">
        <v>54</v>
      </c>
      <c r="K9" s="61" t="s">
        <v>33</v>
      </c>
      <c r="L9" s="62"/>
      <c r="M9" s="30"/>
      <c r="N9" s="22"/>
      <c r="O9" s="146" t="str">
        <f>IF(O8="Poly Bag","PB",IF(O8="Poly Bag Roll","PBR",IF(O8="Centrefold Roll","CFR",IF(O8="Sheet","S",IF(O8="Sheet Roll","SR")))))</f>
        <v>PBR</v>
      </c>
      <c r="P9" s="147"/>
      <c r="Q9" s="22"/>
      <c r="R9" s="31">
        <v>145</v>
      </c>
      <c r="S9" s="23" t="s">
        <v>77</v>
      </c>
      <c r="T9" s="31">
        <v>2600</v>
      </c>
      <c r="U9" s="23" t="s">
        <v>77</v>
      </c>
      <c r="V9" s="31">
        <v>100</v>
      </c>
      <c r="W9" s="22"/>
      <c r="X9" s="130"/>
      <c r="Y9" s="131"/>
    </row>
    <row r="10" spans="1:25" ht="20.149999999999999" customHeight="1" x14ac:dyDescent="0.8">
      <c r="A10" s="16" t="s">
        <v>50</v>
      </c>
      <c r="B10" s="61">
        <v>30</v>
      </c>
      <c r="C10" s="62"/>
      <c r="D10" s="49" t="s">
        <v>133</v>
      </c>
      <c r="E10" s="140">
        <f>IF(ISNUMBER(SEARCH("sheet",O8,1)),((R9*T9*H8/540000)*U7/2000*1.3),((R9*T9*H8/540000)*U7/1000*1.08))</f>
        <v>452.4</v>
      </c>
      <c r="F10" s="141"/>
      <c r="G10" s="16" t="s">
        <v>52</v>
      </c>
      <c r="H10" s="144">
        <f>IF(ISNUMBER(SEARCH("sheet",O8,1)),(U7*T9/2000*1.08),(U7*T9/1000*1.08))</f>
        <v>16848</v>
      </c>
      <c r="I10" s="145"/>
      <c r="J10" s="16" t="s">
        <v>40</v>
      </c>
      <c r="K10" s="61" t="s">
        <v>43</v>
      </c>
      <c r="L10" s="62"/>
      <c r="M10" s="30"/>
      <c r="N10" s="18" t="s">
        <v>140</v>
      </c>
      <c r="O10" s="132" t="s">
        <v>43</v>
      </c>
      <c r="P10" s="133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99</v>
      </c>
      <c r="U10" s="126"/>
      <c r="V10" s="126"/>
      <c r="W10" s="126"/>
      <c r="X10" s="126"/>
      <c r="Y10" s="12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42">
        <f>E10/B10</f>
        <v>15.08</v>
      </c>
      <c r="F11" s="143"/>
      <c r="G11" s="16" t="s">
        <v>14</v>
      </c>
      <c r="H11" s="142">
        <f>H10/B10</f>
        <v>561.6</v>
      </c>
      <c r="I11" s="143"/>
      <c r="J11" s="16" t="s">
        <v>49</v>
      </c>
      <c r="K11" s="61" t="s">
        <v>43</v>
      </c>
      <c r="L11" s="62"/>
      <c r="M11" s="30"/>
      <c r="N11" s="17"/>
      <c r="O11" s="123" t="str">
        <f>IF(O10="NONE","","V")</f>
        <v/>
      </c>
      <c r="P11" s="124"/>
      <c r="Q11" s="17"/>
      <c r="R11" s="123" t="str">
        <f>IF(R10="None","","P")</f>
        <v/>
      </c>
      <c r="S11" s="123"/>
      <c r="T11" s="17"/>
      <c r="U11" s="128"/>
      <c r="V11" s="128"/>
      <c r="W11" s="128"/>
      <c r="X11" s="128"/>
      <c r="Y11" s="129"/>
    </row>
    <row r="12" spans="1:25" ht="20.149999999999999" customHeight="1" x14ac:dyDescent="0.75">
      <c r="A12" s="134" t="s">
        <v>12</v>
      </c>
      <c r="B12" s="135"/>
      <c r="C12" s="135"/>
      <c r="D12" s="135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30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22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53"/>
      <c r="J17" s="154"/>
      <c r="K17" s="153"/>
      <c r="L17" s="154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53"/>
      <c r="J18" s="154"/>
      <c r="K18" s="153"/>
      <c r="L18" s="154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53"/>
      <c r="J19" s="154"/>
      <c r="K19" s="153"/>
      <c r="L19" s="154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53"/>
      <c r="J20" s="154"/>
      <c r="K20" s="153"/>
      <c r="L20" s="154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53"/>
      <c r="J21" s="154"/>
      <c r="K21" s="153"/>
      <c r="L21" s="154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53"/>
      <c r="J22" s="154"/>
      <c r="K22" s="153"/>
      <c r="L22" s="154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8"/>
      <c r="B23" s="148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53"/>
      <c r="J23" s="154"/>
      <c r="K23" s="153"/>
      <c r="L23" s="154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9"/>
      <c r="B24" s="150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53"/>
      <c r="J24" s="154"/>
      <c r="K24" s="153"/>
      <c r="L24" s="154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52"/>
      <c r="H27" s="152"/>
      <c r="I27" s="152"/>
      <c r="J27" s="152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52"/>
      <c r="H28" s="152"/>
      <c r="I28" s="152"/>
      <c r="J28" s="15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34" t="s">
        <v>98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51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44879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44869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B8A6CBE-2A92-440C-AA0E-D05C9362C1B7}"/>
</file>

<file path=customXml/itemProps2.xml><?xml version="1.0" encoding="utf-8"?>
<ds:datastoreItem xmlns:ds="http://schemas.openxmlformats.org/officeDocument/2006/customXml" ds:itemID="{224FF7BD-DDDB-48F8-A2E5-6858E1CA5E8F}"/>
</file>

<file path=customXml/itemProps3.xml><?xml version="1.0" encoding="utf-8"?>
<ds:datastoreItem xmlns:ds="http://schemas.openxmlformats.org/officeDocument/2006/customXml" ds:itemID="{133BF316-8E91-44F4-95DB-2175EF9E1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2022-10-14T00:52:47Z</cp:lastPrinted>
  <dcterms:created xsi:type="dcterms:W3CDTF">2019-11-27T23:28:06Z</dcterms:created>
  <dcterms:modified xsi:type="dcterms:W3CDTF">2022-10-14T00:59:53Z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