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6EC026A-5046-4864-84FD-790055428F7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<sst xmlns="http://schemas.openxmlformats.org/spreadsheetml/2006/main" count="305" uniqueCount="201">
  <si>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</si>
  <si>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</si>
  <si>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</si>
  <si>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</si>
  <si>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</si>
  <si>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</si>
  <si>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</si>
  <si>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</si>
  <si>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</si>
  <si>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</si>
  <si>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</si>
  <si>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</si>
  <si>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</si>
  <si>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</si>
  <si>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</si>
  <si>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</si>
  <si>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</si>
  <si>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</si>
  <si>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</si>
  <si>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</si>
  <si>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</si>
  <si>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</si>
  <si>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</si>
  <si>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</si>
  <si>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</si>
  <si>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</si>
  <si>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</si>
  <si>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</si>
  <si>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</si>
  <si>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</si>
  <si>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</si>
  <si>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</si>
  <si>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</si>
  <si>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</si>
  <si>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</si>
  <si>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</si>
  <si>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</si>
  <si>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</si>
  <si>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</si>
  <si>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</si>
  <si>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</si>
  <si>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</si>
  <si>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</si>
  <si>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</si>
  <si>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</si>
  <si>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</si>
  <si>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</si>
  <si>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</si>
  <si>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</si>
  <si>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</si>
  <si>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</si>
  <si>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</si>
  <si>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</si>
  <si>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</si>
  <si>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</si>
  <si>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</si>
  <si>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</si>
  <si>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</si>
  <si>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</si>
  <si>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</si>
  <si>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</si>
  <si>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</si>
  <si>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</si>
  <si>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</si>
  <si>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</si>
  <si>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</si>
  <si>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</si>
  <si>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</si>
  <si>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</si>
  <si>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</si>
  <si>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</si>
  <si>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</si>
  <si>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</si>
  <si>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</si>
  <si>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</si>
  <si>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</si>
  <si>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</si>
  <si>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</si>
  <si>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</si>
  <si>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</si>
  <si>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</si>
  <si>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</si>
  <si>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</si>
  <si>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</si>
  <si>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</si>
  <si>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</si>
  <si>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</si>
  <si>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</si>
  <si>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</si>
  <si>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</si>
  <si>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</si>
  <si>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</si>
  <si>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</si>
  <si>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</si>
  <si>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</si>
  <si>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</si>
  <si>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</si>
  <si>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</si>
  <si>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</si>
  <si>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</si>
  <si>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</si>
  <si>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</si>
  <si>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</si>
  <si>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</si>
  <si>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</si>
  <si>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</si>
  <si>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</si>
  <si>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</si>
  <si>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</si>
  <si>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</si>
  <si>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</si>
  <si>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</si>
  <si>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</si>
  <si>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</si>
  <si>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</si>
  <si>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</si>
  <si>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</si>
  <si>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</si>
  <si>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</si>
  <si>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</si>
  <si>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</si>
  <si>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</si>
  <si>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</si>
  <si>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</si>
  <si>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</si>
  <si>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</si>
  <si>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</si>
  <si>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</si>
  <si>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</si>
  <si>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</si>
  <si>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</si>
  <si>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</si>
  <si>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</si>
  <si>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</si>
  <si>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</si>
  <si>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</si>
  <si>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</si>
  <si>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</si>
  <si>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</si>
  <si>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</si>
  <si>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</si>
  <si>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</si>
  <si>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</si>
  <si>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</si>
  <si>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</si>
  <si>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</si>
  <si>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</si>
  <si>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</si>
  <si>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</si>
  <si>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</si>
  <si>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</si>
  <si>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</si>
  <si>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</si>
  <si>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</si>
  <si>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</si>
  <si>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</si>
  <si>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</si>
  <si>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</si>
  <si>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</si>
  <si>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</si>
  <si>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</si>
  <si>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</si>
  <si>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</si>
  <si>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</si>
  <si>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</si>
  <si>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</si>
  <si>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</si>
  <si>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</si>
  <si>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</si>
  <si>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</si>
  <si>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</si>
  <si>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</si>
  <si>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</si>
  <si>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</si>
  <si>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</si>
  <si>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</si>
  <si>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</si>
  <si>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</si>
  <si>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</si>
  <si>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</si>
  <si>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</si>
  <si>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</si>
  <si>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</si>
  <si>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</si>
  <si>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</si>
  <si>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</si>
  <si>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</si>
  <si>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</si>
  <si>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</si>
  <si>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</si>
  <si>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</si>
  <si>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</si>
  <si>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</si>
  <si>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</si>
  <si>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</si>
  <si>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</si>
  <si>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KAZZI KOVERS</t>
  </si>
  <si>
    <t>"KAZZI KOVERS"</t>
  </si>
  <si>
    <t xml:space="preserve"> </t>
  </si>
  <si>
    <t>MUST HAVE 8MM VENT HOLE ABOVE LOGO. LOGO TO START 20MM FROM SEAL VENT IN CENTRE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</si>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</sst>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7" fillId="0" borderId="7" xfId="2" applyFont="1" applyFill="1" applyBorder="1" applyAlignment="1" applyProtection="1">
      <alignment horizontal="left" vertical="top" wrapText="1"/>
      <protection locked="0"/>
    </xf>
    <xf numFmtId="0" fontId="17" fillId="0" borderId="3" xfId="2" applyFont="1" applyFill="1" applyBorder="1" applyAlignment="1" applyProtection="1">
      <alignment horizontal="left" vertical="top" wrapText="1"/>
      <protection locked="0"/>
    </xf>
    <xf numFmtId="0" fontId="17" fillId="0" borderId="8" xfId="2" applyFont="1" applyFill="1" applyBorder="1" applyAlignment="1" applyProtection="1">
      <alignment horizontal="left" vertical="top" wrapText="1"/>
      <protection locked="0"/>
    </xf>
    <xf numFmtId="0" fontId="17" fillId="0" borderId="9" xfId="2" applyFont="1" applyFill="1" applyBorder="1" applyAlignment="1" applyProtection="1">
      <alignment horizontal="left" vertical="top" wrapText="1"/>
      <protection locked="0"/>
    </xf>
    <xf numFmtId="0" fontId="17" fillId="0" borderId="0" xfId="2" applyFont="1" applyFill="1" applyBorder="1" applyAlignment="1" applyProtection="1">
      <alignment horizontal="left" vertical="top" wrapText="1"/>
      <protection locked="0"/>
    </xf>
    <xf numFmtId="0" fontId="17" fillId="0" borderId="10" xfId="2" applyFont="1" applyFill="1" applyBorder="1" applyAlignment="1" applyProtection="1">
      <alignment horizontal="left" vertical="top" wrapText="1"/>
      <protection locked="0"/>
    </xf>
    <xf numFmtId="0" fontId="17" fillId="0" borderId="11" xfId="2" applyFont="1" applyFill="1" applyBorder="1" applyAlignment="1" applyProtection="1">
      <alignment horizontal="left" vertical="top" wrapText="1"/>
      <protection locked="0"/>
    </xf>
    <xf numFmtId="0" fontId="17" fillId="0" borderId="1" xfId="2" applyFont="1" applyFill="1" applyBorder="1" applyAlignment="1" applyProtection="1">
      <alignment horizontal="left" vertical="top" wrapText="1"/>
      <protection locked="0"/>
    </xf>
    <xf numFmtId="0" fontId="17" fillId="0" borderId="12" xfId="2" applyFont="1" applyFill="1" applyBorder="1" applyAlignment="1" applyProtection="1">
      <alignment horizontal="left" vertical="top" wrapText="1"/>
      <protection locked="0"/>
    </xf>
    <xf numFmtId="12" fontId="11" fillId="0" borderId="6" xfId="0" applyNumberFormat="1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14" t="str">
        <f>O9&amp;R9&amp;IF(X8="G","G","")&amp;IF(O8="Centrefold Roll","("&amp;E8&amp;")","")&amp;T9&amp;V9&amp;C22&amp;C23&amp;C24&amp;O11&amp;R11</f>
        <v>PB33045035VP</v>
      </c>
      <c r="C1" s="114"/>
      <c r="D1" s="115"/>
      <c r="E1" s="12" t="s">
        <v>57</v>
      </c>
      <c r="F1" s="125" t="s">
        <v>196</v>
      </c>
      <c r="G1" s="126"/>
      <c r="H1" s="127"/>
      <c r="I1" s="13" t="s">
        <v>181</v>
      </c>
      <c r="J1" s="128">
        <f ca="1">TODAY()</f>
        <v>44256</v>
      </c>
      <c r="K1" s="128"/>
      <c r="L1" s="129"/>
      <c r="M1" s="34"/>
      <c r="N1" s="12" t="s">
        <v>56</v>
      </c>
      <c r="O1" s="114" t="str">
        <f>B1</f>
        <v>PB33045035VP</v>
      </c>
      <c r="P1" s="114"/>
      <c r="Q1" s="115"/>
      <c r="R1" s="12" t="s">
        <v>57</v>
      </c>
      <c r="S1" s="114" t="str">
        <f>F1</f>
        <v>KAZZI KOVERS</v>
      </c>
      <c r="T1" s="114"/>
      <c r="U1" s="115"/>
      <c r="V1" s="12" t="s">
        <v>181</v>
      </c>
      <c r="W1" s="128">
        <f ca="1">J1</f>
        <v>44256</v>
      </c>
      <c r="X1" s="128"/>
      <c r="Y1" s="129"/>
    </row>
    <row r="2" spans="1:28" ht="20.100000000000001" customHeight="1" x14ac:dyDescent="0.25">
      <c r="A2" s="12" t="s">
        <v>100</v>
      </c>
      <c r="B2" s="114" t="str">
        <f>IF(U10="","",U10)</f>
        <v/>
      </c>
      <c r="C2" s="114"/>
      <c r="D2" s="115"/>
      <c r="E2" s="12" t="s">
        <v>58</v>
      </c>
      <c r="F2" s="73">
        <v>939563</v>
      </c>
      <c r="G2" s="73"/>
      <c r="H2" s="74"/>
      <c r="I2" s="12" t="s">
        <v>59</v>
      </c>
      <c r="J2" s="131">
        <v>44266</v>
      </c>
      <c r="K2" s="73"/>
      <c r="L2" s="74"/>
      <c r="M2" s="34"/>
      <c r="N2" s="12" t="s">
        <v>100</v>
      </c>
      <c r="O2" s="114" t="str">
        <f>IF(B2="","",B2)</f>
        <v/>
      </c>
      <c r="P2" s="114"/>
      <c r="Q2" s="115"/>
      <c r="R2" s="12" t="s">
        <v>58</v>
      </c>
      <c r="S2" s="114">
        <f>IF(F2="","",F2)</f>
        <v>939563</v>
      </c>
      <c r="T2" s="114"/>
      <c r="U2" s="115"/>
      <c r="V2" s="12" t="s">
        <v>59</v>
      </c>
      <c r="W2" s="130">
        <f>J2</f>
        <v>44266</v>
      </c>
      <c r="X2" s="114"/>
      <c r="Y2" s="115"/>
    </row>
    <row r="3" spans="1:28" ht="20.100000000000001" customHeight="1" x14ac:dyDescent="0.25">
      <c r="A3" s="116" t="s">
        <v>199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34"/>
      <c r="N3" s="116" t="str">
        <f>A3</f>
        <v>MUST HAVE 8MM VENT HOLE ABOVE LOGO. LOGO TO START 20MM FROM SEAL VENT IN CENTRE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8" ht="20.100000000000001" customHeight="1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34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8" ht="20.100000000000001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34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8" ht="20.100000000000001" customHeight="1" x14ac:dyDescent="0.25">
      <c r="A6" s="133" t="s">
        <v>2</v>
      </c>
      <c r="B6" s="134"/>
      <c r="C6" s="134"/>
      <c r="D6" s="134"/>
      <c r="E6" s="134"/>
      <c r="F6" s="134"/>
      <c r="G6" s="134"/>
      <c r="H6" s="134"/>
      <c r="I6" s="134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06" t="s">
        <v>163</v>
      </c>
      <c r="C7" s="106"/>
      <c r="D7" s="106"/>
      <c r="E7" s="106"/>
      <c r="F7" s="106"/>
      <c r="G7" s="106"/>
      <c r="H7" s="106"/>
      <c r="I7" s="107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14">
        <f>R7*O7</f>
        <v>1000</v>
      </c>
      <c r="V7" s="115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02">
        <f>R9</f>
        <v>330</v>
      </c>
      <c r="C8" s="103"/>
      <c r="D8" s="32" t="str">
        <f>IF(ISNUMBER(SEARCH("bag",O8,1)),"Gusset","Centrefold")</f>
        <v>Gusset</v>
      </c>
      <c r="E8" s="102" t="str">
        <f>IF(O8="Centrefold Roll",B8*2,IF(X9="","None",X9))</f>
        <v>None</v>
      </c>
      <c r="F8" s="103"/>
      <c r="G8" s="15" t="s">
        <v>52</v>
      </c>
      <c r="H8" s="102">
        <f>(IF(V9&lt;30,"30",V9))</f>
        <v>35</v>
      </c>
      <c r="I8" s="103"/>
      <c r="J8" s="12" t="s">
        <v>54</v>
      </c>
      <c r="K8" s="114" t="str">
        <f>IF(X8="None","Layflat Tube",IF(X8="","Layflat Tube",IF(X8="CF","Layflat Tube",IF(X8="G","Gusset Tube",IF(X9="","Layflat Tube",)))))</f>
        <v>Layflat Tube</v>
      </c>
      <c r="L8" s="115"/>
      <c r="M8" s="34"/>
      <c r="N8" s="16" t="s">
        <v>54</v>
      </c>
      <c r="O8" s="104" t="s">
        <v>164</v>
      </c>
      <c r="P8" s="105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0" t="str">
        <f>IF(AND(W8="Gusset",X9=""), "None",IF(AND(W8="Centrefold",X9=""),"None",IF(W8="Gusset","G",IF(W8="Centrefold","CF"))))</f>
        <v>None</v>
      </c>
      <c r="Y8" s="101"/>
    </row>
    <row r="9" spans="1:28" ht="20.100000000000001" customHeight="1" x14ac:dyDescent="0.3">
      <c r="A9" s="18" t="s">
        <v>48</v>
      </c>
      <c r="B9" s="135" t="s">
        <v>195</v>
      </c>
      <c r="C9" s="136"/>
      <c r="D9" s="143" t="str">
        <f>IF(K10="Middle","RUN 2 UP",IF(AND(O8="Centrefold Roll",B8=380),"RUN 2 UP",""))</f>
        <v/>
      </c>
      <c r="E9" s="106"/>
      <c r="F9" s="107"/>
      <c r="G9" s="18" t="s">
        <v>48</v>
      </c>
      <c r="H9" s="135" t="s">
        <v>194</v>
      </c>
      <c r="I9" s="136"/>
      <c r="J9" s="12" t="s">
        <v>55</v>
      </c>
      <c r="K9" s="73" t="s">
        <v>30</v>
      </c>
      <c r="L9" s="74"/>
      <c r="M9" s="34"/>
      <c r="N9" s="19"/>
      <c r="O9" s="108" t="str">
        <f>IF(O8="Poly Bag","PB",IF(O8="Poly Bag Roll","PBR",IF(O8="Centrefold Roll","CFR",IF(O8="Sheet","S",IF(O8="Sheet Roll","SR")))))</f>
        <v>PB</v>
      </c>
      <c r="P9" s="109"/>
      <c r="Q9" s="19"/>
      <c r="R9" s="35">
        <v>330</v>
      </c>
      <c r="S9" s="20" t="s">
        <v>78</v>
      </c>
      <c r="T9" s="35">
        <v>450</v>
      </c>
      <c r="U9" s="20" t="s">
        <v>78</v>
      </c>
      <c r="V9" s="35">
        <v>35</v>
      </c>
      <c r="W9" s="19"/>
      <c r="X9" s="90"/>
      <c r="Y9" s="91"/>
    </row>
    <row r="10" spans="1:28" ht="20.100000000000001" customHeight="1" x14ac:dyDescent="0.25">
      <c r="A10" s="12" t="s">
        <v>51</v>
      </c>
      <c r="B10" s="73">
        <v>1</v>
      </c>
      <c r="C10" s="74"/>
      <c r="D10" s="54" t="s">
        <v>134</v>
      </c>
      <c r="E10" s="137">
        <f>IF(ISNUMBER(SEARCH("sheet",O8,1)),((R9*T9*H8/540000)*U7/2000*1.3),((R9*T9*H8/540000)*U7/1000*1.08))</f>
        <v>10.395000000000001</v>
      </c>
      <c r="F10" s="138"/>
      <c r="G10" s="12" t="s">
        <v>53</v>
      </c>
      <c r="H10" s="141">
        <f>IF(ISNUMBER(SEARCH("sheet",O8,1)),(U7*T9/2000*1.08),(U7*T9/1000*1.08))</f>
        <v>486.00000000000006</v>
      </c>
      <c r="I10" s="142"/>
      <c r="J10" s="12" t="s">
        <v>41</v>
      </c>
      <c r="K10" s="73" t="s">
        <v>44</v>
      </c>
      <c r="L10" s="74"/>
      <c r="M10" s="34"/>
      <c r="N10" s="21" t="s">
        <v>141</v>
      </c>
      <c r="O10" s="104" t="s">
        <v>187</v>
      </c>
      <c r="P10" s="105"/>
      <c r="Q10" s="16" t="s">
        <v>50</v>
      </c>
      <c r="R10" s="100" t="str">
        <f>IF(K11="NONE","None",IF(K11="INLINE","Yes",IF(K11="OUT OF LINE","Yes")))</f>
        <v>Yes</v>
      </c>
      <c r="S10" s="100"/>
      <c r="T10" s="16" t="s">
        <v>100</v>
      </c>
      <c r="U10" s="110"/>
      <c r="V10" s="110"/>
      <c r="W10" s="110"/>
      <c r="X10" s="110"/>
      <c r="Y10" s="11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14" t="s">
        <v>198</v>
      </c>
      <c r="C11" s="115"/>
      <c r="D11" s="12" t="s">
        <v>135</v>
      </c>
      <c r="E11" s="139">
        <f>E10/B10</f>
        <v>10.395000000000001</v>
      </c>
      <c r="F11" s="140"/>
      <c r="G11" s="12" t="s">
        <v>15</v>
      </c>
      <c r="H11" s="139">
        <f>H10/B10</f>
        <v>486.00000000000006</v>
      </c>
      <c r="I11" s="140"/>
      <c r="J11" s="12" t="s">
        <v>50</v>
      </c>
      <c r="K11" s="73" t="s">
        <v>64</v>
      </c>
      <c r="L11" s="74"/>
      <c r="M11" s="34"/>
      <c r="N11" s="15"/>
      <c r="O11" s="102" t="str">
        <f>IF(O10="NONE","","V")</f>
        <v>V</v>
      </c>
      <c r="P11" s="103"/>
      <c r="Q11" s="15"/>
      <c r="R11" s="102" t="str">
        <f>IF(R10="None","","P")</f>
        <v>P</v>
      </c>
      <c r="S11" s="103"/>
      <c r="T11" s="15"/>
      <c r="U11" s="112"/>
      <c r="V11" s="112"/>
      <c r="W11" s="112"/>
      <c r="X11" s="112"/>
      <c r="Y11" s="113"/>
    </row>
    <row r="12" spans="1:28" ht="20.100000000000001" customHeight="1" x14ac:dyDescent="0.25">
      <c r="A12" s="132" t="s">
        <v>13</v>
      </c>
      <c r="B12" s="92"/>
      <c r="C12" s="92"/>
      <c r="D12" s="92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69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177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06" t="s">
        <v>197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7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6" t="s">
        <v>4</v>
      </c>
      <c r="F16" s="156"/>
      <c r="G16" s="156" t="s">
        <v>5</v>
      </c>
      <c r="H16" s="156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168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98" t="s">
        <v>147</v>
      </c>
      <c r="D17" s="99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98" t="s">
        <v>146</v>
      </c>
      <c r="D18" s="99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98" t="s">
        <v>145</v>
      </c>
      <c r="D19" s="99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160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72" t="s">
        <v>9</v>
      </c>
      <c r="B20" s="72"/>
      <c r="C20" s="98" t="s">
        <v>144</v>
      </c>
      <c r="D20" s="99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72" t="s">
        <v>10</v>
      </c>
      <c r="B21" s="72"/>
      <c r="C21" s="98" t="s">
        <v>143</v>
      </c>
      <c r="D21" s="99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72" t="str">
        <f>(IF(B7="NATURAL","",B7))</f>
        <v/>
      </c>
      <c r="B22" s="72"/>
      <c r="C22" s="9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9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157"/>
      <c r="B23" s="157"/>
      <c r="C23" s="9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9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8"/>
      <c r="B24" s="159"/>
      <c r="C24" s="9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9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92"/>
      <c r="G25" s="92"/>
      <c r="H25" s="92"/>
      <c r="I25" s="92"/>
      <c r="J25" s="92"/>
      <c r="K25" s="84"/>
      <c r="L25" s="85"/>
      <c r="M25" s="34"/>
      <c r="N25" s="26" t="s">
        <v>96</v>
      </c>
      <c r="O25" s="10" t="s">
        <v>200</v>
      </c>
      <c r="P25" s="39"/>
      <c r="Q25" s="10">
        <v>30</v>
      </c>
      <c r="R25" s="169">
        <v>6.5</v>
      </c>
      <c r="S25" s="10"/>
      <c r="T25" s="10">
        <v>6</v>
      </c>
      <c r="U25" s="10"/>
      <c r="V25" s="169">
        <v>2.5</v>
      </c>
      <c r="W25" s="10">
        <v>140</v>
      </c>
      <c r="X25" s="10">
        <v>140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97" t="s">
        <v>132</v>
      </c>
      <c r="H26" s="97"/>
      <c r="I26" s="97" t="s">
        <v>131</v>
      </c>
      <c r="J26" s="97"/>
      <c r="K26" s="28" t="s">
        <v>94</v>
      </c>
      <c r="L26" s="28" t="s">
        <v>95</v>
      </c>
      <c r="M26" s="34"/>
      <c r="N26" s="93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96"/>
      <c r="H27" s="96"/>
      <c r="I27" s="96"/>
      <c r="J27" s="96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96"/>
      <c r="H28" s="96"/>
      <c r="I28" s="96"/>
      <c r="J28" s="96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44" t="s">
        <v>116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6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9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2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3" t="s">
        <v>136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44287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44277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8231304-300D-470B-931B-9221C92AEDA3}"/>
</file>

<file path=customXml/itemProps2.xml><?xml version="1.0" encoding="utf-8"?>
<ds:datastoreItem xmlns:ds="http://schemas.openxmlformats.org/officeDocument/2006/customXml" ds:itemID="{A0E36089-3698-438B-9D13-E8146F1D5DA7}"/>
</file>

<file path=customXml/itemProps3.xml><?xml version="1.0" encoding="utf-8"?>
<ds:datastoreItem xmlns:ds="http://schemas.openxmlformats.org/officeDocument/2006/customXml" ds:itemID="{47C74405-456F-495F-8CC1-94C8171E5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2021-02-11T04:43:08Z</cp:lastPrinted>
  <dcterms:created xsi:type="dcterms:W3CDTF">2019-11-27T23:28:06Z</dcterms:created>
  <dcterms:modified xsi:type="dcterms:W3CDTF">2021-02-28T21:58:36Z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