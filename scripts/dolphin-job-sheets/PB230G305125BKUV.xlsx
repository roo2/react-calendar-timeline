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841080A-5CA2-4BB8-979F-C8670CED50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<sst xmlns="http://schemas.openxmlformats.org/spreadsheetml/2006/main" count="308" uniqueCount="204">
  <si>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</si>
  <si>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</si>
  <si>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</si>
  <si>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</si>
  <si>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</si>
  <si>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</si>
  <si>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</si>
  <si>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</si>
  <si>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</si>
  <si>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</si>
  <si>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</si>
  <si>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</si>
  <si>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</si>
  <si>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</si>
  <si>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</si>
  <si>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</si>
  <si>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</si>
  <si>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</si>
  <si>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</si>
  <si>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</si>
  <si>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</si>
  <si>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</si>
  <si>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</si>
  <si>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</si>
  <si>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</si>
  <si>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</si>
  <si>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</si>
  <si>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</si>
  <si>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</si>
  <si>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</si>
  <si>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</si>
  <si>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</si>
  <si>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</si>
  <si>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</si>
  <si>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</si>
  <si>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</si>
  <si>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</si>
  <si>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</si>
  <si>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</si>
  <si>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</si>
  <si>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</si>
  <si>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</si>
  <si>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</si>
  <si>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</si>
  <si>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</si>
  <si>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</si>
  <si>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</si>
  <si>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</si>
  <si>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</si>
  <si>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</si>
  <si>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</si>
  <si>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</si>
  <si>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</si>
  <si>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</si>
  <si>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</si>
  <si>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</si>
  <si>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</si>
  <si>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</si>
  <si>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</si>
  <si>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</si>
  <si>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</si>
  <si>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</si>
  <si>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</si>
  <si>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</si>
  <si>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</si>
  <si>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</si>
  <si>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</si>
  <si>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</si>
  <si>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</si>
  <si>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</si>
  <si>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</si>
  <si>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</si>
  <si>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</si>
  <si>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</si>
  <si>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</si>
  <si>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</si>
  <si>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</si>
  <si>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</si>
  <si>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</si>
  <si>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</si>
  <si>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</si>
  <si>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</si>
  <si>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</si>
  <si>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</si>
  <si>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</si>
  <si>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</si>
  <si>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</si>
  <si>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</si>
  <si>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</si>
  <si>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</si>
  <si>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</si>
  <si>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</si>
  <si>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</si>
  <si>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</si>
  <si>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</si>
  <si>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</si>
  <si>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</si>
  <si>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</si>
  <si>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</si>
  <si>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</si>
  <si>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</si>
  <si>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</si>
  <si>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</si>
  <si>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</si>
  <si>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</si>
  <si>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</si>
  <si>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</si>
  <si>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</si>
  <si>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</si>
  <si>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</si>
  <si>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</si>
  <si>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</si>
  <si>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</si>
  <si>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</si>
  <si>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</si>
  <si>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</si>
  <si>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</si>
  <si>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</si>
  <si>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</si>
  <si>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</si>
  <si>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</si>
  <si>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</si>
  <si>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</si>
  <si>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</si>
  <si>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</si>
  <si>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</si>
  <si>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</si>
  <si>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</si>
  <si>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</si>
  <si>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</si>
  <si>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</si>
  <si>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</si>
  <si>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</si>
  <si>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</si>
  <si>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</si>
  <si>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</si>
  <si>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</si>
  <si>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</si>
  <si>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</si>
  <si>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</si>
  <si>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</si>
  <si>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</si>
  <si>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</si>
  <si>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</si>
  <si>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</si>
  <si>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</si>
  <si>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</si>
  <si>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</si>
  <si>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</si>
  <si>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</si>
  <si>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</si>
  <si>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</si>
  <si>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</si>
  <si>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</si>
  <si>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</si>
  <si>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</si>
  <si>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</si>
  <si>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</si>
  <si>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</si>
  <si>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</si>
  <si>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</si>
  <si>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</si>
  <si>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</si>
  <si>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</si>
  <si>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</si>
  <si>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</si>
  <si>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</si>
  <si>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</si>
  <si>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</si>
  <si>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</si>
  <si>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</si>
  <si>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</si>
  <si>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</si>
  <si>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</si>
  <si>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</si>
  <si>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</si>
  <si>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</si>
  <si>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</si>
  <si>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</si>
  <si>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</si>
  <si>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</si>
  <si>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</si>
  <si>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</si>
  <si>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</si>
  <si>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</si>
  <si>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</si>
  <si>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</si>
  <si>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</si>
  <si>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</si>
  <si>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</si>
  <si>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</si>
  <si>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</si>
  <si>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</si>
  <si>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</si>
  <si>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>ASAP</t>
  </si>
  <si>
    <t>Centrefold Roll</t>
  </si>
  <si>
    <t>CITREE NURSERY</t>
  </si>
  <si>
    <t>USE DOLPHIN REMILL, MUST NOT BE BLOCKED.</t>
  </si>
  <si>
    <t>RUN AT 120UM</t>
  </si>
  <si>
    <t>PERF</t>
  </si>
  <si>
    <t>***** ITEM NOW TO HAVE 10MMM PUNCH HOLES ****</t>
  </si>
  <si>
    <t>(120+110)</t>
  </si>
  <si>
    <t>EXT 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</si>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</sst>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3" fillId="5" borderId="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9" fontId="13" fillId="5" borderId="4" xfId="0" applyNumberFormat="1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6" t="str">
        <f>O9&amp;R9&amp;IF(X8="G","G","")&amp;IF(O8="Centrefold Roll","("&amp;E8&amp;")","")&amp;T9&amp;V9&amp;C22&amp;C23&amp;C24&amp;O11&amp;R11</f>
        <v>PB230G305125BKUVV</v>
      </c>
      <c r="C1" s="116"/>
      <c r="D1" s="117"/>
      <c r="E1" s="9" t="s">
        <v>57</v>
      </c>
      <c r="F1" s="92" t="s">
        <v>196</v>
      </c>
      <c r="G1" s="92"/>
      <c r="H1" s="93"/>
      <c r="I1" s="10" t="s">
        <v>181</v>
      </c>
      <c r="J1" s="89">
        <f ca="1">TODAY()</f>
        <v>45911</v>
      </c>
      <c r="K1" s="89"/>
      <c r="L1" s="90"/>
      <c r="M1" s="28"/>
      <c r="N1" s="9" t="s">
        <v>56</v>
      </c>
      <c r="O1" s="116" t="str">
        <f>B1</f>
        <v>PB230G305125BKUVV</v>
      </c>
      <c r="P1" s="116"/>
      <c r="Q1" s="117"/>
      <c r="R1" s="9" t="s">
        <v>57</v>
      </c>
      <c r="S1" s="116" t="str">
        <f>F1</f>
        <v>CITREE NURSERY</v>
      </c>
      <c r="T1" s="116"/>
      <c r="U1" s="117"/>
      <c r="V1" s="9" t="s">
        <v>181</v>
      </c>
      <c r="W1" s="89">
        <f ca="1">J1</f>
        <v>45911</v>
      </c>
      <c r="X1" s="89"/>
      <c r="Y1" s="90"/>
    </row>
    <row r="2" spans="1:25" ht="20.100000000000001" customHeight="1" x14ac:dyDescent="0.25">
      <c r="A2" s="9" t="s">
        <v>100</v>
      </c>
      <c r="B2" s="116" t="str">
        <f>IF(U10="","",U10)</f>
        <v/>
      </c>
      <c r="C2" s="116"/>
      <c r="D2" s="117"/>
      <c r="E2" s="9" t="s">
        <v>58</v>
      </c>
      <c r="F2" s="92">
        <v>947604</v>
      </c>
      <c r="G2" s="92"/>
      <c r="H2" s="93"/>
      <c r="I2" s="9" t="s">
        <v>59</v>
      </c>
      <c r="J2" s="91" t="s">
        <v>194</v>
      </c>
      <c r="K2" s="92"/>
      <c r="L2" s="93"/>
      <c r="M2" s="28"/>
      <c r="N2" s="9" t="s">
        <v>100</v>
      </c>
      <c r="O2" s="116" t="str">
        <f>IF(B2="","",B2)</f>
        <v/>
      </c>
      <c r="P2" s="116"/>
      <c r="Q2" s="117"/>
      <c r="R2" s="9" t="s">
        <v>58</v>
      </c>
      <c r="S2" s="116">
        <f>IF(F2="","",F2)</f>
        <v>947604</v>
      </c>
      <c r="T2" s="116"/>
      <c r="U2" s="117"/>
      <c r="V2" s="9" t="s">
        <v>59</v>
      </c>
      <c r="W2" s="127" t="str">
        <f>J2</f>
        <v>ASAP</v>
      </c>
      <c r="X2" s="116"/>
      <c r="Y2" s="117"/>
    </row>
    <row r="3" spans="1:25" ht="20.100000000000001" customHeight="1" x14ac:dyDescent="0.25">
      <c r="A3" s="118" t="s">
        <v>197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  <c r="M3" s="28"/>
      <c r="N3" s="118" t="str">
        <f>A3</f>
        <v>USE DOLPHIN REMILL, MUST NOT BE BLOCKED.</v>
      </c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</row>
    <row r="4" spans="1:25" ht="20.100000000000001" customHeight="1" x14ac:dyDescent="0.25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3"/>
      <c r="M4" s="28"/>
      <c r="N4" s="121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</row>
    <row r="5" spans="1:25" ht="20.100000000000001" customHeight="1" x14ac:dyDescent="0.25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6"/>
      <c r="M5" s="28"/>
      <c r="N5" s="124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 spans="1:25" ht="20.100000000000001" customHeight="1" x14ac:dyDescent="0.25">
      <c r="A6" s="100" t="s">
        <v>2</v>
      </c>
      <c r="B6" s="101"/>
      <c r="C6" s="101"/>
      <c r="D6" s="101"/>
      <c r="E6" s="101"/>
      <c r="F6" s="101"/>
      <c r="G6" s="101"/>
      <c r="H6" s="101"/>
      <c r="I6" s="101"/>
      <c r="J6" s="102"/>
      <c r="K6" s="102"/>
      <c r="L6" s="103"/>
      <c r="M6" s="28"/>
      <c r="N6" s="115" t="s">
        <v>2</v>
      </c>
      <c r="O6" s="98"/>
      <c r="P6" s="98"/>
      <c r="Q6" s="98"/>
      <c r="R6" s="98"/>
      <c r="S6" s="98"/>
      <c r="T6" s="98"/>
      <c r="U6" s="98"/>
      <c r="V6" s="98"/>
      <c r="W6" s="98"/>
      <c r="X6" s="98"/>
      <c r="Y6" s="99"/>
    </row>
    <row r="7" spans="1:25" ht="20.100000000000001" customHeight="1" x14ac:dyDescent="0.3">
      <c r="A7" s="9" t="s">
        <v>49</v>
      </c>
      <c r="B7" s="113" t="s">
        <v>177</v>
      </c>
      <c r="C7" s="113"/>
      <c r="D7" s="113"/>
      <c r="E7" s="113"/>
      <c r="F7" s="113"/>
      <c r="G7" s="113"/>
      <c r="H7" s="113"/>
      <c r="I7" s="114"/>
      <c r="J7" s="76" t="s">
        <v>179</v>
      </c>
      <c r="K7" s="76"/>
      <c r="L7" s="73"/>
      <c r="M7" s="28"/>
      <c r="N7" s="9" t="str">
        <f>IF(ISNUMBER(SEARCH("roll",O8,1)),"No. Rolls","No. Cartons")</f>
        <v>No. Cartons</v>
      </c>
      <c r="O7" s="92">
        <v>144</v>
      </c>
      <c r="P7" s="93"/>
      <c r="Q7" s="9" t="str">
        <f>IF(ISNUMBER(SEARCH("roll",O8,1)),"Per Roll","Per Carton")</f>
        <v>Per Carton</v>
      </c>
      <c r="R7" s="92">
        <v>500</v>
      </c>
      <c r="S7" s="93"/>
      <c r="T7" s="9" t="str">
        <f>IF(ISNUMBER(SEARCH("bag",O8,1)),"Total Bags","Total Sheets")</f>
        <v>Total Bags</v>
      </c>
      <c r="U7" s="116">
        <f>R7*O7</f>
        <v>72000</v>
      </c>
      <c r="V7" s="117"/>
      <c r="W7" s="9" t="s">
        <v>102</v>
      </c>
      <c r="X7" s="92" t="s">
        <v>23</v>
      </c>
      <c r="Y7" s="93"/>
    </row>
    <row r="8" spans="1:25" ht="20.100000000000001" customHeight="1" x14ac:dyDescent="0.25">
      <c r="A8" s="11" t="s">
        <v>16</v>
      </c>
      <c r="B8" s="94">
        <f>R9</f>
        <v>230</v>
      </c>
      <c r="C8" s="95"/>
      <c r="D8" s="11" t="str">
        <f>IF(ISNUMBER(SEARCH("bag",O8,1)),"Gusset","Centrefold")</f>
        <v>Gusset</v>
      </c>
      <c r="E8" s="94" t="str">
        <f>IF(O8="Centrefold Roll",B8*2,IF(X9="","None",X9))</f>
        <v>(120+110)</v>
      </c>
      <c r="F8" s="95"/>
      <c r="G8" s="11" t="s">
        <v>52</v>
      </c>
      <c r="H8" s="94">
        <f>(IF(V9&lt;30,"30",V9))</f>
        <v>125</v>
      </c>
      <c r="I8" s="95"/>
      <c r="J8" s="9" t="s">
        <v>54</v>
      </c>
      <c r="K8" s="116" t="str">
        <f>IF(X8="None","Layflat Tube",IF(X8="","Layflat Tube",IF(X8="CF","Layflat Tube",IF(X8="G","Gusset Tube",IF(X9="","Layflat Tube",)))))</f>
        <v>Gusset Tube</v>
      </c>
      <c r="L8" s="117"/>
      <c r="M8" s="28"/>
      <c r="N8" s="12" t="s">
        <v>54</v>
      </c>
      <c r="O8" s="130" t="s">
        <v>164</v>
      </c>
      <c r="P8" s="131"/>
      <c r="Q8" s="12" t="s">
        <v>190</v>
      </c>
      <c r="R8" s="13" t="s">
        <v>16</v>
      </c>
      <c r="S8" s="13"/>
      <c r="T8" s="13" t="s">
        <v>79</v>
      </c>
      <c r="U8" s="13"/>
      <c r="V8" s="13" t="s">
        <v>80</v>
      </c>
      <c r="W8" s="14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G</v>
      </c>
      <c r="Y8" s="129"/>
    </row>
    <row r="9" spans="1:25" ht="20.100000000000001" customHeight="1" x14ac:dyDescent="0.3">
      <c r="A9" s="15" t="s">
        <v>48</v>
      </c>
      <c r="B9" s="104" t="s">
        <v>182</v>
      </c>
      <c r="C9" s="105"/>
      <c r="D9" s="112" t="str">
        <f>IF(K10="Middle","RUN 2 UP",IF(AND(O8="Centrefold Roll",B8=380),"RUN 2 UP",""))</f>
        <v/>
      </c>
      <c r="E9" s="113"/>
      <c r="F9" s="114"/>
      <c r="G9" s="15" t="s">
        <v>48</v>
      </c>
      <c r="H9" s="104" t="s">
        <v>198</v>
      </c>
      <c r="I9" s="105"/>
      <c r="J9" s="9" t="s">
        <v>55</v>
      </c>
      <c r="K9" s="92" t="s">
        <v>30</v>
      </c>
      <c r="L9" s="93"/>
      <c r="M9" s="28"/>
      <c r="N9" s="16"/>
      <c r="O9" s="132" t="str">
        <f>IF(O8="Poly Bag","PB",IF(O8="Poly Bag Roll","PBR",IF(O8="Centrefold Roll","CFR",IF(O8="Sheet","S",IF(O8="Sheet Roll","SR")))))</f>
        <v>PB</v>
      </c>
      <c r="P9" s="133"/>
      <c r="Q9" s="16"/>
      <c r="R9" s="29">
        <v>230</v>
      </c>
      <c r="S9" s="17" t="s">
        <v>78</v>
      </c>
      <c r="T9" s="29">
        <v>305</v>
      </c>
      <c r="U9" s="17" t="s">
        <v>78</v>
      </c>
      <c r="V9" s="29">
        <v>125</v>
      </c>
      <c r="W9" s="16"/>
      <c r="X9" s="141" t="s">
        <v>201</v>
      </c>
      <c r="Y9" s="142"/>
    </row>
    <row r="10" spans="1:25" ht="20.100000000000001" customHeight="1" x14ac:dyDescent="0.25">
      <c r="A10" s="9" t="s">
        <v>51</v>
      </c>
      <c r="B10" s="92">
        <v>62</v>
      </c>
      <c r="C10" s="93"/>
      <c r="D10" s="46" t="s">
        <v>134</v>
      </c>
      <c r="E10" s="106">
        <f>IF(ISNUMBER(SEARCH("sheet",O8,1)),((R9*T9*H8/540000)*U7/2000*1.3),((R9*T9*H8/540000)*U7/1000*1.08))</f>
        <v>1262.7000000000003</v>
      </c>
      <c r="F10" s="107"/>
      <c r="G10" s="9" t="s">
        <v>53</v>
      </c>
      <c r="H10" s="110">
        <f>IF(ISNUMBER(SEARCH("sheet",O8,1)),(U7*T9/2000*1.08),(U7*T9/1000*1.08))</f>
        <v>23716.800000000003</v>
      </c>
      <c r="I10" s="111"/>
      <c r="J10" s="9" t="s">
        <v>41</v>
      </c>
      <c r="K10" s="92" t="s">
        <v>44</v>
      </c>
      <c r="L10" s="93"/>
      <c r="M10" s="28"/>
      <c r="N10" s="12" t="s">
        <v>141</v>
      </c>
      <c r="O10" s="130" t="s">
        <v>189</v>
      </c>
      <c r="P10" s="131"/>
      <c r="Q10" s="12" t="s">
        <v>50</v>
      </c>
      <c r="R10" s="128" t="str">
        <f>IF(K11="NONE","None",IF(K11="INLINE","Yes",IF(K11="OUT OF LINE","Yes")))</f>
        <v>None</v>
      </c>
      <c r="S10" s="128"/>
      <c r="T10" s="12" t="s">
        <v>100</v>
      </c>
      <c r="U10" s="135"/>
      <c r="V10" s="135"/>
      <c r="W10" s="135"/>
      <c r="X10" s="135"/>
      <c r="Y10" s="136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6" t="str">
        <f>IF(AND(O8="Centrefold Roll",D9="RUN 2 UP"),B10*2,IF(ISNUMBER(SEARCH("sheet",O8,1)),B10*2,""))</f>
        <v/>
      </c>
      <c r="C11" s="117"/>
      <c r="D11" s="9" t="s">
        <v>135</v>
      </c>
      <c r="E11" s="108">
        <f>E10/B10</f>
        <v>20.366129032258069</v>
      </c>
      <c r="F11" s="109"/>
      <c r="G11" s="9" t="s">
        <v>15</v>
      </c>
      <c r="H11" s="108">
        <f>H10/B10</f>
        <v>382.52903225806455</v>
      </c>
      <c r="I11" s="109"/>
      <c r="J11" s="9" t="s">
        <v>50</v>
      </c>
      <c r="K11" s="92" t="s">
        <v>44</v>
      </c>
      <c r="L11" s="93"/>
      <c r="M11" s="28"/>
      <c r="N11" s="11"/>
      <c r="O11" s="94" t="str">
        <f>IF(O10="NONE","","V")</f>
        <v>V</v>
      </c>
      <c r="P11" s="95"/>
      <c r="Q11" s="11"/>
      <c r="R11" s="94" t="str">
        <f>IF(R10="None","","P")</f>
        <v/>
      </c>
      <c r="S11" s="95"/>
      <c r="T11" s="11"/>
      <c r="U11" s="137"/>
      <c r="V11" s="137"/>
      <c r="W11" s="137"/>
      <c r="X11" s="137"/>
      <c r="Y11" s="138"/>
    </row>
    <row r="12" spans="1:25" ht="20.100000000000001" customHeight="1" x14ac:dyDescent="0.25">
      <c r="A12" s="96" t="s">
        <v>13</v>
      </c>
      <c r="B12" s="97"/>
      <c r="C12" s="97"/>
      <c r="D12" s="97"/>
      <c r="E12" s="98"/>
      <c r="F12" s="98"/>
      <c r="G12" s="98"/>
      <c r="H12" s="98"/>
      <c r="I12" s="98"/>
      <c r="J12" s="98"/>
      <c r="K12" s="98"/>
      <c r="L12" s="99"/>
      <c r="M12" s="28"/>
      <c r="N12" s="134" t="s">
        <v>71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9" t="s">
        <v>68</v>
      </c>
      <c r="B13" s="92" t="s">
        <v>44</v>
      </c>
      <c r="C13" s="92"/>
      <c r="D13" s="93"/>
      <c r="E13" s="18" t="s">
        <v>61</v>
      </c>
      <c r="F13" s="92" t="s">
        <v>44</v>
      </c>
      <c r="G13" s="92"/>
      <c r="H13" s="93"/>
      <c r="I13" s="9" t="s">
        <v>62</v>
      </c>
      <c r="J13" s="92" t="s">
        <v>44</v>
      </c>
      <c r="K13" s="92"/>
      <c r="L13" s="93"/>
      <c r="M13" s="28"/>
      <c r="N13" s="9" t="s">
        <v>72</v>
      </c>
      <c r="O13" s="30" t="s">
        <v>77</v>
      </c>
      <c r="P13" s="9" t="s">
        <v>73</v>
      </c>
      <c r="Q13" s="19">
        <f>O7</f>
        <v>144</v>
      </c>
      <c r="R13" s="9" t="s">
        <v>74</v>
      </c>
      <c r="S13" s="30" t="s">
        <v>23</v>
      </c>
      <c r="T13" s="9" t="s">
        <v>178</v>
      </c>
      <c r="U13" s="19" t="str">
        <f>IF(S13="No","",(ROUNDUP(U7/W13/24,0)))</f>
        <v/>
      </c>
      <c r="V13" s="9" t="s">
        <v>75</v>
      </c>
      <c r="W13" s="30" t="str">
        <f>IF(AND((O17="LOOSE"),(NOT(O18="BUNDLE"))),"",IF(AND((O17="LINED"),(NOT(O18="BUNDLE"))),"",(IF(R7&lt;=500,"50",IF(R7&gt;500,"100")))))</f>
        <v>50</v>
      </c>
      <c r="X13" s="9" t="s">
        <v>76</v>
      </c>
      <c r="Y13" s="31"/>
    </row>
    <row r="14" spans="1:25" ht="20.100000000000001" customHeight="1" x14ac:dyDescent="0.3">
      <c r="A14" s="11" t="s">
        <v>60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4"/>
      <c r="M14" s="28"/>
      <c r="N14" s="134" t="s">
        <v>110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3"/>
    </row>
    <row r="15" spans="1:25" ht="20.100000000000001" customHeight="1" x14ac:dyDescent="0.25">
      <c r="A15" s="115" t="s">
        <v>0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9"/>
      <c r="M15" s="28"/>
      <c r="N15" s="72" t="s">
        <v>108</v>
      </c>
      <c r="O15" s="76"/>
      <c r="P15" s="73"/>
      <c r="Q15" s="72" t="s">
        <v>107</v>
      </c>
      <c r="R15" s="76"/>
      <c r="S15" s="73"/>
      <c r="T15" s="72" t="s">
        <v>118</v>
      </c>
      <c r="U15" s="76"/>
      <c r="V15" s="73"/>
      <c r="W15" s="72" t="s">
        <v>117</v>
      </c>
      <c r="X15" s="76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7" t="s">
        <v>4</v>
      </c>
      <c r="F16" s="77"/>
      <c r="G16" s="77" t="s">
        <v>5</v>
      </c>
      <c r="H16" s="77"/>
      <c r="I16" s="76" t="s">
        <v>11</v>
      </c>
      <c r="J16" s="73"/>
      <c r="K16" s="76" t="s">
        <v>12</v>
      </c>
      <c r="L16" s="73"/>
      <c r="M16" s="28"/>
      <c r="N16" s="9" t="s">
        <v>28</v>
      </c>
      <c r="O16" s="92">
        <v>110</v>
      </c>
      <c r="P16" s="93"/>
      <c r="Q16" s="9" t="s">
        <v>105</v>
      </c>
      <c r="R16" s="92" t="s">
        <v>23</v>
      </c>
      <c r="S16" s="93"/>
      <c r="T16" s="10" t="s">
        <v>103</v>
      </c>
      <c r="U16" s="92" t="s">
        <v>31</v>
      </c>
      <c r="V16" s="93"/>
      <c r="W16" s="9" t="str">
        <f>IF(ISNUMBER(SEARCH("bag",O8,1)),"Total Bags","Total Sheets")</f>
        <v>Total Bags</v>
      </c>
      <c r="X16" s="144"/>
      <c r="Y16" s="145"/>
    </row>
    <row r="17" spans="1:25" ht="20.100000000000001" customHeight="1" x14ac:dyDescent="0.25">
      <c r="A17" s="74" t="s">
        <v>6</v>
      </c>
      <c r="B17" s="74"/>
      <c r="C17" s="80" t="s">
        <v>147</v>
      </c>
      <c r="D17" s="81"/>
      <c r="E17" s="85"/>
      <c r="F17" s="86"/>
      <c r="G17" s="47" t="s">
        <v>81</v>
      </c>
      <c r="H17" s="31"/>
      <c r="I17" s="85"/>
      <c r="J17" s="86"/>
      <c r="K17" s="85"/>
      <c r="L17" s="86"/>
      <c r="M17" s="28"/>
      <c r="N17" s="9" t="s">
        <v>26</v>
      </c>
      <c r="O17" s="92" t="s">
        <v>37</v>
      </c>
      <c r="P17" s="93"/>
      <c r="Q17" s="9" t="s">
        <v>104</v>
      </c>
      <c r="R17" s="92" t="s">
        <v>31</v>
      </c>
      <c r="S17" s="93"/>
      <c r="T17" s="10" t="str">
        <f>IF(ISNUMBER(SEARCH("roll",O8,1)),"Part Rolls","Part Ctns")</f>
        <v>Part Ctns</v>
      </c>
      <c r="U17" s="92" t="s">
        <v>31</v>
      </c>
      <c r="V17" s="93"/>
      <c r="W17" s="9" t="str">
        <f>IF(ISNUMBER(SEARCH("roll",O8,1)),"Total Rolls","Total Ctns")</f>
        <v>Total Ctns</v>
      </c>
      <c r="X17" s="144"/>
      <c r="Y17" s="145"/>
    </row>
    <row r="18" spans="1:25" ht="20.100000000000001" customHeight="1" x14ac:dyDescent="0.25">
      <c r="A18" s="74" t="s">
        <v>7</v>
      </c>
      <c r="B18" s="74"/>
      <c r="C18" s="80" t="s">
        <v>146</v>
      </c>
      <c r="D18" s="81"/>
      <c r="E18" s="85"/>
      <c r="F18" s="86"/>
      <c r="G18" s="47" t="s">
        <v>82</v>
      </c>
      <c r="H18" s="31"/>
      <c r="I18" s="85"/>
      <c r="J18" s="86"/>
      <c r="K18" s="85"/>
      <c r="L18" s="86"/>
      <c r="M18" s="28"/>
      <c r="N18" s="9" t="s">
        <v>101</v>
      </c>
      <c r="O18" s="92" t="s">
        <v>186</v>
      </c>
      <c r="P18" s="93"/>
      <c r="Q18" s="9" t="s">
        <v>106</v>
      </c>
      <c r="R18" s="92" t="s">
        <v>31</v>
      </c>
      <c r="S18" s="93"/>
      <c r="T18" s="20" t="s">
        <v>27</v>
      </c>
      <c r="U18" s="92" t="s">
        <v>36</v>
      </c>
      <c r="V18" s="93"/>
      <c r="W18" s="9" t="s">
        <v>109</v>
      </c>
      <c r="X18" s="144"/>
      <c r="Y18" s="145"/>
    </row>
    <row r="19" spans="1:25" ht="20.100000000000001" customHeight="1" x14ac:dyDescent="0.25">
      <c r="A19" s="74" t="s">
        <v>8</v>
      </c>
      <c r="B19" s="74"/>
      <c r="C19" s="80" t="s">
        <v>145</v>
      </c>
      <c r="D19" s="81"/>
      <c r="E19" s="85"/>
      <c r="F19" s="86"/>
      <c r="G19" s="47" t="s">
        <v>83</v>
      </c>
      <c r="H19" s="31"/>
      <c r="I19" s="85"/>
      <c r="J19" s="86"/>
      <c r="K19" s="85"/>
      <c r="L19" s="86"/>
      <c r="M19" s="28"/>
      <c r="N19" s="146" t="s">
        <v>200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8"/>
    </row>
    <row r="20" spans="1:25" ht="20.100000000000001" customHeight="1" x14ac:dyDescent="0.25">
      <c r="A20" s="74" t="s">
        <v>9</v>
      </c>
      <c r="B20" s="74"/>
      <c r="C20" s="80" t="s">
        <v>144</v>
      </c>
      <c r="D20" s="81"/>
      <c r="E20" s="85"/>
      <c r="F20" s="86"/>
      <c r="G20" s="47" t="s">
        <v>84</v>
      </c>
      <c r="H20" s="31"/>
      <c r="I20" s="85"/>
      <c r="J20" s="86"/>
      <c r="K20" s="85"/>
      <c r="L20" s="86"/>
      <c r="M20" s="28"/>
      <c r="N20" s="149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1"/>
    </row>
    <row r="21" spans="1:25" ht="20.100000000000001" customHeight="1" x14ac:dyDescent="0.3">
      <c r="A21" s="75" t="s">
        <v>10</v>
      </c>
      <c r="B21" s="75"/>
      <c r="C21" s="78" t="s">
        <v>143</v>
      </c>
      <c r="D21" s="79"/>
      <c r="E21" s="87">
        <v>0.5</v>
      </c>
      <c r="F21" s="88"/>
      <c r="G21" s="47" t="s">
        <v>85</v>
      </c>
      <c r="H21" s="31"/>
      <c r="I21" s="85"/>
      <c r="J21" s="86"/>
      <c r="K21" s="85"/>
      <c r="L21" s="86"/>
      <c r="M21" s="28"/>
      <c r="N21" s="149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</row>
    <row r="22" spans="1:25" ht="20.100000000000001" customHeight="1" x14ac:dyDescent="0.3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7">
        <v>0.03</v>
      </c>
      <c r="F22" s="88"/>
      <c r="G22" s="47" t="s">
        <v>86</v>
      </c>
      <c r="H22" s="31"/>
      <c r="I22" s="85"/>
      <c r="J22" s="86"/>
      <c r="K22" s="85"/>
      <c r="L22" s="86"/>
      <c r="M22" s="28"/>
      <c r="N22" s="152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4"/>
    </row>
    <row r="23" spans="1:25" ht="20.100000000000001" customHeight="1" x14ac:dyDescent="0.3">
      <c r="A23" s="82" t="s">
        <v>193</v>
      </c>
      <c r="B23" s="82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87">
        <v>0.02</v>
      </c>
      <c r="F23" s="88"/>
      <c r="G23" s="47" t="s">
        <v>87</v>
      </c>
      <c r="H23" s="31"/>
      <c r="I23" s="85"/>
      <c r="J23" s="86"/>
      <c r="K23" s="85"/>
      <c r="L23" s="86"/>
      <c r="M23" s="28"/>
      <c r="N23" s="134" t="s">
        <v>133</v>
      </c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3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47" t="s">
        <v>88</v>
      </c>
      <c r="H24" s="31"/>
      <c r="I24" s="85"/>
      <c r="J24" s="86"/>
      <c r="K24" s="85"/>
      <c r="L24" s="86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5" t="s">
        <v>1</v>
      </c>
      <c r="B25" s="98"/>
      <c r="C25" s="98"/>
      <c r="D25" s="98"/>
      <c r="E25" s="98"/>
      <c r="F25" s="97"/>
      <c r="G25" s="97"/>
      <c r="H25" s="97"/>
      <c r="I25" s="97"/>
      <c r="J25" s="97"/>
      <c r="K25" s="98"/>
      <c r="L25" s="99"/>
      <c r="M25" s="28"/>
      <c r="N25" s="21" t="s">
        <v>96</v>
      </c>
      <c r="O25" s="8" t="s">
        <v>199</v>
      </c>
      <c r="P25" s="33"/>
      <c r="Q25" s="8">
        <v>21</v>
      </c>
      <c r="R25" s="8">
        <v>6</v>
      </c>
      <c r="S25" s="8"/>
      <c r="T25" s="8">
        <v>11</v>
      </c>
      <c r="U25" s="8">
        <v>2</v>
      </c>
      <c r="V25" s="8">
        <v>3</v>
      </c>
      <c r="W25" s="8">
        <v>240</v>
      </c>
      <c r="X25" s="8">
        <v>240</v>
      </c>
      <c r="Y25" s="8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3" t="s">
        <v>132</v>
      </c>
      <c r="H26" s="143"/>
      <c r="I26" s="143" t="s">
        <v>131</v>
      </c>
      <c r="J26" s="143"/>
      <c r="K26" s="23" t="s">
        <v>94</v>
      </c>
      <c r="L26" s="23" t="s">
        <v>95</v>
      </c>
      <c r="M26" s="28"/>
      <c r="N26" s="115" t="s">
        <v>137</v>
      </c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9"/>
    </row>
    <row r="27" spans="1:25" ht="20.100000000000001" customHeight="1" x14ac:dyDescent="0.25">
      <c r="A27" s="21" t="s">
        <v>96</v>
      </c>
      <c r="B27" s="7" t="s">
        <v>202</v>
      </c>
      <c r="C27" s="7"/>
      <c r="D27" s="8">
        <v>70</v>
      </c>
      <c r="E27" s="58">
        <v>3</v>
      </c>
      <c r="F27" s="7"/>
      <c r="G27" s="59"/>
      <c r="H27" s="59"/>
      <c r="I27" s="59"/>
      <c r="J27" s="59"/>
      <c r="K27" s="7"/>
      <c r="L27" s="8"/>
      <c r="M27" s="28"/>
      <c r="N27" s="23" t="s">
        <v>183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191</v>
      </c>
      <c r="X27" s="23" t="s">
        <v>192</v>
      </c>
      <c r="Y27" s="23" t="s">
        <v>22</v>
      </c>
    </row>
    <row r="28" spans="1:25" ht="20.100000000000001" customHeight="1" x14ac:dyDescent="0.25">
      <c r="A28" s="21" t="s">
        <v>97</v>
      </c>
      <c r="B28" s="7" t="s">
        <v>203</v>
      </c>
      <c r="C28" s="7"/>
      <c r="D28" s="155">
        <v>21</v>
      </c>
      <c r="E28" s="58">
        <v>1.8</v>
      </c>
      <c r="F28" s="7"/>
      <c r="G28" s="59"/>
      <c r="H28" s="59"/>
      <c r="I28" s="59"/>
      <c r="J28" s="59"/>
      <c r="K28" s="7"/>
      <c r="L28" s="8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139"/>
      <c r="G29" s="139"/>
      <c r="H29" s="139"/>
      <c r="I29" s="139"/>
      <c r="J29" s="139"/>
      <c r="K29" s="97"/>
      <c r="L29" s="140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4"/>
      <c r="C30" s="31"/>
      <c r="D30" s="10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4"/>
      <c r="C31" s="31"/>
      <c r="D31" s="10" t="s">
        <v>112</v>
      </c>
      <c r="E31" s="35"/>
      <c r="F31" s="39"/>
      <c r="G31" s="10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183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191</v>
      </c>
      <c r="X44" s="23" t="s">
        <v>192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45941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45932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195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184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186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3B273A5-00E7-4B5A-8A4F-B41CF7F2EDF8}"/>
</file>

<file path=customXml/itemProps2.xml><?xml version="1.0" encoding="utf-8"?>
<ds:datastoreItem xmlns:ds="http://schemas.openxmlformats.org/officeDocument/2006/customXml" ds:itemID="{C90D7E26-CC19-4D8A-A70F-7A60EFDCCD42}"/>
</file>

<file path=customXml/itemProps3.xml><?xml version="1.0" encoding="utf-8"?>
<ds:datastoreItem xmlns:ds="http://schemas.openxmlformats.org/officeDocument/2006/customXml" ds:itemID="{A2BB5F49-AA3C-47E7-A3D9-1E8E4A18BC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2024-04-02T23:18:14Z</cp:lastPrinted>
  <dcterms:created xsi:type="dcterms:W3CDTF">2019-11-27T23:28:06Z</dcterms:created>
  <dcterms:modified xsi:type="dcterms:W3CDTF">2025-09-11T00:45:30Z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