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2063525C-0CA6-458E-B1B2-4281EF7A93C1}" xr6:coauthVersionLast="45" xr6:coauthVersionMax="45" xr10:uidLastSave="{00000000-0000-0000-0000-000000000000}"/>
  <bookViews>
    <workbookView xWindow="-10155" yWindow="157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<sst xmlns="http://schemas.openxmlformats.org/spreadsheetml/2006/main" count="301" uniqueCount="199">
  <si>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</si>
  <si>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</si>
  <si>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</si>
  <si>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</si>
  <si>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</si>
  <si>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</si>
  <si>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</si>
  <si>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</si>
  <si>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</si>
  <si>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</si>
  <si>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</si>
  <si>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</si>
  <si>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</si>
  <si>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</si>
  <si>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</si>
  <si>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</si>
  <si>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</si>
  <si>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</si>
  <si>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</si>
  <si>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</si>
  <si>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</si>
  <si>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</si>
  <si>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</si>
  <si>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</si>
  <si>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</si>
  <si>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</si>
  <si>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</si>
  <si>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</si>
  <si>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</si>
  <si>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</si>
  <si>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</si>
  <si>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</si>
  <si>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</si>
  <si>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</si>
  <si>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</si>
  <si>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</si>
  <si>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</si>
  <si>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</si>
  <si>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</si>
  <si>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</si>
  <si>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</si>
  <si>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</si>
  <si>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</si>
  <si>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</si>
  <si>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</si>
  <si>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</si>
  <si>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</si>
  <si>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</si>
  <si>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</si>
  <si>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</si>
  <si>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</si>
  <si>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</si>
  <si>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</si>
  <si>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</si>
  <si>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</si>
  <si>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</si>
  <si>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</si>
  <si>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</si>
  <si>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</si>
  <si>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</si>
  <si>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</si>
  <si>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</si>
  <si>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</si>
  <si>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</si>
  <si>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</si>
  <si>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</si>
  <si>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</si>
  <si>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</si>
  <si>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</si>
  <si>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</si>
  <si>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</si>
  <si>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</si>
  <si>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</si>
  <si>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</si>
  <si>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</si>
  <si>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</si>
  <si>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</si>
  <si>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</si>
  <si>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</si>
  <si>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</si>
  <si>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</si>
  <si>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</si>
  <si>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</si>
  <si>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</si>
  <si>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</si>
  <si>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</si>
  <si>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</si>
  <si>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</si>
  <si>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</si>
  <si>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</si>
  <si>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</si>
  <si>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</si>
  <si>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</si>
  <si>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</si>
  <si>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</si>
  <si>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</si>
  <si>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</si>
  <si>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</si>
  <si>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</si>
  <si>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</si>
  <si>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</si>
  <si>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</si>
  <si>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</si>
  <si>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</si>
  <si>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</si>
  <si>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</si>
  <si>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</si>
  <si>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</si>
  <si>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</si>
  <si>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</si>
  <si>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</si>
  <si>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</si>
  <si>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</si>
  <si>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</si>
  <si>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</si>
  <si>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</si>
  <si>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</si>
  <si>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</si>
  <si>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</si>
  <si>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</si>
  <si>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</si>
  <si>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</si>
  <si>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</si>
  <si>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</si>
  <si>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</si>
  <si>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</si>
  <si>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</si>
  <si>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</si>
  <si>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</si>
  <si>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</si>
  <si>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</si>
  <si>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</si>
  <si>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</si>
  <si>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</si>
  <si>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</si>
  <si>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</si>
  <si>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</si>
  <si>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</si>
  <si>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</si>
  <si>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</si>
  <si>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</si>
  <si>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</si>
  <si>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</si>
  <si>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</si>
  <si>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</si>
  <si>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</si>
  <si>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</si>
  <si>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</si>
  <si>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</si>
  <si>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</si>
  <si>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</si>
  <si>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</si>
  <si>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</si>
  <si>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</si>
  <si>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</si>
  <si>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</si>
  <si>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</si>
  <si>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</si>
  <si>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</si>
  <si>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</si>
  <si>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</si>
  <si>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</si>
  <si>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</si>
  <si>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</si>
  <si>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</si>
  <si>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</si>
  <si>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</si>
  <si>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</si>
  <si>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</si>
  <si>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</si>
  <si>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</si>
  <si>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</si>
  <si>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</si>
  <si>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</si>
  <si>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</si>
  <si>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</si>
  <si>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</si>
  <si>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</si>
  <si>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</si>
  <si>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</si>
  <si>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</si>
  <si>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</si>
  <si>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</si>
  <si>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</si>
  <si>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</si>
  <si>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</si>
  <si>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</si>
  <si>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</si>
  <si>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</si>
  <si>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</si>
  <si>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</si>
  <si>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</si>
  <si>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</si>
  <si>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</si>
  <si>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</si>
  <si>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</si>
  <si>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PRO-PAC</t>
  </si>
  <si>
    <t>NEW ITEM - PERF INLINE</t>
  </si>
  <si>
    <t>RUN AT 110-120um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</si>
</sst>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topLeftCell="F1" zoomScale="80" zoomScaleNormal="80" workbookViewId="0">
      <selection activeCell="T9" sqref="T9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PBR10001850120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44119</v>
      </c>
      <c r="K1" s="119"/>
      <c r="L1" s="120"/>
      <c r="M1" s="35"/>
      <c r="N1" s="18" t="s">
        <v>55</v>
      </c>
      <c r="O1" s="108" t="str">
        <f>B1</f>
        <v>PBR10001850120</v>
      </c>
      <c r="P1" s="108"/>
      <c r="Q1" s="109"/>
      <c r="R1" s="18" t="s">
        <v>56</v>
      </c>
      <c r="S1" s="108" t="str">
        <f>F1</f>
        <v>PRO-PAC</v>
      </c>
      <c r="T1" s="108"/>
      <c r="U1" s="109"/>
      <c r="V1" s="18" t="s">
        <v>180</v>
      </c>
      <c r="W1" s="119">
        <f ca="1">J1</f>
        <v>44119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938353</v>
      </c>
      <c r="G2" s="71"/>
      <c r="H2" s="72"/>
      <c r="I2" s="18" t="s">
        <v>58</v>
      </c>
      <c r="J2" s="131">
        <v>44112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938353</v>
      </c>
      <c r="T2" s="108"/>
      <c r="U2" s="109"/>
      <c r="V2" s="18" t="s">
        <v>58</v>
      </c>
      <c r="W2" s="121">
        <f>J2</f>
        <v>44112</v>
      </c>
      <c r="X2" s="108"/>
      <c r="Y2" s="109"/>
    </row>
    <row r="3" spans="1:25" ht="20.100000000000001" customHeight="1" x14ac:dyDescent="0.2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NEW ITEM - PERF INLINE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10</v>
      </c>
      <c r="P7" s="72"/>
      <c r="Q7" s="18" t="str">
        <f>IF(ISNUMBER(SEARCH("roll",O8,1)),"Per Roll","Per Carton")</f>
        <v>Per Roll</v>
      </c>
      <c r="R7" s="71">
        <v>50</v>
      </c>
      <c r="S7" s="72"/>
      <c r="T7" s="18" t="str">
        <f>IF(ISNUMBER(SEARCH("bag",O8,1)),"Total Bags","Total Sheets")</f>
        <v>Total Bags</v>
      </c>
      <c r="U7" s="108">
        <f>R7*O7</f>
        <v>500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1000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120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198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1000</v>
      </c>
      <c r="S9" s="25" t="s">
        <v>77</v>
      </c>
      <c r="T9" s="36">
        <v>1850</v>
      </c>
      <c r="U9" s="25" t="s">
        <v>77</v>
      </c>
      <c r="V9" s="36">
        <v>120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10</v>
      </c>
      <c r="C10" s="72"/>
      <c r="D10" s="56" t="s">
        <v>133</v>
      </c>
      <c r="E10" s="146">
        <f>IF(ISNUMBER(SEARCH("sheet",O8,1)),((R9*T9*H8/540000)*U7/2000*1.3),((R9*T9*H8/540000)*U7/1000*1.08))</f>
        <v>222</v>
      </c>
      <c r="F10" s="147"/>
      <c r="G10" s="18" t="s">
        <v>52</v>
      </c>
      <c r="H10" s="150">
        <f>IF(ISNUMBER(SEARCH("sheet",O8,1)),(U7*T9/2000*1.08),(U7*T9/1000*1.08))</f>
        <v>999.00000000000011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/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22.2</v>
      </c>
      <c r="F11" s="149"/>
      <c r="G11" s="18" t="s">
        <v>14</v>
      </c>
      <c r="H11" s="148">
        <f>H10/B10</f>
        <v>99.9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22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22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44150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44140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0764BD2-D6D6-4C19-BE04-A4F964044639}"/>
</file>

<file path=customXml/itemProps2.xml><?xml version="1.0" encoding="utf-8"?>
<ds:datastoreItem xmlns:ds="http://schemas.openxmlformats.org/officeDocument/2006/customXml" ds:itemID="{379D8690-9AC2-4E5D-8D22-B41B446A20B2}"/>
</file>

<file path=customXml/itemProps3.xml><?xml version="1.0" encoding="utf-8"?>
<ds:datastoreItem xmlns:ds="http://schemas.openxmlformats.org/officeDocument/2006/customXml" ds:itemID="{2FFE0662-AC20-4E68-8944-210CBEF5C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2020-09-08T05:07:13Z</cp:lastPrinted>
  <dcterms:created xsi:type="dcterms:W3CDTF">2019-11-27T23:28:06Z</dcterms:created>
  <dcterms:modified xsi:type="dcterms:W3CDTF">2020-10-15T00:07:27Z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