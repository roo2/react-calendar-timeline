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2A913E6-D4D4-426F-9CA2-28A71A8A51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<sst xmlns="http://schemas.openxmlformats.org/spreadsheetml/2006/main" count="226" uniqueCount="168">
  <si>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</si>
  <si>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</si>
  <si>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</si>
  <si>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</si>
  <si>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</si>
  <si>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</si>
  <si>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</si>
  <si>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</si>
  <si>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</si>
  <si>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</si>
  <si>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</si>
  <si>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</si>
  <si>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</si>
  <si>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</si>
  <si>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</si>
  <si>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</si>
  <si>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</si>
  <si>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</si>
  <si>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</si>
  <si>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</si>
  <si>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</si>
  <si>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</si>
  <si>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</si>
  <si>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</si>
  <si>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</si>
  <si>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</si>
  <si>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</si>
  <si>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</si>
  <si>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</si>
  <si>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</si>
  <si>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</si>
  <si>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</si>
  <si>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</si>
  <si>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</si>
  <si>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</si>
  <si>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</si>
  <si>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</si>
  <si>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</si>
  <si>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</si>
  <si>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</si>
  <si>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</si>
  <si>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</si>
  <si>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</si>
  <si>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</si>
  <si>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</si>
  <si>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</si>
  <si>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</si>
  <si>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</si>
  <si>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</si>
  <si>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</si>
  <si>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</si>
  <si>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</si>
  <si>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</si>
  <si>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</si>
  <si>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</si>
  <si>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</si>
  <si>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</si>
  <si>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</si>
  <si>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</si>
  <si>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</si>
  <si>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</si>
  <si>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</si>
  <si>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</si>
  <si>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</si>
  <si>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</si>
  <si>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</si>
  <si>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</si>
  <si>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</si>
  <si>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</si>
  <si>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</si>
  <si>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</si>
  <si>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</si>
  <si>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</si>
  <si>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</si>
  <si>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</si>
  <si>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</si>
  <si>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</si>
  <si>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</si>
  <si>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</si>
  <si>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</si>
  <si>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</si>
  <si>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</si>
  <si>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</si>
  <si>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</si>
  <si>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</si>
  <si>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</si>
  <si>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</si>
  <si>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</si>
  <si>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</si>
  <si>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</si>
  <si>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</si>
  <si>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</si>
  <si>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</si>
  <si>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</si>
  <si>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</si>
  <si>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</si>
  <si>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</si>
  <si>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</si>
  <si>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</si>
  <si>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</si>
  <si>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</si>
  <si>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</si>
  <si>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</si>
  <si>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</si>
  <si>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</si>
  <si>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</si>
  <si>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</si>
  <si>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</si>
  <si>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</si>
  <si>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</si>
  <si>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</si>
  <si>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</si>
  <si>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</si>
  <si>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</si>
  <si>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</si>
  <si>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</si>
  <si>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</si>
  <si>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</si>
  <si>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</si>
  <si>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</si>
  <si>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</si>
  <si>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</si>
  <si>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</si>
  <si>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</si>
  <si>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</si>
  <si>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</si>
  <si>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</si>
  <si>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</si>
  <si>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</si>
  <si>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</si>
  <si>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</si>
  <si>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</si>
  <si>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</si>
  <si>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</si>
  <si>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</si>
  <si>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</si>
  <si>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</si>
  <si>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</si>
  <si>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</si>
  <si>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</si>
  <si>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</si>
  <si>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</si>
  <si>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</si>
  <si>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</si>
  <si>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</si>
  <si>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</si>
  <si>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</si>
  <si>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</si>
  <si>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</si>
  <si>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</si>
  <si>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</si>
  <si>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</si>
  <si>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</si>
  <si>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</si>
  <si>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</si>
  <si>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</si>
  <si>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</si>
  <si>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</si>
  <si>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</si>
  <si>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</si>
  <si>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</si>
  <si>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</si>
  <si>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</si>
  <si>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</si>
  <si>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RUN AT 190um</t>
  </si>
  <si>
    <t>SEDL</t>
  </si>
  <si>
    <t>ANTIBLOCK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</si>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</sst>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U4" sqref="U4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T400200FALSE</v>
      </c>
      <c r="C1" s="61"/>
      <c r="D1" s="62"/>
      <c r="E1" s="10" t="s">
        <v>55</v>
      </c>
      <c r="F1" s="51" t="s">
        <v>165</v>
      </c>
      <c r="G1" s="51"/>
      <c r="H1" s="52"/>
      <c r="I1" s="10" t="s">
        <v>147</v>
      </c>
      <c r="J1" s="76">
        <f ca="1">TODAY()</f>
        <v>45511</v>
      </c>
      <c r="K1" s="76"/>
      <c r="L1" s="77"/>
    </row>
    <row r="2" spans="1:14" ht="20.100000000000001" customHeight="1" x14ac:dyDescent="0.25">
      <c r="A2" s="10" t="s">
        <v>94</v>
      </c>
      <c r="B2" s="65" t="str">
        <f>IF(B7="Tube",(ROUNDUP(E11,0)&amp;"KG"),(ROUNDUP(H11,0)&amp;"M"))</f>
        <v>20KG</v>
      </c>
      <c r="C2" s="65"/>
      <c r="D2" s="66"/>
      <c r="E2" s="10" t="s">
        <v>56</v>
      </c>
      <c r="F2" s="51">
        <v>947650</v>
      </c>
      <c r="G2" s="51"/>
      <c r="H2" s="52"/>
      <c r="I2" s="10" t="s">
        <v>57</v>
      </c>
      <c r="J2" s="78">
        <v>45411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0" t="s">
        <v>157</v>
      </c>
      <c r="B7" s="51" t="s">
        <v>158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1" t="s">
        <v>14</v>
      </c>
      <c r="B8" s="97">
        <v>400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200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2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164</v>
      </c>
      <c r="I9" s="82"/>
      <c r="J9" s="10" t="s">
        <v>53</v>
      </c>
      <c r="K9" s="51" t="s">
        <v>28</v>
      </c>
      <c r="L9" s="52"/>
    </row>
    <row r="10" spans="1:14" ht="20.100000000000001" customHeight="1" x14ac:dyDescent="0.25">
      <c r="A10" s="10" t="s">
        <v>49</v>
      </c>
      <c r="B10" s="51">
        <v>5</v>
      </c>
      <c r="C10" s="52"/>
      <c r="D10" s="35" t="s">
        <v>104</v>
      </c>
      <c r="E10" s="85">
        <f>E11*B10</f>
        <v>100</v>
      </c>
      <c r="F10" s="86"/>
      <c r="G10" s="10" t="s">
        <v>51</v>
      </c>
      <c r="H10" s="65">
        <f>H11*B10</f>
        <v>675</v>
      </c>
      <c r="I10" s="66"/>
      <c r="J10" s="10" t="s">
        <v>39</v>
      </c>
      <c r="K10" s="51" t="s">
        <v>42</v>
      </c>
      <c r="L10" s="52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20</v>
      </c>
      <c r="F11" s="88"/>
      <c r="G11" s="41" t="s">
        <v>13</v>
      </c>
      <c r="H11" s="89">
        <f>E11*540000/B8/H8</f>
        <v>135</v>
      </c>
      <c r="I11" s="90"/>
      <c r="J11" s="41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5</v>
      </c>
      <c r="G16" s="61"/>
      <c r="H16" s="62"/>
      <c r="I16" s="10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00000000000001" customHeight="1" x14ac:dyDescent="0.25">
      <c r="A23" s="49" t="s">
        <v>149</v>
      </c>
      <c r="B23" s="49"/>
      <c r="C23" s="63" t="s">
        <v>150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9" t="s">
        <v>81</v>
      </c>
      <c r="H24" s="30"/>
      <c r="I24" s="56"/>
      <c r="J24" s="57"/>
      <c r="K24" s="56"/>
      <c r="L24" s="57"/>
    </row>
    <row r="25" spans="1:12" ht="20.100000000000001" customHeight="1" x14ac:dyDescent="0.25">
      <c r="A25" s="49" t="s">
        <v>166</v>
      </c>
      <c r="B25" s="49"/>
      <c r="C25" s="63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64"/>
      <c r="E25" s="103"/>
      <c r="F25" s="104"/>
      <c r="G25" s="9" t="s">
        <v>82</v>
      </c>
      <c r="H25" s="30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22">
        <v>22</v>
      </c>
      <c r="E28" s="44">
        <v>2.4</v>
      </c>
      <c r="F28" s="6"/>
      <c r="G28" s="45"/>
      <c r="H28" s="45"/>
      <c r="I28" s="45"/>
      <c r="J28" s="4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45542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45532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4B1CD30-03FC-4E0C-84F2-723423EFE29C}"/>
</file>

<file path=customXml/itemProps2.xml><?xml version="1.0" encoding="utf-8"?>
<ds:datastoreItem xmlns:ds="http://schemas.openxmlformats.org/officeDocument/2006/customXml" ds:itemID="{CCFE6B07-359A-4A2D-8F07-6624D409D8FD}"/>
</file>

<file path=customXml/itemProps3.xml><?xml version="1.0" encoding="utf-8"?>
<ds:datastoreItem xmlns:ds="http://schemas.openxmlformats.org/officeDocument/2006/customXml" ds:itemID="{525F58B6-ADAF-4567-97F8-D51047B23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2024-04-07T23:55:26Z</cp:lastPrinted>
  <dcterms:created xsi:type="dcterms:W3CDTF">2019-11-27T23:28:06Z</dcterms:created>
  <dcterms:modified xsi:type="dcterms:W3CDTF">2024-08-07T05:26:08Z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