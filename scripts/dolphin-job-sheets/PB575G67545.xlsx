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EBC6CBD-A3CB-4B03-92DB-AE0F270FDF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<sst xmlns="http://schemas.openxmlformats.org/spreadsheetml/2006/main" count="303" uniqueCount="200">
  <si>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</si>
  <si>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</si>
  <si>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</si>
  <si>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</si>
  <si>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</si>
  <si>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</si>
  <si>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</si>
  <si>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</si>
  <si>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</si>
  <si>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</si>
  <si>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</si>
  <si>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</si>
  <si>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</si>
  <si>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</si>
  <si>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</si>
  <si>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</si>
  <si>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</si>
  <si>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</si>
  <si>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</si>
  <si>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</si>
  <si>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</si>
  <si>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</si>
  <si>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</si>
  <si>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</si>
  <si>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</si>
  <si>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</si>
  <si>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</si>
  <si>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</si>
  <si>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</si>
  <si>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</si>
  <si>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</si>
  <si>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</si>
  <si>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</si>
  <si>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</si>
  <si>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</si>
  <si>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</si>
  <si>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</si>
  <si>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</si>
  <si>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</si>
  <si>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</si>
  <si>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</si>
  <si>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</si>
  <si>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</si>
  <si>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</si>
  <si>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</si>
  <si>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</si>
  <si>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</si>
  <si>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</si>
  <si>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</si>
  <si>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</si>
  <si>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</si>
  <si>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</si>
  <si>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</si>
  <si>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</si>
  <si>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</si>
  <si>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</si>
  <si>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</si>
  <si>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</si>
  <si>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</si>
  <si>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</si>
  <si>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</si>
  <si>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</si>
  <si>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</si>
  <si>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</si>
  <si>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</si>
  <si>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</si>
  <si>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</si>
  <si>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</si>
  <si>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</si>
  <si>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</si>
  <si>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</si>
  <si>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</si>
  <si>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</si>
  <si>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</si>
  <si>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</si>
  <si>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</si>
  <si>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</si>
  <si>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</si>
  <si>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</si>
  <si>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</si>
  <si>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</si>
  <si>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</si>
  <si>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</si>
  <si>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</si>
  <si>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</si>
  <si>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</si>
  <si>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</si>
  <si>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</si>
  <si>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</si>
  <si>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</si>
  <si>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</si>
  <si>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</si>
  <si>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</si>
  <si>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</si>
  <si>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</si>
  <si>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</si>
  <si>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</si>
  <si>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</si>
  <si>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</si>
  <si>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</si>
  <si>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</si>
  <si>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</si>
  <si>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</si>
  <si>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</si>
  <si>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</si>
  <si>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</si>
  <si>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</si>
  <si>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</si>
  <si>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</si>
  <si>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</si>
  <si>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</si>
  <si>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</si>
  <si>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</si>
  <si>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</si>
  <si>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</si>
  <si>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</si>
  <si>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</si>
  <si>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</si>
  <si>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</si>
  <si>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</si>
  <si>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</si>
  <si>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</si>
  <si>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</si>
  <si>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</si>
  <si>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</si>
  <si>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</si>
  <si>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</si>
  <si>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</si>
  <si>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</si>
  <si>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</si>
  <si>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</si>
  <si>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</si>
  <si>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</si>
  <si>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</si>
  <si>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</si>
  <si>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</si>
  <si>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</si>
  <si>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</si>
  <si>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</si>
  <si>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</si>
  <si>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</si>
  <si>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</si>
  <si>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</si>
  <si>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</si>
  <si>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</si>
  <si>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</si>
  <si>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</si>
  <si>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</si>
  <si>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</si>
  <si>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</si>
  <si>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</si>
  <si>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</si>
  <si>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</si>
  <si>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</si>
  <si>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</si>
  <si>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</si>
  <si>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</si>
  <si>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</si>
  <si>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</si>
  <si>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</si>
  <si>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</si>
  <si>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</si>
  <si>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</si>
  <si>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</si>
  <si>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</si>
  <si>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</si>
  <si>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</si>
  <si>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</si>
  <si>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</si>
  <si>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</si>
  <si>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</si>
  <si>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</si>
  <si>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</si>
  <si>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</si>
  <si>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</si>
  <si>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</si>
  <si>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</si>
  <si>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</si>
  <si>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</si>
  <si>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</si>
  <si>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</si>
  <si>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</si>
  <si>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</si>
  <si>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</si>
  <si>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</si>
  <si>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</si>
  <si>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</si>
  <si>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</si>
  <si>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</si>
  <si>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</si>
  <si>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</si>
  <si>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</si>
  <si>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</si>
  <si>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</si>
  <si>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(300+275)</t>
  </si>
  <si>
    <t xml:space="preserve"> +/- 10mm</t>
  </si>
  <si>
    <t xml:space="preserve"> +/- 5um</t>
  </si>
  <si>
    <t>PRO PLASTER</t>
  </si>
  <si>
    <t>MUST BE SHIPPED INTO CUSTOMER BY DUE DATE</t>
  </si>
  <si>
    <t>06.12.2021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</si>
</sst>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PB575G67545</v>
      </c>
      <c r="C1" s="126"/>
      <c r="D1" s="127"/>
      <c r="E1" s="12" t="s">
        <v>57</v>
      </c>
      <c r="F1" s="137" t="s">
        <v>197</v>
      </c>
      <c r="G1" s="138"/>
      <c r="H1" s="139"/>
      <c r="I1" s="13" t="s">
        <v>181</v>
      </c>
      <c r="J1" s="140">
        <f ca="1">TODAY()</f>
        <v>44487</v>
      </c>
      <c r="K1" s="140"/>
      <c r="L1" s="141"/>
      <c r="M1" s="34"/>
      <c r="N1" s="12" t="s">
        <v>56</v>
      </c>
      <c r="O1" s="126" t="str">
        <f>B1</f>
        <v>PB575G67545</v>
      </c>
      <c r="P1" s="126"/>
      <c r="Q1" s="127"/>
      <c r="R1" s="12" t="s">
        <v>57</v>
      </c>
      <c r="S1" s="126" t="str">
        <f>F1</f>
        <v>PRO PLASTER</v>
      </c>
      <c r="T1" s="126"/>
      <c r="U1" s="127"/>
      <c r="V1" s="12" t="s">
        <v>181</v>
      </c>
      <c r="W1" s="140">
        <f ca="1">J1</f>
        <v>44487</v>
      </c>
      <c r="X1" s="140"/>
      <c r="Y1" s="141"/>
    </row>
    <row r="2" spans="1:28" ht="20.100000000000001" customHeight="1" x14ac:dyDescent="0.25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941702</v>
      </c>
      <c r="G2" s="74"/>
      <c r="H2" s="75"/>
      <c r="I2" s="12" t="s">
        <v>59</v>
      </c>
      <c r="J2" s="143" t="s">
        <v>199</v>
      </c>
      <c r="K2" s="74"/>
      <c r="L2" s="75"/>
      <c r="M2" s="34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941702</v>
      </c>
      <c r="T2" s="126"/>
      <c r="U2" s="127"/>
      <c r="V2" s="12" t="s">
        <v>59</v>
      </c>
      <c r="W2" s="142" t="str">
        <f>J2</f>
        <v>06.12.2021</v>
      </c>
      <c r="X2" s="126"/>
      <c r="Y2" s="127"/>
    </row>
    <row r="3" spans="1:28" ht="20.100000000000001" customHeight="1" x14ac:dyDescent="0.25">
      <c r="A3" s="128" t="s">
        <v>198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 t="str">
        <f>A3</f>
        <v>MUST BE SHIPPED INTO CUSTOMER BY DUE DATE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8" t="s">
        <v>163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40</v>
      </c>
      <c r="P7" s="75"/>
      <c r="Q7" s="12" t="str">
        <f>IF(ISNUMBER(SEARCH("roll",O8,1)),"Per Roll","Per Carton")</f>
        <v>Per Carton</v>
      </c>
      <c r="R7" s="74">
        <v>500</v>
      </c>
      <c r="S7" s="75"/>
      <c r="T7" s="12" t="str">
        <f>IF(ISNUMBER(SEARCH("bag",O8,1)),"Total Bags","Total Sheets")</f>
        <v>Total Bags</v>
      </c>
      <c r="U7" s="126">
        <f>R7*O7</f>
        <v>20000</v>
      </c>
      <c r="V7" s="127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575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(300+275)</v>
      </c>
      <c r="F8" s="115"/>
      <c r="G8" s="15" t="s">
        <v>52</v>
      </c>
      <c r="H8" s="114">
        <f>(IF(V9&lt;30,"30",V9))</f>
        <v>45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Gusset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13"/>
    </row>
    <row r="9" spans="1:28" ht="20.100000000000001" customHeight="1" x14ac:dyDescent="0.3">
      <c r="A9" s="18" t="s">
        <v>48</v>
      </c>
      <c r="B9" s="147" t="s">
        <v>195</v>
      </c>
      <c r="C9" s="148"/>
      <c r="D9" s="155" t="str">
        <f>IF(K10="Middle","RUN 2 UP",IF(AND(O8="Centrefold Roll",B8=380),"RUN 2 UP",""))</f>
        <v/>
      </c>
      <c r="E9" s="118"/>
      <c r="F9" s="119"/>
      <c r="G9" s="18" t="s">
        <v>48</v>
      </c>
      <c r="H9" s="147" t="s">
        <v>196</v>
      </c>
      <c r="I9" s="148"/>
      <c r="J9" s="12" t="s">
        <v>55</v>
      </c>
      <c r="K9" s="74" t="s">
        <v>30</v>
      </c>
      <c r="L9" s="75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575</v>
      </c>
      <c r="S9" s="20" t="s">
        <v>78</v>
      </c>
      <c r="T9" s="70">
        <v>675</v>
      </c>
      <c r="U9" s="20" t="s">
        <v>78</v>
      </c>
      <c r="V9" s="35">
        <v>45</v>
      </c>
      <c r="W9" s="19"/>
      <c r="X9" s="100" t="s">
        <v>194</v>
      </c>
      <c r="Y9" s="101"/>
    </row>
    <row r="10" spans="1:28" ht="20.100000000000001" customHeight="1" x14ac:dyDescent="0.25">
      <c r="A10" s="12" t="s">
        <v>51</v>
      </c>
      <c r="B10" s="74">
        <v>18</v>
      </c>
      <c r="C10" s="75"/>
      <c r="D10" s="54" t="s">
        <v>134</v>
      </c>
      <c r="E10" s="149">
        <f>IF(ISNUMBER(SEARCH("sheet",O8,1)),((R9*T9*H8/540000)*U7/2000*1.3),((R9*T9*H8/540000)*U7/1000*1.08))</f>
        <v>698.625</v>
      </c>
      <c r="F10" s="150"/>
      <c r="G10" s="12" t="s">
        <v>53</v>
      </c>
      <c r="H10" s="153">
        <f>IF(ISNUMBER(SEARCH("sheet",O8,1)),(U7*T9/2000*1.08),(U7*T9/1000*1.08))</f>
        <v>14580.000000000002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1">
        <f>E10/B10</f>
        <v>38.8125</v>
      </c>
      <c r="F11" s="152"/>
      <c r="G11" s="12" t="s">
        <v>15</v>
      </c>
      <c r="H11" s="151">
        <f>H10/B10</f>
        <v>810.00000000000011</v>
      </c>
      <c r="I11" s="152"/>
      <c r="J11" s="12" t="s">
        <v>50</v>
      </c>
      <c r="K11" s="74" t="s">
        <v>44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40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>
        <v>180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0"/>
      <c r="E22" s="111"/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9"/>
      <c r="B23" s="16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0"/>
      <c r="B24" s="17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44518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44508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55D2773-C07B-4453-A8B9-1396AB7C84DB}"/>
</file>

<file path=customXml/itemProps2.xml><?xml version="1.0" encoding="utf-8"?>
<ds:datastoreItem xmlns:ds="http://schemas.openxmlformats.org/officeDocument/2006/customXml" ds:itemID="{808A26B8-EC8C-4423-A06A-5156FECE10A9}"/>
</file>

<file path=customXml/itemProps3.xml><?xml version="1.0" encoding="utf-8"?>
<ds:datastoreItem xmlns:ds="http://schemas.openxmlformats.org/officeDocument/2006/customXml" ds:itemID="{D6C3FD4D-1E47-4ABE-AC72-CF548513E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2021-10-18T03:54:38Z</cp:lastPrinted>
  <dcterms:created xsi:type="dcterms:W3CDTF">2019-11-27T23:28:06Z</dcterms:created>
  <dcterms:modified xsi:type="dcterms:W3CDTF">2021-10-18T04:48:12Z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