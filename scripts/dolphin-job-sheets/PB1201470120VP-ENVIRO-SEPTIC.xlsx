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157DBB13-2EE2-4318-B1FE-5797FCD754B6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<sst xmlns="http://schemas.openxmlformats.org/spreadsheetml/2006/main" count="305" uniqueCount="200">
  <si>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</si>
  <si>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</si>
  <si>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</si>
  <si>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</si>
  <si>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</si>
  <si>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</si>
  <si>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</si>
  <si>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</si>
  <si>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</si>
  <si>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</si>
  <si>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</si>
  <si>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</si>
  <si>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</si>
  <si>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</si>
  <si>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</si>
  <si>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</si>
  <si>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</si>
  <si>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</si>
  <si>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</si>
  <si>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</si>
  <si>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</si>
  <si>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</si>
  <si>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</si>
  <si>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</si>
  <si>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</si>
  <si>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</si>
  <si>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</si>
  <si>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</si>
  <si>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</si>
  <si>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</si>
  <si>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</si>
  <si>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</si>
  <si>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</si>
  <si>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</si>
  <si>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</si>
  <si>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</si>
  <si>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</si>
  <si>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</si>
  <si>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</si>
  <si>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</si>
  <si>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</si>
  <si>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</si>
  <si>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</si>
  <si>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</si>
  <si>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</si>
  <si>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</si>
  <si>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</si>
  <si>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</si>
  <si>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</si>
  <si>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</si>
  <si>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</si>
  <si>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</si>
  <si>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</si>
  <si>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</si>
  <si>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</si>
  <si>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</si>
  <si>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</si>
  <si>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</si>
  <si>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</si>
  <si>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</si>
  <si>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</si>
  <si>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</si>
  <si>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</si>
  <si>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</si>
  <si>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</si>
  <si>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</si>
  <si>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</si>
  <si>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</si>
  <si>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</si>
  <si>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</si>
  <si>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</si>
  <si>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</si>
  <si>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</si>
  <si>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</si>
  <si>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</si>
  <si>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</si>
  <si>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</si>
  <si>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</si>
  <si>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</si>
  <si>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</si>
  <si>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</si>
  <si>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</si>
  <si>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</si>
  <si>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</si>
  <si>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</si>
  <si>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</si>
  <si>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</si>
  <si>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</si>
  <si>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</si>
  <si>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</si>
  <si>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</si>
  <si>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</si>
  <si>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</si>
  <si>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</si>
  <si>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</si>
  <si>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</si>
  <si>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</si>
  <si>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</si>
  <si>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</si>
  <si>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</si>
  <si>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</si>
  <si>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</si>
  <si>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</si>
  <si>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</si>
  <si>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</si>
  <si>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</si>
  <si>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</si>
  <si>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</si>
  <si>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</si>
  <si>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</si>
  <si>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</si>
  <si>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</si>
  <si>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</si>
  <si>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</si>
  <si>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</si>
  <si>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</si>
  <si>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</si>
  <si>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</si>
  <si>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</si>
  <si>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</si>
  <si>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</si>
  <si>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</si>
  <si>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</si>
  <si>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</si>
  <si>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</si>
  <si>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</si>
  <si>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</si>
  <si>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</si>
  <si>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</si>
  <si>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</si>
  <si>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</si>
  <si>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</si>
  <si>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</si>
  <si>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</si>
  <si>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</si>
  <si>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</si>
  <si>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</si>
  <si>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</si>
  <si>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</si>
  <si>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</si>
  <si>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</si>
  <si>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</si>
  <si>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</si>
  <si>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</si>
  <si>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</si>
  <si>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</si>
  <si>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</si>
  <si>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</si>
  <si>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</si>
  <si>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</si>
  <si>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</si>
  <si>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</si>
  <si>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</si>
  <si>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</si>
  <si>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</si>
  <si>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</si>
  <si>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</si>
  <si>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</si>
  <si>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</si>
  <si>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</si>
  <si>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</si>
  <si>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</si>
  <si>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</si>
  <si>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</si>
  <si>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</si>
  <si>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</si>
  <si>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</si>
  <si>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</si>
  <si>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</si>
  <si>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</si>
  <si>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</si>
  <si>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</si>
  <si>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</si>
  <si>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</si>
  <si>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</si>
  <si>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</si>
  <si>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</si>
  <si>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</si>
  <si>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</si>
  <si>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</si>
  <si>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</si>
  <si>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</si>
  <si>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</si>
  <si>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</si>
  <si>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</si>
  <si>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</si>
  <si>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</si>
  <si>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</si>
  <si>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</si>
  <si>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</si>
  <si>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</si>
  <si>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</si>
  <si>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</si>
  <si>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</si>
  <si>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+5mm/-0mm</t>
  </si>
  <si>
    <t>ENVIRO-SEPTIC</t>
  </si>
  <si>
    <r>
      <t xml:space="preserve">Notes  </t>
    </r>
    <r>
      <rPr>
        <sz val="26"/>
        <color rgb="FFFF0000"/>
        <rFont val="Calibri"/>
        <family val="2"/>
        <scheme val="minor"/>
      </rPr>
      <t xml:space="preserve"> 1 X 6MM PUNCH HOLE 50MM FROM BOTTOM </t>
    </r>
  </si>
  <si>
    <t>"ENVIRO-SEPTIC" - 1 AROUND 730 CYLINDER</t>
  </si>
  <si>
    <t>NEW CUSTOMER - NEW JOB - ENSURE GOOD PRINT, CORRECT WIDTH AND NOT OVER GUAGE</t>
  </si>
  <si>
    <t>RUN AT 115-120UM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</si>
</sst>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3" fillId="5" borderId="2" xfId="0" applyFont="1" applyFill="1" applyBorder="1" applyAlignment="1" applyProtection="1">
      <alignment horizontal="center"/>
      <protection locked="0"/>
    </xf>
    <xf numFmtId="0" fontId="13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K22" sqref="K22:L2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PB1201470120VP</v>
      </c>
      <c r="C1" s="122"/>
      <c r="D1" s="123"/>
      <c r="E1" s="12" t="s">
        <v>57</v>
      </c>
      <c r="F1" s="133" t="s">
        <v>195</v>
      </c>
      <c r="G1" s="133"/>
      <c r="H1" s="134"/>
      <c r="I1" s="13" t="s">
        <v>181</v>
      </c>
      <c r="J1" s="95">
        <f ca="1">TODAY()</f>
        <v>44308</v>
      </c>
      <c r="K1" s="95"/>
      <c r="L1" s="96"/>
      <c r="M1" s="34"/>
      <c r="N1" s="12" t="s">
        <v>56</v>
      </c>
      <c r="O1" s="122" t="str">
        <f>B1</f>
        <v>PB1201470120VP</v>
      </c>
      <c r="P1" s="122"/>
      <c r="Q1" s="123"/>
      <c r="R1" s="12" t="s">
        <v>57</v>
      </c>
      <c r="S1" s="122" t="str">
        <f>F1</f>
        <v>ENVIRO-SEPTIC</v>
      </c>
      <c r="T1" s="122"/>
      <c r="U1" s="123"/>
      <c r="V1" s="12" t="s">
        <v>181</v>
      </c>
      <c r="W1" s="95">
        <f ca="1">J1</f>
        <v>44308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940147</v>
      </c>
      <c r="G2" s="98"/>
      <c r="H2" s="99"/>
      <c r="I2" s="12" t="s">
        <v>59</v>
      </c>
      <c r="J2" s="97" t="s">
        <v>192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940147</v>
      </c>
      <c r="T2" s="122"/>
      <c r="U2" s="123"/>
      <c r="V2" s="12" t="s">
        <v>59</v>
      </c>
      <c r="W2" s="135" t="str">
        <f>J2</f>
        <v>ASAP</v>
      </c>
      <c r="X2" s="122"/>
      <c r="Y2" s="123"/>
    </row>
    <row r="3" spans="1:28" ht="20.100000000000001" customHeight="1" x14ac:dyDescent="0.25">
      <c r="A3" s="124" t="s">
        <v>198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NEW CUSTOMER - NEW JOB - ENSURE GOOD PRINT, CORRECT WIDTH AND NOT OVER GUAGE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10</v>
      </c>
      <c r="P7" s="99"/>
      <c r="Q7" s="12" t="str">
        <f>IF(ISNUMBER(SEARCH("roll",O8,1)),"Per Roll","Per Carton")</f>
        <v>Per Carton</v>
      </c>
      <c r="R7" s="98">
        <v>200</v>
      </c>
      <c r="S7" s="99"/>
      <c r="T7" s="12" t="str">
        <f>IF(ISNUMBER(SEARCH("bag",O8,1)),"Total Bags","Total Sheets")</f>
        <v>Total Bags</v>
      </c>
      <c r="U7" s="122">
        <f>R7*O7</f>
        <v>2000</v>
      </c>
      <c r="V7" s="123"/>
      <c r="W7" s="12" t="s">
        <v>102</v>
      </c>
      <c r="X7" s="98" t="s">
        <v>31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120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120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199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120</v>
      </c>
      <c r="S9" s="20" t="s">
        <v>78</v>
      </c>
      <c r="T9" s="35">
        <v>1470</v>
      </c>
      <c r="U9" s="20" t="s">
        <v>78</v>
      </c>
      <c r="V9" s="35">
        <v>120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9</v>
      </c>
      <c r="C10" s="99"/>
      <c r="D10" s="54" t="s">
        <v>134</v>
      </c>
      <c r="E10" s="112">
        <f>IF(ISNUMBER(SEARCH("sheet",O8,1)),((R9*T9*H8/540000)*U7/2000*1.3),((R9*T9*H8/540000)*U7/1000*1.08))</f>
        <v>84.672000000000011</v>
      </c>
      <c r="F10" s="113"/>
      <c r="G10" s="12" t="s">
        <v>53</v>
      </c>
      <c r="H10" s="116">
        <f>IF(ISNUMBER(SEARCH("sheet",O8,1)),(U7*T9/2000*1.08),(U7*T9/1000*1.08))</f>
        <v>3175.2000000000003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187</v>
      </c>
      <c r="P10" s="139"/>
      <c r="Q10" s="16" t="s">
        <v>50</v>
      </c>
      <c r="R10" s="136" t="str">
        <f>IF(K11="NONE","None",IF(K11="INLINE","Yes",IF(K11="OUT OF LINE","Yes")))</f>
        <v>Yes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9.4080000000000013</v>
      </c>
      <c r="F11" s="115"/>
      <c r="G11" s="12" t="s">
        <v>15</v>
      </c>
      <c r="H11" s="114">
        <f>H10/B10</f>
        <v>352.8</v>
      </c>
      <c r="I11" s="115"/>
      <c r="J11" s="12" t="s">
        <v>50</v>
      </c>
      <c r="K11" s="98" t="s">
        <v>64</v>
      </c>
      <c r="L11" s="99"/>
      <c r="M11" s="34"/>
      <c r="N11" s="15"/>
      <c r="O11" s="100" t="str">
        <f>IF(O10="NONE","","V")</f>
        <v>V</v>
      </c>
      <c r="P11" s="101"/>
      <c r="Q11" s="15"/>
      <c r="R11" s="100" t="str">
        <f>IF(R10="None","","P")</f>
        <v>P</v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69</v>
      </c>
      <c r="C13" s="98"/>
      <c r="D13" s="99"/>
      <c r="E13" s="22" t="s">
        <v>61</v>
      </c>
      <c r="F13" s="98" t="s">
        <v>66</v>
      </c>
      <c r="G13" s="98"/>
      <c r="H13" s="99"/>
      <c r="I13" s="23" t="s">
        <v>62</v>
      </c>
      <c r="J13" s="98" t="s">
        <v>152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59" t="s">
        <v>197</v>
      </c>
      <c r="C14" s="159"/>
      <c r="D14" s="159"/>
      <c r="E14" s="159"/>
      <c r="F14" s="159"/>
      <c r="G14" s="159"/>
      <c r="H14" s="159"/>
      <c r="I14" s="159"/>
      <c r="J14" s="159"/>
      <c r="K14" s="159"/>
      <c r="L14" s="16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169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196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44338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44329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5A9EAF9-F704-4267-A459-14D8C7CA5DAD}"/>
</file>

<file path=customXml/itemProps2.xml><?xml version="1.0" encoding="utf-8"?>
<ds:datastoreItem xmlns:ds="http://schemas.openxmlformats.org/officeDocument/2006/customXml" ds:itemID="{018CBA2E-5151-4F72-A48D-FC007E7448DE}"/>
</file>

<file path=customXml/itemProps3.xml><?xml version="1.0" encoding="utf-8"?>
<ds:datastoreItem xmlns:ds="http://schemas.openxmlformats.org/officeDocument/2006/customXml" ds:itemID="{9F83DF49-6939-4124-AE7B-9248222860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2021-04-22T04:35:17Z</cp:lastPrinted>
  <dcterms:created xsi:type="dcterms:W3CDTF">2019-11-27T23:28:06Z</dcterms:created>
  <dcterms:modified xsi:type="dcterms:W3CDTF">2021-04-22T04:35:37Z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