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ED67A1E-3744-4C29-9839-265EEC238C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<sst xmlns="http://schemas.openxmlformats.org/spreadsheetml/2006/main" count="227" uniqueCount="169">
  <si>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</si>
  <si>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</si>
  <si>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</si>
  <si>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</si>
  <si>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</si>
  <si>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</si>
  <si>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</si>
  <si>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</si>
  <si>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</si>
  <si>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</si>
  <si>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</si>
  <si>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</si>
  <si>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</si>
  <si>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</si>
  <si>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</si>
  <si>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</si>
  <si>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</si>
  <si>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</si>
  <si>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</si>
  <si>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</si>
  <si>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</si>
  <si>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</si>
  <si>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</si>
  <si>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</si>
  <si>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</si>
  <si>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</si>
  <si>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</si>
  <si>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</si>
  <si>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</si>
  <si>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</si>
  <si>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</si>
  <si>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</si>
  <si>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</si>
  <si>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</si>
  <si>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</si>
  <si>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</si>
  <si>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</si>
  <si>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</si>
  <si>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</si>
  <si>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</si>
  <si>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</si>
  <si>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</si>
  <si>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</si>
  <si>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</si>
  <si>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</si>
  <si>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</si>
  <si>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</si>
  <si>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</si>
  <si>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</si>
  <si>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</si>
  <si>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</si>
  <si>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</si>
  <si>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</si>
  <si>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</si>
  <si>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</si>
  <si>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</si>
  <si>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</si>
  <si>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</si>
  <si>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</si>
  <si>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</si>
  <si>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</si>
  <si>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</si>
  <si>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</si>
  <si>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</si>
  <si>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</si>
  <si>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</si>
  <si>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</si>
  <si>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</si>
  <si>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</si>
  <si>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</si>
  <si>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</si>
  <si>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</si>
  <si>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</si>
  <si>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</si>
  <si>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</si>
  <si>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</si>
  <si>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</si>
  <si>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</si>
  <si>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</si>
  <si>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</si>
  <si>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</si>
  <si>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</si>
  <si>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</si>
  <si>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</si>
  <si>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</si>
  <si>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</si>
  <si>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</si>
  <si>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</si>
  <si>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</si>
  <si>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</si>
  <si>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</si>
  <si>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</si>
  <si>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</si>
  <si>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</si>
  <si>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</si>
  <si>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</si>
  <si>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</si>
  <si>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</si>
  <si>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</si>
  <si>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</si>
  <si>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</si>
  <si>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</si>
  <si>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</si>
  <si>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</si>
  <si>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</si>
  <si>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</si>
  <si>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</si>
  <si>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</si>
  <si>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</si>
  <si>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</si>
  <si>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</si>
  <si>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</si>
  <si>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</si>
  <si>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</si>
  <si>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</si>
  <si>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</si>
  <si>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</si>
  <si>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</si>
  <si>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</si>
  <si>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</si>
  <si>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</si>
  <si>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</si>
  <si>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</si>
  <si>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</si>
  <si>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</si>
  <si>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</si>
  <si>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</si>
  <si>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</si>
  <si>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</si>
  <si>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</si>
  <si>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</si>
  <si>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</si>
  <si>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</si>
  <si>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</si>
  <si>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</si>
  <si>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</si>
  <si>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</si>
  <si>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</si>
  <si>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</si>
  <si>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</si>
  <si>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</si>
  <si>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</si>
  <si>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</si>
  <si>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</si>
  <si>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</si>
  <si>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</si>
  <si>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</si>
  <si>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</si>
  <si>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</si>
  <si>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</si>
  <si>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</si>
  <si>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</si>
  <si>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</si>
  <si>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</si>
  <si>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</si>
  <si>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</si>
  <si>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</si>
  <si>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</si>
  <si>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</si>
  <si>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</si>
  <si>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</si>
  <si>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</si>
  <si>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</si>
  <si>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</si>
  <si>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 xml:space="preserve"> +/- 5mm</t>
  </si>
  <si>
    <t>GREY AND BLUE</t>
  </si>
  <si>
    <t>EXECUTIVE DISTRIBUTORS</t>
  </si>
  <si>
    <t>PLEASE ENSURE NEAT ROLLS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</si>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</sst>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5" sqref="E25:F2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T200150FALSE</v>
      </c>
      <c r="C1" s="101"/>
      <c r="D1" s="102"/>
      <c r="E1" s="11" t="s">
        <v>55</v>
      </c>
      <c r="F1" s="46" t="s">
        <v>166</v>
      </c>
      <c r="G1" s="46"/>
      <c r="H1" s="47"/>
      <c r="I1" s="11" t="s">
        <v>147</v>
      </c>
      <c r="J1" s="112">
        <f ca="1">TODAY()</f>
        <v>46097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10KG</v>
      </c>
      <c r="C2" s="92"/>
      <c r="D2" s="93"/>
      <c r="E2" s="11" t="s">
        <v>56</v>
      </c>
      <c r="F2" s="46">
        <v>951406</v>
      </c>
      <c r="G2" s="46"/>
      <c r="H2" s="47"/>
      <c r="I2" s="11" t="s">
        <v>57</v>
      </c>
      <c r="J2" s="114">
        <v>46106</v>
      </c>
      <c r="K2" s="46"/>
      <c r="L2" s="47"/>
    </row>
    <row r="3" spans="1:14" ht="20.100000000000001" customHeight="1" x14ac:dyDescent="0.25">
      <c r="A3" s="103" t="s">
        <v>167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157</v>
      </c>
      <c r="B7" s="46" t="s">
        <v>158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2" t="s">
        <v>14</v>
      </c>
      <c r="B8" s="68">
        <v>200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150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164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163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10</v>
      </c>
      <c r="C10" s="47"/>
      <c r="D10" s="36" t="s">
        <v>104</v>
      </c>
      <c r="E10" s="88">
        <f>E11*B10</f>
        <v>100</v>
      </c>
      <c r="F10" s="89"/>
      <c r="G10" s="11" t="s">
        <v>51</v>
      </c>
      <c r="H10" s="92">
        <f>H11*B10</f>
        <v>1800</v>
      </c>
      <c r="I10" s="93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10</v>
      </c>
      <c r="F11" s="91"/>
      <c r="G11" s="42" t="s">
        <v>13</v>
      </c>
      <c r="H11" s="94">
        <f>E11*540000/B8/H8</f>
        <v>180</v>
      </c>
      <c r="I11" s="95"/>
      <c r="J11" s="42" t="s">
        <v>48</v>
      </c>
      <c r="K11" s="99" t="s">
        <v>42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00000000000001" customHeight="1" x14ac:dyDescent="0.3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10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>
        <v>0.3</v>
      </c>
      <c r="F19" s="60"/>
      <c r="G19" s="10" t="s">
        <v>76</v>
      </c>
      <c r="H19" s="31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>
        <v>0.4</v>
      </c>
      <c r="F21" s="60"/>
      <c r="G21" s="10" t="s">
        <v>78</v>
      </c>
      <c r="H21" s="31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>
        <v>0.3</v>
      </c>
      <c r="F22" s="60"/>
      <c r="G22" s="10" t="s">
        <v>79</v>
      </c>
      <c r="H22" s="31"/>
      <c r="I22" s="66"/>
      <c r="J22" s="67"/>
      <c r="K22" s="66"/>
      <c r="L22" s="67"/>
    </row>
    <row r="23" spans="1:12" ht="20.100000000000001" customHeight="1" x14ac:dyDescent="0.2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00000000000001" customHeight="1" x14ac:dyDescent="0.25">
      <c r="A24" s="78" t="s">
        <v>168</v>
      </c>
      <c r="B24" s="78"/>
      <c r="C24" s="64" t="b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0</v>
      </c>
      <c r="D24" s="65"/>
      <c r="E24" s="59">
        <v>5.0000000000000001E-3</v>
      </c>
      <c r="F24" s="60"/>
      <c r="G24" s="10" t="s">
        <v>81</v>
      </c>
      <c r="H24" s="31"/>
      <c r="I24" s="66"/>
      <c r="J24" s="67"/>
      <c r="K24" s="66"/>
      <c r="L24" s="67"/>
    </row>
    <row r="25" spans="1:12" ht="20.100000000000001" customHeight="1" x14ac:dyDescent="0.2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Sheet2!$A$61:$A$76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6"/>
  <sheetViews>
    <sheetView topLeftCell="A40" workbookViewId="0">
      <selection activeCell="A64" sqref="A6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46128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46118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37" t="s">
        <v>165</v>
      </c>
      <c r="O62" s="1"/>
      <c r="Q62" s="1"/>
      <c r="R62" s="1"/>
      <c r="S62" s="1"/>
    </row>
    <row r="63" spans="1:20" x14ac:dyDescent="0.25">
      <c r="A63" s="40" t="s">
        <v>144</v>
      </c>
      <c r="O63" s="1"/>
      <c r="Q63" s="1"/>
      <c r="R63" s="1"/>
      <c r="S63" s="1"/>
    </row>
    <row r="64" spans="1:20" x14ac:dyDescent="0.25">
      <c r="A64" s="41" t="s">
        <v>123</v>
      </c>
      <c r="O64" s="1"/>
      <c r="Q64" s="1"/>
      <c r="R64" s="1"/>
      <c r="S64" s="1"/>
      <c r="T64" s="1"/>
    </row>
    <row r="65" spans="1:20" x14ac:dyDescent="0.25">
      <c r="A65" s="41" t="s">
        <v>116</v>
      </c>
      <c r="O65" s="1"/>
      <c r="Q65" s="1"/>
      <c r="R65" s="1"/>
      <c r="S65" s="1"/>
      <c r="T65" s="1"/>
    </row>
    <row r="66" spans="1:20" x14ac:dyDescent="0.25">
      <c r="A66" s="41" t="s">
        <v>117</v>
      </c>
      <c r="N66" s="3"/>
      <c r="O66" s="1"/>
      <c r="P66" s="1"/>
      <c r="Q66" s="1"/>
      <c r="R66" s="1"/>
      <c r="S66" s="1"/>
      <c r="T66" s="1"/>
    </row>
    <row r="67" spans="1:20" x14ac:dyDescent="0.25">
      <c r="A67" s="41" t="s">
        <v>118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119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120</v>
      </c>
      <c r="N69" s="4"/>
      <c r="O69" s="1"/>
      <c r="P69" s="1"/>
      <c r="Q69" s="1"/>
      <c r="R69" s="1"/>
      <c r="S69" s="1"/>
      <c r="T69" s="1"/>
    </row>
    <row r="70" spans="1:20" x14ac:dyDescent="0.25">
      <c r="A70" s="41" t="s">
        <v>121</v>
      </c>
      <c r="N70" s="4"/>
    </row>
    <row r="71" spans="1:20" x14ac:dyDescent="0.25">
      <c r="A71" s="41" t="s">
        <v>142</v>
      </c>
    </row>
    <row r="72" spans="1:20" x14ac:dyDescent="0.25">
      <c r="A72" s="41" t="s">
        <v>122</v>
      </c>
    </row>
    <row r="73" spans="1:20" x14ac:dyDescent="0.25">
      <c r="A73" s="41" t="s">
        <v>120</v>
      </c>
    </row>
    <row r="74" spans="1:20" x14ac:dyDescent="0.25">
      <c r="A74" s="41" t="s">
        <v>121</v>
      </c>
    </row>
    <row r="75" spans="1:20" x14ac:dyDescent="0.25">
      <c r="A75" s="41" t="s">
        <v>142</v>
      </c>
    </row>
    <row r="76" spans="1:20" x14ac:dyDescent="0.25">
      <c r="A76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D98D941-4376-4EF1-97F3-4B85FFC47D7C}"/>
</file>

<file path=customXml/itemProps2.xml><?xml version="1.0" encoding="utf-8"?>
<ds:datastoreItem xmlns:ds="http://schemas.openxmlformats.org/officeDocument/2006/customXml" ds:itemID="{388BCA09-36D6-4B9D-98CB-AB2C46F7B05C}"/>
</file>

<file path=customXml/itemProps3.xml><?xml version="1.0" encoding="utf-8"?>
<ds:datastoreItem xmlns:ds="http://schemas.openxmlformats.org/officeDocument/2006/customXml" ds:itemID="{1BC276EF-6AE8-429E-B59A-FFC4F76FAA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2025-08-27T23:34:51Z</cp:lastPrinted>
  <dcterms:created xsi:type="dcterms:W3CDTF">2019-11-27T23:28:06Z</dcterms:created>
  <dcterms:modified xsi:type="dcterms:W3CDTF">2026-03-16T04:19:20Z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