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E2E56E1-0EC2-495B-A447-CAEBA6FB6E8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<sst xmlns="http://schemas.openxmlformats.org/spreadsheetml/2006/main" count="305" uniqueCount="201">
  <si>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</si>
  <si>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</si>
  <si>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</si>
  <si>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</si>
  <si>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</si>
  <si>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</si>
  <si>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</si>
  <si>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</si>
  <si>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</si>
  <si>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</si>
  <si>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</si>
  <si>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</si>
  <si>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</si>
  <si>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</si>
  <si>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</si>
  <si>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</si>
  <si>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</si>
  <si>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</si>
  <si>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</si>
  <si>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</si>
  <si>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</si>
  <si>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</si>
  <si>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</si>
  <si>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</si>
  <si>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</si>
  <si>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</si>
  <si>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</si>
  <si>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</si>
  <si>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</si>
  <si>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</si>
  <si>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</si>
  <si>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</si>
  <si>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</si>
  <si>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</si>
  <si>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</si>
  <si>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</si>
  <si>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</si>
  <si>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</si>
  <si>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</si>
  <si>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</si>
  <si>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</si>
  <si>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</si>
  <si>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</si>
  <si>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</si>
  <si>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</si>
  <si>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</si>
  <si>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</si>
  <si>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</si>
  <si>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</si>
  <si>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</si>
  <si>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</si>
  <si>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</si>
  <si>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</si>
  <si>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</si>
  <si>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</si>
  <si>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</si>
  <si>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</si>
  <si>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</si>
  <si>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</si>
  <si>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</si>
  <si>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</si>
  <si>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</si>
  <si>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</si>
  <si>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</si>
  <si>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</si>
  <si>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</si>
  <si>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</si>
  <si>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</si>
  <si>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</si>
  <si>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</si>
  <si>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</si>
  <si>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</si>
  <si>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</si>
  <si>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</si>
  <si>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</si>
  <si>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</si>
  <si>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</si>
  <si>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</si>
  <si>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</si>
  <si>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</si>
  <si>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</si>
  <si>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</si>
  <si>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</si>
  <si>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</si>
  <si>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</si>
  <si>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</si>
  <si>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</si>
  <si>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</si>
  <si>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</si>
  <si>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</si>
  <si>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</si>
  <si>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</si>
  <si>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</si>
  <si>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</si>
  <si>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</si>
  <si>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</si>
  <si>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</si>
  <si>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</si>
  <si>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</si>
  <si>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</si>
  <si>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</si>
  <si>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</si>
  <si>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</si>
  <si>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</si>
  <si>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</si>
  <si>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</si>
  <si>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</si>
  <si>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</si>
  <si>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</si>
  <si>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</si>
  <si>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</si>
  <si>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</si>
  <si>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</si>
  <si>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</si>
  <si>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</si>
  <si>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</si>
  <si>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</si>
  <si>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</si>
  <si>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</si>
  <si>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</si>
  <si>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</si>
  <si>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</si>
  <si>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</si>
  <si>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</si>
  <si>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</si>
  <si>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</si>
  <si>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</si>
  <si>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</si>
  <si>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</si>
  <si>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</si>
  <si>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</si>
  <si>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</si>
  <si>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</si>
  <si>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</si>
  <si>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</si>
  <si>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</si>
  <si>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</si>
  <si>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</si>
  <si>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</si>
  <si>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</si>
  <si>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</si>
  <si>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</si>
  <si>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</si>
  <si>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</si>
  <si>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</si>
  <si>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</si>
  <si>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</si>
  <si>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</si>
  <si>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</si>
  <si>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</si>
  <si>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</si>
  <si>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</si>
  <si>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</si>
  <si>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</si>
  <si>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</si>
  <si>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</si>
  <si>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</si>
  <si>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</si>
  <si>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</si>
  <si>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</si>
  <si>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</si>
  <si>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</si>
  <si>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</si>
  <si>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</si>
  <si>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</si>
  <si>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</si>
  <si>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</si>
  <si>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</si>
  <si>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</si>
  <si>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</si>
  <si>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</si>
  <si>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</si>
  <si>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</si>
  <si>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</si>
  <si>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</si>
  <si>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</si>
  <si>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</si>
  <si>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</si>
  <si>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</si>
  <si>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</si>
  <si>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</si>
  <si>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</si>
  <si>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</si>
  <si>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</si>
  <si>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</si>
  <si>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</si>
  <si>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</si>
  <si>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</si>
  <si>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</si>
  <si>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</si>
  <si>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</si>
  <si>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</si>
  <si>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</si>
  <si>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</si>
  <si>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</si>
  <si>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DENCO</t>
  </si>
  <si>
    <t>ANTISTATIC</t>
  </si>
  <si>
    <t>MEAT CITY DOG BONES 500G/$3.00 - MUST HAVE GOOD PRINT - NO LINES OR SMUDGES</t>
  </si>
  <si>
    <t>MEAT CITY DOG BONES 500G/$3.00</t>
  </si>
  <si>
    <t>0802041</t>
  </si>
  <si>
    <t xml:space="preserve"> +/- 3um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</si>
</sst>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8" borderId="2" xfId="0" applyFont="1" applyFill="1" applyBorder="1" applyAlignment="1" applyProtection="1">
      <alignment horizontal="center"/>
      <protection locked="0"/>
    </xf>
    <xf numFmtId="0" fontId="13" fillId="8" borderId="5" xfId="0" applyFont="1" applyFill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49" fontId="13" fillId="0" borderId="3" xfId="0" applyNumberFormat="1" applyFont="1" applyBorder="1" applyAlignment="1" applyProtection="1">
      <alignment horizontal="center" vertical="center"/>
      <protection locked="0"/>
    </xf>
    <xf numFmtId="49" fontId="13" fillId="0" borderId="8" xfId="0" applyNumberFormat="1" applyFont="1" applyBorder="1" applyAlignment="1" applyProtection="1">
      <alignment horizontal="center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J2" sqref="J2:L2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3" t="str">
        <f>O9&amp;R9&amp;IF(X8="G","G","")&amp;IF(O8="Centrefold Roll","("&amp;E8&amp;")","")&amp;T9&amp;V9&amp;C22&amp;C23&amp;C24&amp;O11&amp;R11</f>
        <v>PB30045035ASP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138">
        <f ca="1">TODAY()</f>
        <v>44720</v>
      </c>
      <c r="K1" s="138"/>
      <c r="L1" s="139"/>
      <c r="M1" s="34"/>
      <c r="N1" s="12" t="s">
        <v>56</v>
      </c>
      <c r="O1" s="123" t="str">
        <f>B1</f>
        <v>PB30045035ASP</v>
      </c>
      <c r="P1" s="123"/>
      <c r="Q1" s="124"/>
      <c r="R1" s="12" t="s">
        <v>57</v>
      </c>
      <c r="S1" s="123" t="str">
        <f>F1</f>
        <v>DENCO</v>
      </c>
      <c r="T1" s="123"/>
      <c r="U1" s="124"/>
      <c r="V1" s="12" t="s">
        <v>181</v>
      </c>
      <c r="W1" s="138">
        <f ca="1">J1</f>
        <v>44720</v>
      </c>
      <c r="X1" s="138"/>
      <c r="Y1" s="139"/>
    </row>
    <row r="2" spans="1:28" ht="20.149999999999999" customHeight="1" x14ac:dyDescent="0.8">
      <c r="A2" s="12" t="s">
        <v>100</v>
      </c>
      <c r="B2" s="123" t="str">
        <f>IF(U10="","",U10)</f>
        <v>0802041</v>
      </c>
      <c r="C2" s="123"/>
      <c r="D2" s="124"/>
      <c r="E2" s="12" t="s">
        <v>58</v>
      </c>
      <c r="F2" s="73">
        <v>942993</v>
      </c>
      <c r="G2" s="73"/>
      <c r="H2" s="74"/>
      <c r="I2" s="12" t="s">
        <v>59</v>
      </c>
      <c r="J2" s="141">
        <v>44681</v>
      </c>
      <c r="K2" s="73"/>
      <c r="L2" s="74"/>
      <c r="M2" s="34"/>
      <c r="N2" s="12" t="s">
        <v>100</v>
      </c>
      <c r="O2" s="123" t="str">
        <f>IF(B2="","",B2)</f>
        <v>0802041</v>
      </c>
      <c r="P2" s="123"/>
      <c r="Q2" s="124"/>
      <c r="R2" s="12" t="s">
        <v>58</v>
      </c>
      <c r="S2" s="123">
        <f>IF(F2="","",F2)</f>
        <v>942993</v>
      </c>
      <c r="T2" s="123"/>
      <c r="U2" s="124"/>
      <c r="V2" s="12" t="s">
        <v>59</v>
      </c>
      <c r="W2" s="140">
        <f>J2</f>
        <v>44681</v>
      </c>
      <c r="X2" s="123"/>
      <c r="Y2" s="124"/>
    </row>
    <row r="3" spans="1:28" ht="20.149999999999999" customHeight="1" x14ac:dyDescent="0.7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MEAT CITY DOG BONES 500G/$3.00 - MUST HAVE GOOD PRINT - NO LINES OR SMUDGES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49999999999999" customHeight="1" x14ac:dyDescent="0.75">
      <c r="A6" s="143" t="s">
        <v>2</v>
      </c>
      <c r="B6" s="144"/>
      <c r="C6" s="144"/>
      <c r="D6" s="144"/>
      <c r="E6" s="144"/>
      <c r="F6" s="144"/>
      <c r="G6" s="144"/>
      <c r="H6" s="144"/>
      <c r="I6" s="144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49999999999999" customHeight="1" x14ac:dyDescent="0.9">
      <c r="A7" s="12" t="s">
        <v>49</v>
      </c>
      <c r="B7" s="136" t="s">
        <v>163</v>
      </c>
      <c r="C7" s="136"/>
      <c r="D7" s="136"/>
      <c r="E7" s="136"/>
      <c r="F7" s="136"/>
      <c r="G7" s="136"/>
      <c r="H7" s="136"/>
      <c r="I7" s="137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11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11000</v>
      </c>
      <c r="V7" s="124"/>
      <c r="W7" s="12" t="s">
        <v>102</v>
      </c>
      <c r="X7" s="73" t="s">
        <v>23</v>
      </c>
      <c r="Y7" s="74"/>
      <c r="AB7" s="14"/>
    </row>
    <row r="8" spans="1:28" ht="20.149999999999999" customHeight="1" x14ac:dyDescent="0.8">
      <c r="A8" s="15" t="s">
        <v>16</v>
      </c>
      <c r="B8" s="111">
        <f>R9</f>
        <v>300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49999999999999" customHeight="1" x14ac:dyDescent="0.9">
      <c r="A9" s="18" t="s">
        <v>48</v>
      </c>
      <c r="B9" s="145" t="s">
        <v>194</v>
      </c>
      <c r="C9" s="146"/>
      <c r="D9" s="153" t="str">
        <f>IF(K10="Middle","RUN 2 UP",IF(AND(O8="Centrefold Roll",B8=380),"RUN 2 UP",""))</f>
        <v/>
      </c>
      <c r="E9" s="136"/>
      <c r="F9" s="137"/>
      <c r="G9" s="18" t="s">
        <v>48</v>
      </c>
      <c r="H9" s="145" t="s">
        <v>200</v>
      </c>
      <c r="I9" s="146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300</v>
      </c>
      <c r="S9" s="20" t="s">
        <v>78</v>
      </c>
      <c r="T9" s="35">
        <v>450</v>
      </c>
      <c r="U9" s="20" t="s">
        <v>78</v>
      </c>
      <c r="V9" s="35">
        <v>35</v>
      </c>
      <c r="W9" s="19"/>
      <c r="X9" s="99"/>
      <c r="Y9" s="100"/>
    </row>
    <row r="10" spans="1:28" ht="20.149999999999999" customHeight="1" x14ac:dyDescent="0.8">
      <c r="A10" s="12" t="s">
        <v>51</v>
      </c>
      <c r="B10" s="73">
        <v>5</v>
      </c>
      <c r="C10" s="74"/>
      <c r="D10" s="54" t="s">
        <v>134</v>
      </c>
      <c r="E10" s="147">
        <f>IF(ISNUMBER(SEARCH("sheet",O8,1)),((R9*T9*H8/540000)*U7/2000*1.3),((R9*T9*H8/540000)*U7/1000*1.08))</f>
        <v>103.95</v>
      </c>
      <c r="F10" s="148"/>
      <c r="G10" s="12" t="s">
        <v>53</v>
      </c>
      <c r="H10" s="151">
        <f>IF(ISNUMBER(SEARCH("sheet",O8,1)),(U7*T9/2000*1.08),(U7*T9/1000*1.08))</f>
        <v>5346</v>
      </c>
      <c r="I10" s="152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 t="s">
        <v>199</v>
      </c>
      <c r="V10" s="119"/>
      <c r="W10" s="119"/>
      <c r="X10" s="119"/>
      <c r="Y10" s="120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9">
        <f>E10/B10</f>
        <v>20.79</v>
      </c>
      <c r="F11" s="150"/>
      <c r="G11" s="12" t="s">
        <v>15</v>
      </c>
      <c r="H11" s="149">
        <f>H10/B10</f>
        <v>1069.2</v>
      </c>
      <c r="I11" s="150"/>
      <c r="J11" s="12" t="s">
        <v>50</v>
      </c>
      <c r="K11" s="73" t="s">
        <v>64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149999999999999" customHeight="1" x14ac:dyDescent="0.75">
      <c r="A12" s="142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49999999999999" customHeight="1" x14ac:dyDescent="0.8">
      <c r="A13" s="12" t="s">
        <v>68</v>
      </c>
      <c r="B13" s="73" t="s">
        <v>70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150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11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15" t="s">
        <v>198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49999999999999" customHeight="1" x14ac:dyDescent="0.7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49999999999999" customHeight="1" x14ac:dyDescent="0.8">
      <c r="A16" s="77" t="s">
        <v>3</v>
      </c>
      <c r="B16" s="79"/>
      <c r="C16" s="77" t="s">
        <v>142</v>
      </c>
      <c r="D16" s="79"/>
      <c r="E16" s="157" t="s">
        <v>4</v>
      </c>
      <c r="F16" s="157"/>
      <c r="G16" s="157" t="s">
        <v>5</v>
      </c>
      <c r="H16" s="157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49999999999999" customHeight="1" x14ac:dyDescent="0.8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49999999999999" customHeight="1" x14ac:dyDescent="0.8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49999999999999" customHeight="1" x14ac:dyDescent="0.7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49999999999999" customHeight="1" x14ac:dyDescent="0.7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49999999999999" customHeight="1" x14ac:dyDescent="0.7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49999999999999" customHeight="1" x14ac:dyDescent="0.7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49999999999999" customHeight="1" x14ac:dyDescent="0.75">
      <c r="A23" s="158" t="s">
        <v>196</v>
      </c>
      <c r="B23" s="158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49999999999999" customHeight="1" x14ac:dyDescent="0.75">
      <c r="A24" s="159"/>
      <c r="B24" s="160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154" t="s">
        <v>136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44750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44741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56BB7F3-9E15-4801-AC66-5DB3A6FDDE59}"/>
</file>

<file path=customXml/itemProps2.xml><?xml version="1.0" encoding="utf-8"?>
<ds:datastoreItem xmlns:ds="http://schemas.openxmlformats.org/officeDocument/2006/customXml" ds:itemID="{C2620C88-2D6B-4AC3-961F-8DFC4F85189F}"/>
</file>

<file path=customXml/itemProps3.xml><?xml version="1.0" encoding="utf-8"?>
<ds:datastoreItem xmlns:ds="http://schemas.openxmlformats.org/officeDocument/2006/customXml" ds:itemID="{36259519-28AD-4262-A03D-97BBE82FA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2022-03-30T02:13:11Z</cp:lastPrinted>
  <dcterms:created xsi:type="dcterms:W3CDTF">2019-11-27T23:28:06Z</dcterms:created>
  <dcterms:modified xsi:type="dcterms:W3CDTF">2022-06-08T04:13:18Z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