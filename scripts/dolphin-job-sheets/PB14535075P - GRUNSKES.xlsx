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AE6A6A1-8BAD-4662-B310-0C57738064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<sst xmlns="http://schemas.openxmlformats.org/spreadsheetml/2006/main" count="306" uniqueCount="200">
  <si>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</si>
  <si>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</si>
  <si>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</si>
  <si>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</si>
  <si>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</si>
  <si>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</si>
  <si>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</si>
  <si>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</si>
  <si>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</si>
  <si>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</si>
  <si>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</si>
  <si>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</si>
  <si>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</si>
  <si>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</si>
  <si>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</si>
  <si>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</si>
  <si>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</si>
  <si>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</si>
  <si>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</si>
  <si>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</si>
  <si>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</si>
  <si>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</si>
  <si>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</si>
  <si>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</si>
  <si>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</si>
  <si>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</si>
  <si>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</si>
  <si>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</si>
  <si>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</si>
  <si>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</si>
  <si>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</si>
  <si>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</si>
  <si>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</si>
  <si>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</si>
  <si>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</si>
  <si>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</si>
  <si>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</si>
  <si>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</si>
  <si>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</si>
  <si>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</si>
  <si>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</si>
  <si>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</si>
  <si>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</si>
  <si>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</si>
  <si>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</si>
  <si>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</si>
  <si>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</si>
  <si>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</si>
  <si>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</si>
  <si>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</si>
  <si>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</si>
  <si>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</si>
  <si>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</si>
  <si>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</si>
  <si>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</si>
  <si>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</si>
  <si>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</si>
  <si>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</si>
  <si>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</si>
  <si>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</si>
  <si>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</si>
  <si>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</si>
  <si>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</si>
  <si>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</si>
  <si>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</si>
  <si>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</si>
  <si>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</si>
  <si>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</si>
  <si>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</si>
  <si>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</si>
  <si>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</si>
  <si>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</si>
  <si>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</si>
  <si>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</si>
  <si>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</si>
  <si>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</si>
  <si>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</si>
  <si>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</si>
  <si>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</si>
  <si>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</si>
  <si>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</si>
  <si>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</si>
  <si>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</si>
  <si>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</si>
  <si>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</si>
  <si>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</si>
  <si>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</si>
  <si>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</si>
  <si>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</si>
  <si>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</si>
  <si>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</si>
  <si>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</si>
  <si>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</si>
  <si>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</si>
  <si>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</si>
  <si>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</si>
  <si>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</si>
  <si>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</si>
  <si>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</si>
  <si>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</si>
  <si>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</si>
  <si>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</si>
  <si>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</si>
  <si>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</si>
  <si>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</si>
  <si>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</si>
  <si>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</si>
  <si>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</si>
  <si>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</si>
  <si>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</si>
  <si>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</si>
  <si>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</si>
  <si>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</si>
  <si>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</si>
  <si>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</si>
  <si>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</si>
  <si>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</si>
  <si>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</si>
  <si>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</si>
  <si>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</si>
  <si>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</si>
  <si>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</si>
  <si>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</si>
  <si>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</si>
  <si>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</si>
  <si>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</si>
  <si>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</si>
  <si>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</si>
  <si>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</si>
  <si>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</si>
  <si>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</si>
  <si>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</si>
  <si>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</si>
  <si>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</si>
  <si>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</si>
  <si>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</si>
  <si>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</si>
  <si>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</si>
  <si>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</si>
  <si>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</si>
  <si>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</si>
  <si>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</si>
  <si>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</si>
  <si>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</si>
  <si>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</si>
  <si>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</si>
  <si>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</si>
  <si>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</si>
  <si>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</si>
  <si>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</si>
  <si>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</si>
  <si>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</si>
  <si>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</si>
  <si>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</si>
  <si>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</si>
  <si>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</si>
  <si>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</si>
  <si>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</si>
  <si>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</si>
  <si>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</si>
  <si>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</si>
  <si>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</si>
  <si>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</si>
  <si>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</si>
  <si>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</si>
  <si>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</si>
  <si>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</si>
  <si>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</si>
  <si>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</si>
  <si>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</si>
  <si>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</si>
  <si>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</si>
  <si>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</si>
  <si>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</si>
  <si>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</si>
  <si>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</si>
  <si>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</si>
  <si>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</si>
  <si>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</si>
  <si>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</si>
  <si>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</si>
  <si>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</si>
  <si>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</si>
  <si>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</si>
  <si>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</si>
  <si>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</si>
  <si>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</si>
  <si>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</si>
  <si>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</si>
  <si>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</si>
  <si>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</si>
  <si>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</si>
  <si>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</si>
  <si>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</si>
  <si>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MUST HAVE WATER TIGHT SEALS - PLEASE CHECK FREQUENTLY</t>
  </si>
  <si>
    <t>GRUNSKES</t>
  </si>
  <si>
    <t>GRUNSKES PRINT - TO BE SENT TO MASTERPRINT FOR PRINTING</t>
  </si>
  <si>
    <t xml:space="preserve"> +/- 5um</t>
  </si>
  <si>
    <r>
      <rPr>
        <b/>
        <sz val="16"/>
        <color rgb="FFFF0000"/>
        <rFont val="Calibri"/>
        <family val="2"/>
        <scheme val="minor"/>
      </rPr>
      <t xml:space="preserve">MUST HAVE TREATER TURNED ON - TO BE EXTRUDED ONLY - NO PRINTING/CONVERSION </t>
    </r>
    <r>
      <rPr>
        <b/>
        <sz val="16"/>
        <color theme="1"/>
        <rFont val="Calibri"/>
        <family val="2"/>
        <scheme val="minor"/>
      </rPr>
      <t xml:space="preserve">
PRINTING AND CONVERSION TO BE COMPLETED BY MASTERPRINT MUST BE NEAT RIOLLS!!</t>
    </r>
  </si>
  <si>
    <t>PRINT IN BOTTOM HALF OF BAG!!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</si>
</sst>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5" borderId="3" xfId="0" applyFont="1" applyFill="1" applyBorder="1" applyAlignment="1" applyProtection="1">
      <alignment horizontal="center" vertical="center"/>
      <protection locked="0"/>
    </xf>
    <xf numFmtId="0" fontId="13" fillId="5" borderId="8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3" fillId="5" borderId="12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PB14535075P</v>
      </c>
      <c r="C1" s="123"/>
      <c r="D1" s="124"/>
      <c r="E1" s="12" t="s">
        <v>57</v>
      </c>
      <c r="F1" s="134" t="s">
        <v>195</v>
      </c>
      <c r="G1" s="134"/>
      <c r="H1" s="135"/>
      <c r="I1" s="13" t="s">
        <v>181</v>
      </c>
      <c r="J1" s="145">
        <f ca="1">TODAY()</f>
        <v>44393</v>
      </c>
      <c r="K1" s="145"/>
      <c r="L1" s="146"/>
      <c r="M1" s="34"/>
      <c r="N1" s="12" t="s">
        <v>56</v>
      </c>
      <c r="O1" s="123" t="str">
        <f>B1</f>
        <v>PB14535075P</v>
      </c>
      <c r="P1" s="123"/>
      <c r="Q1" s="124"/>
      <c r="R1" s="12" t="s">
        <v>57</v>
      </c>
      <c r="S1" s="123" t="str">
        <f>F1</f>
        <v>GRUNSKES</v>
      </c>
      <c r="T1" s="123"/>
      <c r="U1" s="124"/>
      <c r="V1" s="12" t="s">
        <v>181</v>
      </c>
      <c r="W1" s="145">
        <f ca="1">J1</f>
        <v>44393</v>
      </c>
      <c r="X1" s="145"/>
      <c r="Y1" s="146"/>
    </row>
    <row r="2" spans="1:28" ht="20.100000000000001" customHeight="1" x14ac:dyDescent="0.25">
      <c r="A2" s="12" t="s">
        <v>100</v>
      </c>
      <c r="B2" s="123" t="str">
        <f>IF(U10="","",U10)</f>
        <v>PRINT IN BOTTOM HALF OF BAG!!</v>
      </c>
      <c r="C2" s="123"/>
      <c r="D2" s="124"/>
      <c r="E2" s="12" t="s">
        <v>58</v>
      </c>
      <c r="F2" s="73">
        <v>940765</v>
      </c>
      <c r="G2" s="73"/>
      <c r="H2" s="74"/>
      <c r="I2" s="12" t="s">
        <v>59</v>
      </c>
      <c r="J2" s="148" t="s">
        <v>192</v>
      </c>
      <c r="K2" s="73"/>
      <c r="L2" s="74"/>
      <c r="M2" s="34"/>
      <c r="N2" s="12" t="s">
        <v>100</v>
      </c>
      <c r="O2" s="123" t="str">
        <f>IF(B2="","",B2)</f>
        <v>PRINT IN BOTTOM HALF OF BAG!!</v>
      </c>
      <c r="P2" s="123"/>
      <c r="Q2" s="124"/>
      <c r="R2" s="12" t="s">
        <v>58</v>
      </c>
      <c r="S2" s="123">
        <f>IF(F2="","",F2)</f>
        <v>940765</v>
      </c>
      <c r="T2" s="123"/>
      <c r="U2" s="124"/>
      <c r="V2" s="12" t="s">
        <v>59</v>
      </c>
      <c r="W2" s="147" t="str">
        <f>J2</f>
        <v>ASAP</v>
      </c>
      <c r="X2" s="123"/>
      <c r="Y2" s="124"/>
    </row>
    <row r="3" spans="1:28" ht="20.100000000000001" customHeight="1" x14ac:dyDescent="0.25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36" t="s">
        <v>194</v>
      </c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8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39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1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42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4"/>
    </row>
    <row r="6" spans="1:28" ht="20.100000000000001" customHeight="1" x14ac:dyDescent="0.25">
      <c r="A6" s="150" t="s">
        <v>2</v>
      </c>
      <c r="B6" s="151"/>
      <c r="C6" s="151"/>
      <c r="D6" s="151"/>
      <c r="E6" s="151"/>
      <c r="F6" s="151"/>
      <c r="G6" s="151"/>
      <c r="H6" s="151"/>
      <c r="I6" s="151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55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55000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145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75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52" t="s">
        <v>197</v>
      </c>
      <c r="C9" s="153"/>
      <c r="D9" s="160" t="str">
        <f>IF(K10="Middle","RUN 2 UP",IF(AND(O8="Centrefold Roll",B8=380),"RUN 2 UP",""))</f>
        <v/>
      </c>
      <c r="E9" s="115"/>
      <c r="F9" s="116"/>
      <c r="G9" s="18" t="s">
        <v>48</v>
      </c>
      <c r="H9" s="152" t="s">
        <v>197</v>
      </c>
      <c r="I9" s="153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145</v>
      </c>
      <c r="S9" s="20" t="s">
        <v>78</v>
      </c>
      <c r="T9" s="35">
        <v>350</v>
      </c>
      <c r="U9" s="20" t="s">
        <v>78</v>
      </c>
      <c r="V9" s="35">
        <v>75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40</v>
      </c>
      <c r="C10" s="74"/>
      <c r="D10" s="54" t="s">
        <v>134</v>
      </c>
      <c r="E10" s="154">
        <f>IF(ISNUMBER(SEARCH("sheet",O8,1)),((R9*T9*H8/540000)*U7/2000*1.3),((R9*T9*H8/540000)*U7/1000*1.08))</f>
        <v>418.6875</v>
      </c>
      <c r="F10" s="155"/>
      <c r="G10" s="12" t="s">
        <v>53</v>
      </c>
      <c r="H10" s="158">
        <f>IF(ISNUMBER(SEARCH("sheet",O8,1)),(U7*T9/2000*1.08),(U7*T9/1000*1.08))</f>
        <v>20790</v>
      </c>
      <c r="I10" s="159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Yes</v>
      </c>
      <c r="S10" s="109"/>
      <c r="T10" s="16" t="s">
        <v>100</v>
      </c>
      <c r="U10" s="119" t="s">
        <v>199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56">
        <f>E10/B10</f>
        <v>10.4671875</v>
      </c>
      <c r="F11" s="157"/>
      <c r="G11" s="12" t="s">
        <v>15</v>
      </c>
      <c r="H11" s="156">
        <f>H10/B10</f>
        <v>519.75</v>
      </c>
      <c r="I11" s="157"/>
      <c r="J11" s="12" t="s">
        <v>50</v>
      </c>
      <c r="K11" s="73" t="s">
        <v>64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>P</v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9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55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 t="s">
        <v>196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73" t="s">
        <v>4</v>
      </c>
      <c r="F16" s="173"/>
      <c r="G16" s="173" t="s">
        <v>5</v>
      </c>
      <c r="H16" s="173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74"/>
      <c r="B23" s="174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75"/>
      <c r="B24" s="176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61" t="s">
        <v>116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64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67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70" t="s">
        <v>136</v>
      </c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44424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44414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CA9FE4F-45F2-43B1-98C5-04796A5EF785}"/>
</file>

<file path=customXml/itemProps2.xml><?xml version="1.0" encoding="utf-8"?>
<ds:datastoreItem xmlns:ds="http://schemas.openxmlformats.org/officeDocument/2006/customXml" ds:itemID="{A2816E22-AAFF-459B-828F-EAA1A8AD6CD3}"/>
</file>

<file path=customXml/itemProps3.xml><?xml version="1.0" encoding="utf-8"?>
<ds:datastoreItem xmlns:ds="http://schemas.openxmlformats.org/officeDocument/2006/customXml" ds:itemID="{B9F7D104-AC9C-49DD-AC28-58F0C2FB32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2021-07-08T01:02:08Z</cp:lastPrinted>
  <dcterms:created xsi:type="dcterms:W3CDTF">2019-11-27T23:28:06Z</dcterms:created>
  <dcterms:modified xsi:type="dcterms:W3CDTF">2021-07-16T01:57:51Z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