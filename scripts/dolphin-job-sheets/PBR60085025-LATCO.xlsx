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0BE5DC99-A9BB-4953-A6EE-F798503B2C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<sst xmlns="http://schemas.openxmlformats.org/spreadsheetml/2006/main" count="301" uniqueCount="199">
  <si>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</si>
  <si>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</si>
  <si>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</si>
  <si>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</si>
  <si>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</si>
  <si>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</si>
  <si>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</si>
  <si>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</si>
  <si>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</si>
  <si>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</si>
  <si>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</si>
  <si>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</si>
  <si>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</si>
  <si>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</si>
  <si>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</si>
  <si>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</si>
  <si>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</si>
  <si>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</si>
  <si>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</si>
  <si>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</si>
  <si>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</si>
  <si>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</si>
  <si>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</si>
  <si>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</si>
  <si>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</si>
  <si>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</si>
  <si>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</si>
  <si>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</si>
  <si>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</si>
  <si>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</si>
  <si>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</si>
  <si>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</si>
  <si>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</si>
  <si>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</si>
  <si>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</si>
  <si>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</si>
  <si>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</si>
  <si>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</si>
  <si>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</si>
  <si>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</si>
  <si>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</si>
  <si>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</si>
  <si>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</si>
  <si>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</si>
  <si>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</si>
  <si>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</si>
  <si>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</si>
  <si>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</si>
  <si>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</si>
  <si>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</si>
  <si>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</si>
  <si>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</si>
  <si>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</si>
  <si>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</si>
  <si>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</si>
  <si>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</si>
  <si>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</si>
  <si>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</si>
  <si>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</si>
  <si>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</si>
  <si>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</si>
  <si>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</si>
  <si>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</si>
  <si>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</si>
  <si>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</si>
  <si>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</si>
  <si>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</si>
  <si>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</si>
  <si>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</si>
  <si>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</si>
  <si>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</si>
  <si>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</si>
  <si>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</si>
  <si>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</si>
  <si>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</si>
  <si>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</si>
  <si>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</si>
  <si>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</si>
  <si>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</si>
  <si>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</si>
  <si>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</si>
  <si>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</si>
  <si>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</si>
  <si>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</si>
  <si>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</si>
  <si>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</si>
  <si>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</si>
  <si>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</si>
  <si>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</si>
  <si>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</si>
  <si>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</si>
  <si>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</si>
  <si>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</si>
  <si>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</si>
  <si>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</si>
  <si>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</si>
  <si>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</si>
  <si>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</si>
  <si>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</si>
  <si>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</si>
  <si>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</si>
  <si>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</si>
  <si>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</si>
  <si>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</si>
  <si>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</si>
  <si>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</si>
  <si>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</si>
  <si>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</si>
  <si>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</si>
  <si>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</si>
  <si>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</si>
  <si>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</si>
  <si>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</si>
  <si>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</si>
  <si>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</si>
  <si>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</si>
  <si>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</si>
  <si>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</si>
  <si>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</si>
  <si>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</si>
  <si>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</si>
  <si>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</si>
  <si>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</si>
  <si>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</si>
  <si>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</si>
  <si>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</si>
  <si>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</si>
  <si>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</si>
  <si>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</si>
  <si>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</si>
  <si>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</si>
  <si>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</si>
  <si>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</si>
  <si>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</si>
  <si>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</si>
  <si>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</si>
  <si>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</si>
  <si>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</si>
  <si>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</si>
  <si>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</si>
  <si>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</si>
  <si>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</si>
  <si>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</si>
  <si>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</si>
  <si>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</si>
  <si>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</si>
  <si>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</si>
  <si>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</si>
  <si>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</si>
  <si>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</si>
  <si>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</si>
  <si>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</si>
  <si>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</si>
  <si>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</si>
  <si>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</si>
  <si>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</si>
  <si>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</si>
  <si>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</si>
  <si>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</si>
  <si>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</si>
  <si>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</si>
  <si>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</si>
  <si>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</si>
  <si>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</si>
  <si>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</si>
  <si>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</si>
  <si>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</si>
  <si>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</si>
  <si>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</si>
  <si>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</si>
  <si>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</si>
  <si>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</si>
  <si>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</si>
  <si>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</si>
  <si>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</si>
  <si>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</si>
  <si>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</si>
  <si>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</si>
  <si>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</si>
  <si>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</si>
  <si>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</si>
  <si>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</si>
  <si>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</si>
  <si>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</si>
  <si>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</si>
  <si>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</si>
  <si>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</si>
  <si>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</si>
  <si>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</si>
  <si>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</si>
  <si>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</si>
  <si>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</si>
  <si>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</si>
  <si>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</si>
  <si>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</si>
  <si>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</si>
  <si>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NOT UNDER</t>
  </si>
  <si>
    <t xml:space="preserve">NEW ITEM - NEW CUSTOMER - MUST NOT BE UNDER GUAGE </t>
  </si>
  <si>
    <t xml:space="preserve">LATCO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</si>
</sst>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I22" sqref="I22:J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PBR60085025</v>
      </c>
      <c r="C1" s="108"/>
      <c r="D1" s="109"/>
      <c r="E1" s="18" t="s">
        <v>56</v>
      </c>
      <c r="F1" s="122" t="s">
        <v>198</v>
      </c>
      <c r="G1" s="122"/>
      <c r="H1" s="123"/>
      <c r="I1" s="18" t="s">
        <v>180</v>
      </c>
      <c r="J1" s="119">
        <f ca="1">TODAY()</f>
        <v>44376</v>
      </c>
      <c r="K1" s="119"/>
      <c r="L1" s="120"/>
      <c r="M1" s="35"/>
      <c r="N1" s="18" t="s">
        <v>55</v>
      </c>
      <c r="O1" s="108" t="str">
        <f>B1</f>
        <v>PBR60085025</v>
      </c>
      <c r="P1" s="108"/>
      <c r="Q1" s="109"/>
      <c r="R1" s="18" t="s">
        <v>56</v>
      </c>
      <c r="S1" s="108" t="str">
        <f>F1</f>
        <v xml:space="preserve">LATCO </v>
      </c>
      <c r="T1" s="108"/>
      <c r="U1" s="109"/>
      <c r="V1" s="18" t="s">
        <v>180</v>
      </c>
      <c r="W1" s="119">
        <f ca="1">J1</f>
        <v>44376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940681</v>
      </c>
      <c r="G2" s="71"/>
      <c r="H2" s="72"/>
      <c r="I2" s="18" t="s">
        <v>58</v>
      </c>
      <c r="J2" s="140" t="s">
        <v>192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940681</v>
      </c>
      <c r="T2" s="108"/>
      <c r="U2" s="109"/>
      <c r="V2" s="18" t="s">
        <v>58</v>
      </c>
      <c r="W2" s="121" t="str">
        <f>J2</f>
        <v>ASAP</v>
      </c>
      <c r="X2" s="108"/>
      <c r="Y2" s="109"/>
    </row>
    <row r="3" spans="1:25" ht="20.100000000000001" customHeight="1" x14ac:dyDescent="0.25">
      <c r="A3" s="129" t="s">
        <v>197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5"/>
      <c r="N3" s="110" t="str">
        <f>A3</f>
        <v xml:space="preserve">NEW ITEM - NEW CUSTOMER - MUST NOT BE UNDER GUAGE 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51" t="s">
        <v>1</v>
      </c>
      <c r="B6" s="152"/>
      <c r="C6" s="152"/>
      <c r="D6" s="152"/>
      <c r="E6" s="152"/>
      <c r="F6" s="152"/>
      <c r="G6" s="152"/>
      <c r="H6" s="152"/>
      <c r="I6" s="152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IF(ISNUMBER(SEARCH("Tube",O8,1)),"No. Rolls",IF(ISNUMBER(SEARCH("roll",O8,1)),"No. Rolls","No. Cartons"))</f>
        <v>No. Rolls</v>
      </c>
      <c r="O7" s="71">
        <v>25</v>
      </c>
      <c r="P7" s="72"/>
      <c r="Q7" s="18" t="str">
        <f>IF(ISNUMBER(SEARCH("Tube",O8,1)),"Per Roll",IF(ISNUMBER(SEARCH("roll",O8,1)),"Per Roll","Per Carton"))</f>
        <v>Per Roll</v>
      </c>
      <c r="R7" s="71">
        <v>1000</v>
      </c>
      <c r="S7" s="72"/>
      <c r="T7" s="18" t="str">
        <f>IF(ISNUMBER(SEARCH("Tube",O8,1)),"Total Tube",IF(ISNUMBER(SEARCH("bag",O8,1)),"Total Bags","Total Sheets"))</f>
        <v>Total Bags</v>
      </c>
      <c r="U7" s="108">
        <f>R7*O7</f>
        <v>25000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38">
        <f>R9</f>
        <v>600</v>
      </c>
      <c r="C8" s="139"/>
      <c r="D8" s="22" t="str">
        <f>IF(ISNUMBER(SEARCH("bag",#REF!,1)),"Gusset","Centrefold")</f>
        <v>Centrefold</v>
      </c>
      <c r="E8" s="138" t="str">
        <f>IF(O8="Centrefold Roll",B8*2,IF(X9="","None",X9))</f>
        <v>None</v>
      </c>
      <c r="F8" s="139"/>
      <c r="G8" s="19" t="s">
        <v>51</v>
      </c>
      <c r="H8" s="138" t="str">
        <f>(IF(V9&lt;30,"30",V9))</f>
        <v>30</v>
      </c>
      <c r="I8" s="139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47" t="s">
        <v>164</v>
      </c>
      <c r="P8" s="148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53" t="s">
        <v>195</v>
      </c>
      <c r="C9" s="154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53" t="s">
        <v>196</v>
      </c>
      <c r="I9" s="154"/>
      <c r="J9" s="18" t="s">
        <v>54</v>
      </c>
      <c r="K9" s="71" t="s">
        <v>33</v>
      </c>
      <c r="L9" s="72"/>
      <c r="M9" s="35"/>
      <c r="N9" s="24"/>
      <c r="O9" s="161" t="str">
        <f>IF(O8="Poly Bag","PB",IF(O8="Poly Bag Roll","PBR",IF(O8="Centrefold Roll","CFR",IF(O8="Sheet","S",IF(O8="Sheet Roll","SR",IF(O8="TUBE","T",))))))</f>
        <v>PBR</v>
      </c>
      <c r="P9" s="162"/>
      <c r="Q9" s="24"/>
      <c r="R9" s="36">
        <v>600</v>
      </c>
      <c r="S9" s="25"/>
      <c r="T9" s="36">
        <v>850</v>
      </c>
      <c r="U9" s="25" t="s">
        <v>77</v>
      </c>
      <c r="V9" s="36">
        <v>25</v>
      </c>
      <c r="W9" s="24"/>
      <c r="X9" s="145"/>
      <c r="Y9" s="146"/>
    </row>
    <row r="10" spans="1:25" ht="20.100000000000001" customHeight="1" x14ac:dyDescent="0.25">
      <c r="A10" s="18" t="s">
        <v>50</v>
      </c>
      <c r="B10" s="71">
        <v>25</v>
      </c>
      <c r="C10" s="72"/>
      <c r="D10" s="56" t="s">
        <v>133</v>
      </c>
      <c r="E10" s="155">
        <f>IF(ISNUMBER(SEARCH("sheet",O8,1)),((R9*T9*H8/540000)*U7/2000*1.3),((R9*T9*H8/540000)*U7/1000*1.08))</f>
        <v>765</v>
      </c>
      <c r="F10" s="156"/>
      <c r="G10" s="18" t="s">
        <v>52</v>
      </c>
      <c r="H10" s="159">
        <f>IF(ISNUMBER(SEARCH("sheet",O8,1)),(U7*T9/2000*1.08),(U7*T9/1000*1.08))</f>
        <v>22950</v>
      </c>
      <c r="I10" s="160"/>
      <c r="J10" s="18" t="s">
        <v>40</v>
      </c>
      <c r="K10" s="71" t="s">
        <v>43</v>
      </c>
      <c r="L10" s="72"/>
      <c r="M10" s="35"/>
      <c r="N10" s="26" t="s">
        <v>140</v>
      </c>
      <c r="O10" s="147" t="s">
        <v>43</v>
      </c>
      <c r="P10" s="148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41"/>
      <c r="V10" s="141"/>
      <c r="W10" s="141"/>
      <c r="X10" s="141"/>
      <c r="Y10" s="14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57">
        <f>E10/B10</f>
        <v>30.6</v>
      </c>
      <c r="F11" s="158"/>
      <c r="G11" s="18" t="s">
        <v>14</v>
      </c>
      <c r="H11" s="157">
        <f>H10/B10</f>
        <v>918</v>
      </c>
      <c r="I11" s="158"/>
      <c r="J11" s="18" t="s">
        <v>49</v>
      </c>
      <c r="K11" s="71" t="s">
        <v>43</v>
      </c>
      <c r="L11" s="72"/>
      <c r="M11" s="35"/>
      <c r="N11" s="19"/>
      <c r="O11" s="138" t="str">
        <f>IF(O10="NONE","","V")</f>
        <v/>
      </c>
      <c r="P11" s="139"/>
      <c r="Q11" s="19"/>
      <c r="R11" s="138" t="str">
        <f>IF(R10="None","","P")</f>
        <v/>
      </c>
      <c r="S11" s="138"/>
      <c r="T11" s="19"/>
      <c r="U11" s="143"/>
      <c r="V11" s="143"/>
      <c r="W11" s="143"/>
      <c r="X11" s="143"/>
      <c r="Y11" s="14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22</v>
      </c>
      <c r="V16" s="72"/>
      <c r="W16" s="18" t="str">
        <f>IF(ISNUMBER(SEARCH("Tube",O8,1)),"Total Tube",IF(ISNUMBER(SEARCH("bag",O8,1)),"Total Bags","Total Sheets"))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3"/>
      <c r="J17" s="174"/>
      <c r="K17" s="173"/>
      <c r="L17" s="174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IF(ISNUMBER(SEARCH("Tube",O8,1)),"Part Rolls",IF(ISNUMBER(SEARCH("roll",O8,1)),"Part Rolls","Part Ctns"))</f>
        <v>Part Rolls</v>
      </c>
      <c r="U17" s="71" t="s">
        <v>22</v>
      </c>
      <c r="V17" s="72"/>
      <c r="W17" s="18" t="str">
        <f>IF(ISNUMBER(SEARCH("Tube",O8,1)),"No. Rolls",IF(ISNUMBER(SEARCH("roll",O8,1)),"Total Rolls","Total Ctns"))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3"/>
      <c r="J18" s="174"/>
      <c r="K18" s="173"/>
      <c r="L18" s="174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3"/>
      <c r="J19" s="174"/>
      <c r="K19" s="173"/>
      <c r="L19" s="174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3"/>
      <c r="J20" s="174"/>
      <c r="K20" s="173"/>
      <c r="L20" s="174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3"/>
      <c r="J21" s="174"/>
      <c r="K21" s="173"/>
      <c r="L21" s="174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73"/>
      <c r="J22" s="174"/>
      <c r="K22" s="173"/>
      <c r="L22" s="174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66"/>
      <c r="B23" s="166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3"/>
      <c r="J23" s="174"/>
      <c r="K23" s="173"/>
      <c r="L23" s="174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67"/>
      <c r="B24" s="168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3"/>
      <c r="J24" s="174"/>
      <c r="K24" s="173"/>
      <c r="L24" s="174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72"/>
      <c r="H27" s="172"/>
      <c r="I27" s="172"/>
      <c r="J27" s="172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72"/>
      <c r="H28" s="172"/>
      <c r="I28" s="172"/>
      <c r="J28" s="172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9" t="s">
        <v>98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63" t="s">
        <v>135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44406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44397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3" t="s">
        <v>194</v>
      </c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4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5" t="s">
        <v>37</v>
      </c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</row>
    <row r="59" spans="1:20" x14ac:dyDescent="0.25">
      <c r="A59" s="67" t="s">
        <v>147</v>
      </c>
      <c r="N59" s="63" t="s">
        <v>32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2E8071F-7FFF-4EB4-B28B-3D1DEF79EF6B}"/>
</file>

<file path=customXml/itemProps2.xml><?xml version="1.0" encoding="utf-8"?>
<ds:datastoreItem xmlns:ds="http://schemas.openxmlformats.org/officeDocument/2006/customXml" ds:itemID="{A94A9892-5BAE-4EF1-805A-23711D74DCBA}"/>
</file>

<file path=customXml/itemProps3.xml><?xml version="1.0" encoding="utf-8"?>
<ds:datastoreItem xmlns:ds="http://schemas.openxmlformats.org/officeDocument/2006/customXml" ds:itemID="{0FD476A2-8129-470A-8C5A-68C28CA42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2021-06-28T23:38:40Z</cp:lastPrinted>
  <dcterms:created xsi:type="dcterms:W3CDTF">2019-11-27T23:28:06Z</dcterms:created>
  <dcterms:modified xsi:type="dcterms:W3CDTF">2021-06-28T23:39:21Z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