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28642124-3EDB-4CC0-BC53-CD06EC5963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<sst xmlns="http://schemas.openxmlformats.org/spreadsheetml/2006/main" count="305" uniqueCount="201">
  <si>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</si>
  <si>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</si>
  <si>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</si>
  <si>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</si>
  <si>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</si>
  <si>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</si>
  <si>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</si>
  <si>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</si>
  <si>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</si>
  <si>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</si>
  <si>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</si>
  <si>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</si>
  <si>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</si>
  <si>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</si>
  <si>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</si>
  <si>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</si>
  <si>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</si>
  <si>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</si>
  <si>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</si>
  <si>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</si>
  <si>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</si>
  <si>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</si>
  <si>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</si>
  <si>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</si>
  <si>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</si>
  <si>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</si>
  <si>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</si>
  <si>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</si>
  <si>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</si>
  <si>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</si>
  <si>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</si>
  <si>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</si>
  <si>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</si>
  <si>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</si>
  <si>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</si>
  <si>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</si>
  <si>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</si>
  <si>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</si>
  <si>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</si>
  <si>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</si>
  <si>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</si>
  <si>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</si>
  <si>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</si>
  <si>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</si>
  <si>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</si>
  <si>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</si>
  <si>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</si>
  <si>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</si>
  <si>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</si>
  <si>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</si>
  <si>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</si>
  <si>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</si>
  <si>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</si>
  <si>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</si>
  <si>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</si>
  <si>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</si>
  <si>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</si>
  <si>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</si>
  <si>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</si>
  <si>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</si>
  <si>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</si>
  <si>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</si>
  <si>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</si>
  <si>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</si>
  <si>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</si>
  <si>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</si>
  <si>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</si>
  <si>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</si>
  <si>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</si>
  <si>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</si>
  <si>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</si>
  <si>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</si>
  <si>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</si>
  <si>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</si>
  <si>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</si>
  <si>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</si>
  <si>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</si>
  <si>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</si>
  <si>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</si>
  <si>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</si>
  <si>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</si>
  <si>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</si>
  <si>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</si>
  <si>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</si>
  <si>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</si>
  <si>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</si>
  <si>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</si>
  <si>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</si>
  <si>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</si>
  <si>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</si>
  <si>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</si>
  <si>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</si>
  <si>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</si>
  <si>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</si>
  <si>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</si>
  <si>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</si>
  <si>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</si>
  <si>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</si>
  <si>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</si>
  <si>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</si>
  <si>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</si>
  <si>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</si>
  <si>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</si>
  <si>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</si>
  <si>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</si>
  <si>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</si>
  <si>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</si>
  <si>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</si>
  <si>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</si>
  <si>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</si>
  <si>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</si>
  <si>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</si>
  <si>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</si>
  <si>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</si>
  <si>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</si>
  <si>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</si>
  <si>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</si>
  <si>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</si>
  <si>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</si>
  <si>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</si>
  <si>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</si>
  <si>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</si>
  <si>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</si>
  <si>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</si>
  <si>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</si>
  <si>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</si>
  <si>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</si>
  <si>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</si>
  <si>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</si>
  <si>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</si>
  <si>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</si>
  <si>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</si>
  <si>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</si>
  <si>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</si>
  <si>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</si>
  <si>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</si>
  <si>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</si>
  <si>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</si>
  <si>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</si>
  <si>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</si>
  <si>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</si>
  <si>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</si>
  <si>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</si>
  <si>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</si>
  <si>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</si>
  <si>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</si>
  <si>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</si>
  <si>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</si>
  <si>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</si>
  <si>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</si>
  <si>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</si>
  <si>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</si>
  <si>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</si>
  <si>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</si>
  <si>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</si>
  <si>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</si>
  <si>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</si>
  <si>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</si>
  <si>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</si>
  <si>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</si>
  <si>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</si>
  <si>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</si>
  <si>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</si>
  <si>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</si>
  <si>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</si>
  <si>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</si>
  <si>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</si>
  <si>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</si>
  <si>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</si>
  <si>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</si>
  <si>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</si>
  <si>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</si>
  <si>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</si>
  <si>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</si>
  <si>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</si>
  <si>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</si>
  <si>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</si>
  <si>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</si>
  <si>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</si>
  <si>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</si>
  <si>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</si>
  <si>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</si>
  <si>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</si>
  <si>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</si>
  <si>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</si>
  <si>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</si>
  <si>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</si>
  <si>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</si>
  <si>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</si>
  <si>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</si>
  <si>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</si>
  <si>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</si>
  <si>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</si>
  <si>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</si>
  <si>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</si>
  <si>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</si>
  <si>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ANTISTATIC</t>
  </si>
  <si>
    <t xml:space="preserve">LIMAX </t>
  </si>
  <si>
    <t>ANDREW PHILLIPS</t>
  </si>
  <si>
    <t>11.01.2021</t>
  </si>
  <si>
    <t>NEW CUSTOMER - NEW SIZE - MUST HAVE WATER TIGHT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</si>
</sst>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PB35045063AS</v>
      </c>
      <c r="C1" s="122"/>
      <c r="D1" s="123"/>
      <c r="E1" s="12" t="s">
        <v>57</v>
      </c>
      <c r="F1" s="133" t="s">
        <v>198</v>
      </c>
      <c r="G1" s="134"/>
      <c r="H1" s="135"/>
      <c r="I1" s="13" t="s">
        <v>181</v>
      </c>
      <c r="J1" s="95">
        <f ca="1">TODAY()</f>
        <v>44145</v>
      </c>
      <c r="K1" s="95"/>
      <c r="L1" s="96"/>
      <c r="M1" s="34"/>
      <c r="N1" s="12" t="s">
        <v>56</v>
      </c>
      <c r="O1" s="122" t="str">
        <f>B1</f>
        <v>PB35045063AS</v>
      </c>
      <c r="P1" s="122"/>
      <c r="Q1" s="123"/>
      <c r="R1" s="12" t="s">
        <v>57</v>
      </c>
      <c r="S1" s="122" t="str">
        <f>F1</f>
        <v>ANDREW PHILLIPS</v>
      </c>
      <c r="T1" s="122"/>
      <c r="U1" s="123"/>
      <c r="V1" s="12" t="s">
        <v>181</v>
      </c>
      <c r="W1" s="95">
        <f ca="1">J1</f>
        <v>44145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938909</v>
      </c>
      <c r="G2" s="98"/>
      <c r="H2" s="99"/>
      <c r="I2" s="12" t="s">
        <v>59</v>
      </c>
      <c r="J2" s="97" t="s">
        <v>199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938909</v>
      </c>
      <c r="T2" s="122"/>
      <c r="U2" s="123"/>
      <c r="V2" s="12" t="s">
        <v>59</v>
      </c>
      <c r="W2" s="136" t="str">
        <f>J2</f>
        <v>11.01.2021</v>
      </c>
      <c r="X2" s="122"/>
      <c r="Y2" s="123"/>
    </row>
    <row r="3" spans="1:28" ht="20.100000000000001" customHeight="1" x14ac:dyDescent="0.25">
      <c r="A3" s="124" t="s">
        <v>200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NEW CUSTOMER - NEW SIZE - MUST HAVE WATER TIGHT SEALS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12</v>
      </c>
      <c r="P7" s="99"/>
      <c r="Q7" s="12" t="str">
        <f>IF(ISNUMBER(SEARCH("roll",O8,1)),"Per Roll","Per Carton")</f>
        <v>Per Carton</v>
      </c>
      <c r="R7" s="98">
        <v>250</v>
      </c>
      <c r="S7" s="99"/>
      <c r="T7" s="12" t="str">
        <f>IF(ISNUMBER(SEARCH("bag",O8,1)),"Total Bags","Total Sheets")</f>
        <v>Total Bags</v>
      </c>
      <c r="U7" s="122">
        <f>R7*O7</f>
        <v>3000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350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63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350</v>
      </c>
      <c r="S9" s="20" t="s">
        <v>78</v>
      </c>
      <c r="T9" s="35">
        <v>450</v>
      </c>
      <c r="U9" s="20" t="s">
        <v>78</v>
      </c>
      <c r="V9" s="35">
        <v>63</v>
      </c>
      <c r="W9" s="19"/>
      <c r="X9" s="152"/>
      <c r="Y9" s="153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59.535000000000004</v>
      </c>
      <c r="F10" s="113"/>
      <c r="G10" s="12" t="s">
        <v>53</v>
      </c>
      <c r="H10" s="116">
        <f>IF(ISNUMBER(SEARCH("sheet",O8,1)),(U7*T9/2000*1.08),(U7*T9/1000*1.08))</f>
        <v>1458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/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14.883750000000001</v>
      </c>
      <c r="F11" s="115"/>
      <c r="G11" s="12" t="s">
        <v>15</v>
      </c>
      <c r="H11" s="114">
        <f>H10/B10</f>
        <v>364.5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12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3</v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150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90" t="s">
        <v>196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197</v>
      </c>
      <c r="P25" s="39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44175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44166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8B73916-2446-4CCB-B3A8-4BD95BE27FA6}"/>
</file>

<file path=customXml/itemProps2.xml><?xml version="1.0" encoding="utf-8"?>
<ds:datastoreItem xmlns:ds="http://schemas.openxmlformats.org/officeDocument/2006/customXml" ds:itemID="{C75926F1-63D1-42FF-9575-DF8720D27BE3}"/>
</file>

<file path=customXml/itemProps3.xml><?xml version="1.0" encoding="utf-8"?>
<ds:datastoreItem xmlns:ds="http://schemas.openxmlformats.org/officeDocument/2006/customXml" ds:itemID="{553955BD-C7C0-4174-8A15-96104D43FB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2020-11-10T01:49:24Z</cp:lastPrinted>
  <dcterms:created xsi:type="dcterms:W3CDTF">2019-11-27T23:28:06Z</dcterms:created>
  <dcterms:modified xsi:type="dcterms:W3CDTF">2020-11-10T01:50:00Z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