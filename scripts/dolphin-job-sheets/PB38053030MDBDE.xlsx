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3" documentId="11_7A635F416CBE8D6322C5C55B482F55724DE5AEDA" xr6:coauthVersionLast="47" xr6:coauthVersionMax="47" xr10:uidLastSave="{9AC8E90B-9F25-4AC0-8762-62AEB1647B78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l="1"/>
  <c r="B1" i="1" s="1"/>
  <c r="J1" i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<sst xmlns="http://schemas.openxmlformats.org/spreadsheetml/2006/main" count="306" uniqueCount="202">
  <si>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</si>
  <si>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</si>
  <si>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</si>
  <si>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</si>
  <si>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</si>
  <si>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</si>
  <si>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</si>
  <si>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</si>
  <si>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</si>
  <si>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</si>
  <si>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</si>
  <si>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</si>
  <si>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</si>
  <si>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</si>
  <si>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</si>
  <si>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</si>
  <si>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</si>
  <si>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</si>
  <si>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</si>
  <si>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</si>
  <si>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</si>
  <si>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</si>
  <si>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</si>
  <si>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</si>
  <si>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</si>
  <si>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</si>
  <si>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</si>
  <si>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</si>
  <si>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</si>
  <si>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</si>
  <si>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</si>
  <si>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</si>
  <si>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</si>
  <si>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</si>
  <si>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</si>
  <si>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</si>
  <si>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</si>
  <si>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</si>
  <si>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</si>
  <si>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</si>
  <si>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</si>
  <si>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</si>
  <si>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</si>
  <si>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</si>
  <si>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</si>
  <si>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</si>
  <si>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</si>
  <si>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</si>
  <si>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</si>
  <si>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</si>
  <si>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</si>
  <si>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</si>
  <si>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</si>
  <si>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</si>
  <si>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</si>
  <si>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</si>
  <si>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</si>
  <si>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</si>
  <si>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</si>
  <si>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</si>
  <si>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</si>
  <si>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</si>
  <si>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</si>
  <si>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</si>
  <si>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</si>
  <si>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</si>
  <si>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</si>
  <si>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</si>
  <si>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</si>
  <si>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</si>
  <si>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</si>
  <si>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</si>
  <si>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</si>
  <si>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</si>
  <si>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</si>
  <si>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</si>
  <si>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</si>
  <si>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</si>
  <si>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</si>
  <si>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</si>
  <si>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</si>
  <si>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</si>
  <si>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</si>
  <si>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</si>
  <si>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</si>
  <si>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</si>
  <si>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</si>
  <si>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</si>
  <si>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</si>
  <si>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</si>
  <si>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</si>
  <si>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</si>
  <si>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</si>
  <si>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</si>
  <si>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</si>
  <si>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</si>
  <si>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</si>
  <si>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</si>
  <si>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</si>
  <si>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</si>
  <si>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</si>
  <si>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</si>
  <si>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</si>
  <si>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</si>
  <si>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</si>
  <si>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</si>
  <si>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</si>
  <si>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</si>
  <si>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</si>
  <si>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</si>
  <si>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</si>
  <si>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</si>
  <si>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</si>
  <si>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</si>
  <si>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</si>
  <si>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</si>
  <si>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</si>
  <si>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</si>
  <si>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</si>
  <si>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</si>
  <si>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</si>
  <si>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</si>
  <si>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</si>
  <si>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</si>
  <si>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</si>
  <si>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</si>
  <si>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</si>
  <si>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</si>
  <si>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</si>
  <si>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</si>
  <si>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</si>
  <si>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</si>
  <si>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</si>
  <si>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</si>
  <si>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</si>
  <si>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</si>
  <si>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</si>
  <si>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</si>
  <si>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</si>
  <si>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</si>
  <si>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</si>
  <si>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</si>
  <si>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</si>
  <si>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</si>
  <si>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</si>
  <si>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</si>
  <si>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</si>
  <si>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</si>
  <si>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</si>
  <si>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</si>
  <si>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</si>
  <si>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</si>
  <si>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</si>
  <si>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</si>
  <si>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</si>
  <si>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</si>
  <si>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</si>
  <si>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</si>
  <si>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</si>
  <si>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</si>
  <si>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</si>
  <si>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</si>
  <si>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</si>
  <si>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</si>
  <si>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</si>
  <si>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</si>
  <si>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</si>
  <si>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</si>
  <si>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</si>
  <si>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</si>
  <si>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</si>
  <si>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</si>
  <si>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</si>
  <si>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</si>
  <si>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</si>
  <si>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</si>
  <si>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</si>
  <si>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</si>
  <si>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</si>
  <si>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</si>
  <si>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</si>
  <si>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</si>
  <si>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</si>
  <si>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</si>
  <si>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</si>
  <si>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</si>
  <si>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</si>
  <si>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</si>
  <si>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</si>
  <si>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</si>
  <si>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</si>
  <si>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</si>
  <si>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</si>
  <si>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</si>
  <si>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BROWN</t>
  </si>
  <si>
    <t>BIO DEGRADABLE</t>
  </si>
  <si>
    <t>MD</t>
  </si>
  <si>
    <t xml:space="preserve"> +/- 3mm</t>
  </si>
  <si>
    <t>RUN AT 30um</t>
  </si>
  <si>
    <t>ANTISTATIC</t>
  </si>
  <si>
    <t>MD - FILM MUST NOT BE SPLITTY - OPAQUE BROWN - NEEDS ANTISTATIC</t>
  </si>
  <si>
    <t>ZEBRAVET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</si>
</sst>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theme="5" tint="-0.499984740745262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R7" sqref="R7:S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PB38053030BBDAS</v>
      </c>
      <c r="C1" s="111"/>
      <c r="D1" s="112"/>
      <c r="E1" s="11" t="s">
        <v>57</v>
      </c>
      <c r="F1" s="87" t="s">
        <v>201</v>
      </c>
      <c r="G1" s="87"/>
      <c r="H1" s="88"/>
      <c r="I1" s="12" t="s">
        <v>181</v>
      </c>
      <c r="J1" s="84">
        <f ca="1">TODAY()</f>
        <v>46128</v>
      </c>
      <c r="K1" s="84"/>
      <c r="L1" s="85"/>
      <c r="M1" s="29"/>
      <c r="N1" s="11" t="s">
        <v>56</v>
      </c>
      <c r="O1" s="111" t="str">
        <f>B1</f>
        <v>PB38053030BBDAS</v>
      </c>
      <c r="P1" s="111"/>
      <c r="Q1" s="112"/>
      <c r="R1" s="11" t="s">
        <v>57</v>
      </c>
      <c r="S1" s="111" t="str">
        <f>F1</f>
        <v>ZEBRAVET</v>
      </c>
      <c r="T1" s="111"/>
      <c r="U1" s="112"/>
      <c r="V1" s="11" t="s">
        <v>181</v>
      </c>
      <c r="W1" s="84">
        <f ca="1">J1</f>
        <v>46128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MD</v>
      </c>
      <c r="C2" s="111"/>
      <c r="D2" s="112"/>
      <c r="E2" s="11" t="s">
        <v>58</v>
      </c>
      <c r="F2" s="87">
        <v>951006</v>
      </c>
      <c r="G2" s="87"/>
      <c r="H2" s="88"/>
      <c r="I2" s="11" t="s">
        <v>59</v>
      </c>
      <c r="J2" s="86">
        <v>43926</v>
      </c>
      <c r="K2" s="87"/>
      <c r="L2" s="88"/>
      <c r="M2" s="29"/>
      <c r="N2" s="11" t="s">
        <v>100</v>
      </c>
      <c r="O2" s="111" t="str">
        <f>IF(B2="","",B2)</f>
        <v>MD</v>
      </c>
      <c r="P2" s="111"/>
      <c r="Q2" s="112"/>
      <c r="R2" s="11" t="s">
        <v>58</v>
      </c>
      <c r="S2" s="111">
        <f>IF(F2="","",F2)</f>
        <v>951006</v>
      </c>
      <c r="T2" s="111"/>
      <c r="U2" s="112"/>
      <c r="V2" s="11" t="s">
        <v>59</v>
      </c>
      <c r="W2" s="122">
        <f>J2</f>
        <v>43926</v>
      </c>
      <c r="X2" s="111"/>
      <c r="Y2" s="112"/>
    </row>
    <row r="3" spans="1:25" ht="20.100000000000001" customHeight="1" x14ac:dyDescent="0.2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MD - FILM MUST NOT BE SPLITTY - OPAQUE BROWN - NEEDS ANTISTATIC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194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6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6000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380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197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198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380</v>
      </c>
      <c r="S9" s="18" t="s">
        <v>78</v>
      </c>
      <c r="T9" s="30">
        <v>530</v>
      </c>
      <c r="U9" s="18" t="s">
        <v>78</v>
      </c>
      <c r="V9" s="30">
        <v>30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4</v>
      </c>
      <c r="C10" s="88"/>
      <c r="D10" s="47" t="s">
        <v>134</v>
      </c>
      <c r="E10" s="101">
        <f>IF(ISNUMBER(SEARCH("sheet",O8,1)),((R9*T9*H8/540000)*U7/2000*1.3),((R9*T9*H8/540000)*U7/1000*1.08))</f>
        <v>72.503999999999991</v>
      </c>
      <c r="F10" s="102"/>
      <c r="G10" s="11" t="s">
        <v>53</v>
      </c>
      <c r="H10" s="105">
        <f>IF(ISNUMBER(SEARCH("sheet",O8,1)),(U7*T9/2000*1.08),(U7*T9/1000*1.08))</f>
        <v>3434.4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196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18.125999999999998</v>
      </c>
      <c r="F11" s="104"/>
      <c r="G11" s="11" t="s">
        <v>15</v>
      </c>
      <c r="H11" s="103">
        <f>H10/B10</f>
        <v>858.6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6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BROWN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IF(A22="","",IF(A22="NATURAL","",IF(A22="BLACK","BK",IF(A22="WHITE","WH",IF(A22="YELLOW","Y",IF(A22="PURPLE","PU",IF(A22="BLUE","BL",IF(A22="RED","R",IF(A22="GREEN","GR",IF(A22="ORANGE","OR",IF(A22="LILAC","LI",IF(A22="MAROON","MA",IF(A22="BROWN","B",IF(A22="WHITE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DEGRADABLE","BD",)))))))))))))))))))))))))))</f>
        <v>B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195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BD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 t="s">
        <v>199</v>
      </c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3" priority="7" operator="containsText" text="MAROON">
      <formula>NOT(ISERROR(SEARCH("MAROON",B7)))</formula>
    </cfRule>
    <cfRule type="containsText" dxfId="12" priority="8" operator="containsText" text="ORANGE">
      <formula>NOT(ISERROR(SEARCH("ORANGE",B7)))</formula>
    </cfRule>
    <cfRule type="containsText" dxfId="11" priority="9" operator="containsText" text="GREEN">
      <formula>NOT(ISERROR(SEARCH("GREEN",B7)))</formula>
    </cfRule>
    <cfRule type="containsText" dxfId="10" priority="10" operator="containsText" text="RED">
      <formula>NOT(ISERROR(SEARCH("RED",B7)))</formula>
    </cfRule>
    <cfRule type="containsText" dxfId="9" priority="11" operator="containsText" text="WHITE">
      <formula>NOT(ISERROR(SEARCH("WHITE",B7)))</formula>
    </cfRule>
    <cfRule type="containsText" dxfId="8" priority="12" operator="containsText" text="PURPLE">
      <formula>NOT(ISERROR(SEARCH("PURPLE",B7)))</formula>
    </cfRule>
    <cfRule type="containsText" dxfId="7" priority="13" operator="containsText" text="BLUE">
      <formula>NOT(ISERROR(SEARCH("BLUE",B7)))</formula>
    </cfRule>
    <cfRule type="containsText" dxfId="6" priority="14" operator="containsText" text="YELLOW">
      <formula>NOT(ISERROR(SEARCH("YELLOW",B7)))</formula>
    </cfRule>
  </conditionalFormatting>
  <conditionalFormatting sqref="B7:I7">
    <cfRule type="containsText" dxfId="5" priority="1" operator="containsText" text="BROWN">
      <formula>NOT(ISERROR(SEARCH("BROWN",B7)))</formula>
    </cfRule>
    <cfRule type="containsText" dxfId="4" priority="4" operator="containsText" text="BLACK">
      <formula>NOT(ISERROR(SEARCH("BLACK",B7)))</formula>
    </cfRule>
  </conditionalFormatting>
  <conditionalFormatting sqref="J2">
    <cfRule type="containsText" dxfId="3" priority="3" operator="containsText" text="ASAP">
      <formula>NOT(ISERROR(SEARCH("ASAP",J2)))</formula>
    </cfRule>
  </conditionalFormatting>
  <conditionalFormatting sqref="J13 B7">
    <cfRule type="containsText" dxfId="2" priority="6" operator="containsText" text="LILAC">
      <formula>NOT(ISERROR(SEARCH("LILAC",B7)))</formula>
    </cfRule>
  </conditionalFormatting>
  <conditionalFormatting sqref="J13">
    <cfRule type="containsText" dxfId="1" priority="5" operator="containsText" text="BLACK">
      <formula>NOT(ISERROR(SEARCH("BLACK",J13)))</formula>
    </cfRule>
  </conditionalFormatting>
  <conditionalFormatting sqref="W2">
    <cfRule type="containsText" dxfId="0" priority="2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Sheet2!$A$32:$A$33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Sheet2!$A$36:$A$39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Sheet2!$A$47:$A$49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Sheet2!$A$52:$A$54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Sheet2!$A$42:$A$44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Sheet2!$A$57:$A$67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E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F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Sheet2!$A$9:$A$29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21" sqref="A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46158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46149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194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157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158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159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160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162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175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5" t="s">
        <v>184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7" t="s">
        <v>46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 t="s">
        <v>34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7" t="s">
        <v>47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5" t="s">
        <v>45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21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7" t="s">
        <v>63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44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65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" t="s">
        <v>64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7" t="s">
        <v>68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44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70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5" t="s">
        <v>69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21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7" t="s">
        <v>61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44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66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5" t="s">
        <v>67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21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56" t="s">
        <v>62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21" t="s">
        <v>44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177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155</v>
      </c>
    </row>
    <row r="60" spans="1:20" x14ac:dyDescent="0.25">
      <c r="A60" s="55" t="s">
        <v>148</v>
      </c>
      <c r="O60" s="1"/>
      <c r="Q60" s="1"/>
      <c r="R60" s="3"/>
      <c r="S60" s="1"/>
    </row>
    <row r="61" spans="1:20" x14ac:dyDescent="0.25">
      <c r="A61" s="55" t="s">
        <v>149</v>
      </c>
      <c r="O61" s="1"/>
      <c r="Q61" s="1"/>
      <c r="R61" s="1"/>
      <c r="S61" s="1"/>
    </row>
    <row r="62" spans="1:20" x14ac:dyDescent="0.25">
      <c r="A62" s="55" t="s">
        <v>150</v>
      </c>
      <c r="O62" s="1"/>
      <c r="Q62" s="1"/>
      <c r="R62" s="1"/>
      <c r="S62" s="1"/>
    </row>
    <row r="63" spans="1:20" x14ac:dyDescent="0.25">
      <c r="A63" s="55" t="s">
        <v>151</v>
      </c>
      <c r="O63" s="1"/>
      <c r="Q63" s="1"/>
      <c r="R63" s="1"/>
      <c r="S63" s="1"/>
      <c r="T63" s="1"/>
    </row>
    <row r="64" spans="1:20" x14ac:dyDescent="0.25">
      <c r="A64" s="55" t="s">
        <v>152</v>
      </c>
      <c r="O64" s="1"/>
      <c r="Q64" s="1"/>
      <c r="R64" s="1"/>
      <c r="S64" s="1"/>
      <c r="T64" s="1"/>
    </row>
    <row r="65" spans="1:20" x14ac:dyDescent="0.25">
      <c r="A65" s="55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55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7A29CF-B47A-428E-812D-1578885CE123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2.xml><?xml version="1.0" encoding="utf-8"?>
<ds:datastoreItem xmlns:ds="http://schemas.openxmlformats.org/officeDocument/2006/customXml" ds:itemID="{9007D25B-CC71-46E7-B664-7E0E88C6A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3567DC-786F-404A-B287-4C60EAF780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2026-04-16T00:34:14Z</cp:lastPrinted>
  <dcterms:created xsi:type="dcterms:W3CDTF">2019-11-27T23:28:06Z</dcterms:created>
  <dcterms:modified xsi:type="dcterms:W3CDTF">2026-04-16T00:35:55Z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