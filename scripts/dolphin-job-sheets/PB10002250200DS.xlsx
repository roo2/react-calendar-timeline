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F84CA1D-7FDA-4D09-8492-B7BB61BC5F1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<sst xmlns="http://schemas.openxmlformats.org/spreadsheetml/2006/main" count="304" uniqueCount="200">
  <si>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</si>
  <si>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</si>
  <si>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</si>
  <si>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</si>
  <si>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</si>
  <si>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</si>
  <si>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</si>
  <si>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</si>
  <si>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</si>
  <si>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</si>
  <si>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</si>
  <si>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</si>
  <si>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</si>
  <si>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</si>
  <si>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</si>
  <si>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</si>
  <si>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</si>
  <si>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</si>
  <si>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</si>
  <si>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</si>
  <si>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</si>
  <si>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</si>
  <si>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</si>
  <si>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</si>
  <si>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</si>
  <si>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</si>
  <si>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</si>
  <si>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</si>
  <si>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</si>
  <si>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</si>
  <si>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</si>
  <si>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</si>
  <si>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</si>
  <si>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</si>
  <si>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</si>
  <si>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</si>
  <si>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</si>
  <si>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</si>
  <si>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</si>
  <si>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</si>
  <si>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</si>
  <si>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</si>
  <si>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</si>
  <si>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</si>
  <si>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</si>
  <si>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</si>
  <si>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</si>
  <si>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</si>
  <si>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</si>
  <si>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</si>
  <si>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</si>
  <si>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</si>
  <si>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</si>
  <si>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</si>
  <si>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</si>
  <si>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</si>
  <si>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</si>
  <si>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</si>
  <si>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</si>
  <si>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</si>
  <si>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</si>
  <si>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</si>
  <si>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</si>
  <si>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</si>
  <si>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</si>
  <si>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</si>
  <si>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</si>
  <si>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</si>
  <si>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</si>
  <si>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</si>
  <si>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</si>
  <si>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</si>
  <si>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</si>
  <si>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</si>
  <si>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</si>
  <si>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</si>
  <si>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</si>
  <si>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</si>
  <si>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</si>
  <si>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</si>
  <si>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</si>
  <si>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</si>
  <si>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</si>
  <si>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</si>
  <si>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</si>
  <si>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</si>
  <si>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</si>
  <si>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</si>
  <si>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</si>
  <si>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</si>
  <si>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</si>
  <si>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</si>
  <si>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</si>
  <si>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</si>
  <si>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</si>
  <si>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</si>
  <si>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</si>
  <si>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</si>
  <si>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</si>
  <si>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</si>
  <si>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</si>
  <si>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</si>
  <si>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</si>
  <si>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</si>
  <si>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</si>
  <si>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</si>
  <si>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</si>
  <si>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</si>
  <si>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</si>
  <si>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</si>
  <si>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</si>
  <si>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</si>
  <si>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</si>
  <si>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</si>
  <si>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</si>
  <si>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</si>
  <si>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</si>
  <si>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</si>
  <si>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</si>
  <si>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</si>
  <si>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</si>
  <si>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</si>
  <si>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</si>
  <si>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</si>
  <si>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</si>
  <si>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</si>
  <si>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</si>
  <si>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</si>
  <si>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</si>
  <si>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</si>
  <si>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</si>
  <si>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</si>
  <si>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</si>
  <si>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</si>
  <si>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</si>
  <si>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</si>
  <si>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</si>
  <si>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</si>
  <si>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</si>
  <si>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</si>
  <si>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</si>
  <si>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</si>
  <si>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</si>
  <si>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</si>
  <si>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</si>
  <si>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</si>
  <si>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</si>
  <si>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</si>
  <si>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</si>
  <si>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</si>
  <si>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</si>
  <si>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</si>
  <si>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</si>
  <si>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</si>
  <si>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</si>
  <si>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</si>
  <si>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</si>
  <si>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</si>
  <si>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</si>
  <si>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</si>
  <si>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</si>
  <si>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</si>
  <si>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</si>
  <si>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</si>
  <si>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</si>
  <si>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</si>
  <si>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</si>
  <si>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</si>
  <si>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</si>
  <si>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</si>
  <si>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</si>
  <si>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</si>
  <si>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</si>
  <si>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</si>
  <si>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</si>
  <si>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</si>
  <si>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</si>
  <si>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</si>
  <si>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</si>
  <si>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</si>
  <si>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</si>
  <si>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</si>
  <si>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</si>
  <si>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</si>
  <si>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</si>
  <si>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</si>
  <si>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</si>
  <si>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</si>
  <si>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</si>
  <si>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</si>
  <si>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</si>
  <si>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</si>
  <si>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</si>
  <si>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</si>
  <si>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THE COMPANY ONE</t>
  </si>
  <si>
    <t xml:space="preserve"> +/- 10mm</t>
  </si>
  <si>
    <t>***DOUBLE SEAL BAG***</t>
  </si>
  <si>
    <t>RUN AT 190um</t>
  </si>
  <si>
    <t xml:space="preserve">LIMAX </t>
  </si>
  <si>
    <t xml:space="preserve">  MUST NOT HAVE CREASING - MUST NOT HAVE BURN UP -                                         DOUBLE SEAL BAGS - MUST HAVE GOODS SEALS - NO LEAKS,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</si>
</sst>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5" borderId="7" xfId="0" applyFont="1" applyFill="1" applyBorder="1" applyAlignment="1" applyProtection="1">
      <alignment horizontal="center" vertical="center"/>
      <protection locked="0"/>
    </xf>
    <xf numFmtId="0" fontId="15" fillId="5" borderId="3" xfId="0" applyFont="1" applyFill="1" applyBorder="1" applyAlignment="1" applyProtection="1">
      <alignment horizontal="center" vertical="center"/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1" xfId="0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5" borderId="12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PB10002250200</v>
      </c>
      <c r="C1" s="111"/>
      <c r="D1" s="112"/>
      <c r="E1" s="11" t="s">
        <v>57</v>
      </c>
      <c r="F1" s="87" t="s">
        <v>194</v>
      </c>
      <c r="G1" s="87"/>
      <c r="H1" s="88"/>
      <c r="I1" s="12" t="s">
        <v>181</v>
      </c>
      <c r="J1" s="84">
        <f ca="1">TODAY()</f>
        <v>45146</v>
      </c>
      <c r="K1" s="84"/>
      <c r="L1" s="85"/>
      <c r="M1" s="29"/>
      <c r="N1" s="11" t="s">
        <v>56</v>
      </c>
      <c r="O1" s="111" t="str">
        <f>B1</f>
        <v>PB10002250200</v>
      </c>
      <c r="P1" s="111"/>
      <c r="Q1" s="112"/>
      <c r="R1" s="11" t="s">
        <v>57</v>
      </c>
      <c r="S1" s="111" t="str">
        <f>F1</f>
        <v>THE COMPANY ONE</v>
      </c>
      <c r="T1" s="111"/>
      <c r="U1" s="112"/>
      <c r="V1" s="11" t="s">
        <v>181</v>
      </c>
      <c r="W1" s="84">
        <f ca="1">J1</f>
        <v>45146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946281</v>
      </c>
      <c r="G2" s="87"/>
      <c r="H2" s="88"/>
      <c r="I2" s="11" t="s">
        <v>59</v>
      </c>
      <c r="J2" s="86">
        <v>45167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946281</v>
      </c>
      <c r="T2" s="111"/>
      <c r="U2" s="112"/>
      <c r="V2" s="11" t="s">
        <v>59</v>
      </c>
      <c r="W2" s="122">
        <f>J2</f>
        <v>45167</v>
      </c>
      <c r="X2" s="111"/>
      <c r="Y2" s="112"/>
    </row>
    <row r="3" spans="1:25" ht="20.149999999999999" customHeight="1" x14ac:dyDescent="0.75">
      <c r="A3" s="113" t="s">
        <v>199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 MUST NOT HAVE CREASING - MUST NOT HAVE BURN UP -                                         DOUBLE SEAL BAGS - MUST HAVE GOODS SEALS - NO LEAKS, 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50</v>
      </c>
      <c r="P7" s="88"/>
      <c r="Q7" s="11" t="str">
        <f>IF(ISNUMBER(SEARCH("roll",O8,1)),"Per Roll","Per Carton")</f>
        <v>Per Carton</v>
      </c>
      <c r="R7" s="87">
        <v>15</v>
      </c>
      <c r="S7" s="88"/>
      <c r="T7" s="11" t="str">
        <f>IF(ISNUMBER(SEARCH("bag",O8,1)),"Total Bags","Total Sheets")</f>
        <v>Total Bags</v>
      </c>
      <c r="U7" s="111">
        <f>R7*O7</f>
        <v>750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1000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200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1000</v>
      </c>
      <c r="S9" s="18" t="s">
        <v>78</v>
      </c>
      <c r="T9" s="30">
        <v>2250</v>
      </c>
      <c r="U9" s="18" t="s">
        <v>78</v>
      </c>
      <c r="V9" s="30">
        <v>200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16</v>
      </c>
      <c r="C10" s="88"/>
      <c r="D10" s="47" t="s">
        <v>134</v>
      </c>
      <c r="E10" s="101">
        <f>IF(ISNUMBER(SEARCH("sheet",O8,1)),((R9*T9*H8/540000)*U7/2000*1.3),((R9*T9*H8/540000)*U7/1000*1.08))</f>
        <v>675</v>
      </c>
      <c r="F10" s="102"/>
      <c r="G10" s="11" t="s">
        <v>53</v>
      </c>
      <c r="H10" s="105">
        <f>IF(ISNUMBER(SEARCH("sheet",O8,1)),(U7*T9/2000*1.08),(U7*T9/1000*1.08))</f>
        <v>1822.5000000000002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42.1875</v>
      </c>
      <c r="F11" s="104"/>
      <c r="G11" s="11" t="s">
        <v>15</v>
      </c>
      <c r="H11" s="103">
        <f>H10/B10</f>
        <v>113.90625000000001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169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1" t="s">
        <v>196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14</v>
      </c>
      <c r="R25" s="10"/>
      <c r="S25" s="10"/>
      <c r="T25" s="10"/>
      <c r="U25" s="10"/>
      <c r="V25" s="10"/>
      <c r="W25" s="10">
        <v>19</v>
      </c>
      <c r="X25" s="10">
        <v>17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45177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45167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94D916F-DCCF-4130-9A4D-4858724E83F6}"/>
</file>

<file path=customXml/itemProps2.xml><?xml version="1.0" encoding="utf-8"?>
<ds:datastoreItem xmlns:ds="http://schemas.openxmlformats.org/officeDocument/2006/customXml" ds:itemID="{CD211984-FF0C-44B4-9C9E-3E937B07FAA4}"/>
</file>

<file path=customXml/itemProps3.xml><?xml version="1.0" encoding="utf-8"?>
<ds:datastoreItem xmlns:ds="http://schemas.openxmlformats.org/officeDocument/2006/customXml" ds:itemID="{526B3485-69EB-47F5-9906-66D613361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2023-08-08T00:00:37Z</cp:lastPrinted>
  <dcterms:created xsi:type="dcterms:W3CDTF">2019-11-27T23:28:06Z</dcterms:created>
  <dcterms:modified xsi:type="dcterms:W3CDTF">2023-08-08T23:55:32Z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