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A6074B2-ADAE-4CD9-9C55-2505109CA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<sst xmlns="http://schemas.openxmlformats.org/spreadsheetml/2006/main" count="314" uniqueCount="208">
  <si>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</si>
  <si>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</si>
  <si>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</si>
  <si>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</si>
  <si>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</si>
  <si>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</si>
  <si>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</si>
  <si>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</si>
  <si>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</si>
  <si>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</si>
  <si>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</si>
  <si>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</si>
  <si>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</si>
  <si>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</si>
  <si>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</si>
  <si>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</si>
  <si>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</si>
  <si>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</si>
  <si>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</si>
  <si>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</si>
  <si>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</si>
  <si>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</si>
  <si>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</si>
  <si>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</si>
  <si>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</si>
  <si>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</si>
  <si>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</si>
  <si>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</si>
  <si>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</si>
  <si>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</si>
  <si>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</si>
  <si>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</si>
  <si>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</si>
  <si>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</si>
  <si>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</si>
  <si>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</si>
  <si>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</si>
  <si>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</si>
  <si>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</si>
  <si>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</si>
  <si>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</si>
  <si>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</si>
  <si>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</si>
  <si>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</si>
  <si>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</si>
  <si>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</si>
  <si>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</si>
  <si>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</si>
  <si>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</si>
  <si>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</si>
  <si>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</si>
  <si>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</si>
  <si>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</si>
  <si>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</si>
  <si>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</si>
  <si>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</si>
  <si>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</si>
  <si>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</si>
  <si>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</si>
  <si>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</si>
  <si>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</si>
  <si>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</si>
  <si>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</si>
  <si>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</si>
  <si>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</si>
  <si>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</si>
  <si>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</si>
  <si>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</si>
  <si>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</si>
  <si>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</si>
  <si>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</si>
  <si>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</si>
  <si>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</si>
  <si>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</si>
  <si>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</si>
  <si>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</si>
  <si>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</si>
  <si>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</si>
  <si>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</si>
  <si>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</si>
  <si>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</si>
  <si>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</si>
  <si>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</si>
  <si>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</si>
  <si>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</si>
  <si>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</si>
  <si>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</si>
  <si>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</si>
  <si>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</si>
  <si>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</si>
  <si>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</si>
  <si>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</si>
  <si>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</si>
  <si>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</si>
  <si>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</si>
  <si>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</si>
  <si>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</si>
  <si>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</si>
  <si>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</si>
  <si>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</si>
  <si>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</si>
  <si>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</si>
  <si>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</si>
  <si>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</si>
  <si>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</si>
  <si>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</si>
  <si>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</si>
  <si>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</si>
  <si>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</si>
  <si>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</si>
  <si>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</si>
  <si>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</si>
  <si>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</si>
  <si>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</si>
  <si>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</si>
  <si>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</si>
  <si>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</si>
  <si>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</si>
  <si>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</si>
  <si>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</si>
  <si>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</si>
  <si>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</si>
  <si>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</si>
  <si>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</si>
  <si>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</si>
  <si>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</si>
  <si>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</si>
  <si>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</si>
  <si>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</si>
  <si>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</si>
  <si>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</si>
  <si>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</si>
  <si>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</si>
  <si>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</si>
  <si>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</si>
  <si>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</si>
  <si>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</si>
  <si>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</si>
  <si>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</si>
  <si>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</si>
  <si>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</si>
  <si>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</si>
  <si>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</si>
  <si>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</si>
  <si>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</si>
  <si>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</si>
  <si>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</si>
  <si>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</si>
  <si>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</si>
  <si>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</si>
  <si>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</si>
  <si>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</si>
  <si>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</si>
  <si>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</si>
  <si>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</si>
  <si>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</si>
  <si>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</si>
  <si>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</si>
  <si>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</si>
  <si>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</si>
  <si>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</si>
  <si>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</si>
  <si>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</si>
  <si>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</si>
  <si>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</si>
  <si>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</si>
  <si>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</si>
  <si>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</si>
  <si>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</si>
  <si>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</si>
  <si>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</si>
  <si>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</si>
  <si>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</si>
  <si>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</si>
  <si>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</si>
  <si>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</si>
  <si>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</si>
  <si>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</si>
  <si>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</si>
  <si>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</si>
  <si>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</si>
  <si>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</si>
  <si>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</si>
  <si>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</si>
  <si>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</si>
  <si>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</si>
  <si>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</si>
  <si>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</si>
  <si>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</si>
  <si>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</si>
  <si>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</si>
  <si>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</si>
  <si>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</si>
  <si>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</si>
  <si>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(140+130)</t>
  </si>
  <si>
    <t>UV</t>
  </si>
  <si>
    <t>RUN AT 130-140UM</t>
  </si>
  <si>
    <t xml:space="preserve"> +0mm/- 5mm</t>
  </si>
  <si>
    <t xml:space="preserve">DO NOT RUN OVER 140UM - WIDTH MUST NOT BE UNDER 270MM - LENGTH MUST BE SPOT ON - </t>
  </si>
  <si>
    <t>FERNLAND</t>
  </si>
  <si>
    <t>%</t>
  </si>
  <si>
    <t>#1</t>
  </si>
  <si>
    <t>#2</t>
  </si>
  <si>
    <t>86/88</t>
  </si>
  <si>
    <t>3.2/3</t>
  </si>
  <si>
    <t>21/18</t>
  </si>
  <si>
    <t>250/235</t>
  </si>
  <si>
    <t>PERF/ORION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</si>
</sst>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16" fillId="0" borderId="4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5" borderId="4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25" sqref="O25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PB270G360150BKUVV</v>
      </c>
      <c r="C1" s="110"/>
      <c r="D1" s="111"/>
      <c r="E1" s="9" t="s">
        <v>57</v>
      </c>
      <c r="F1" s="61" t="s">
        <v>199</v>
      </c>
      <c r="G1" s="61"/>
      <c r="H1" s="62"/>
      <c r="I1" s="10" t="s">
        <v>181</v>
      </c>
      <c r="J1" s="121">
        <f ca="1">TODAY()</f>
        <v>45832</v>
      </c>
      <c r="K1" s="121"/>
      <c r="L1" s="122"/>
      <c r="M1" s="27"/>
      <c r="N1" s="9" t="s">
        <v>56</v>
      </c>
      <c r="O1" s="110" t="str">
        <f>B1</f>
        <v>PB270G360150BKUVV</v>
      </c>
      <c r="P1" s="110"/>
      <c r="Q1" s="111"/>
      <c r="R1" s="9" t="s">
        <v>57</v>
      </c>
      <c r="S1" s="110" t="str">
        <f>F1</f>
        <v>FERNLAND</v>
      </c>
      <c r="T1" s="110"/>
      <c r="U1" s="111"/>
      <c r="V1" s="9" t="s">
        <v>181</v>
      </c>
      <c r="W1" s="121">
        <f ca="1">J1</f>
        <v>45832</v>
      </c>
      <c r="X1" s="121"/>
      <c r="Y1" s="122"/>
    </row>
    <row r="2" spans="1:25" ht="20.100000000000001" customHeight="1" x14ac:dyDescent="0.25">
      <c r="A2" s="9" t="s">
        <v>100</v>
      </c>
      <c r="B2" s="110" t="str">
        <f>IF(U10="","",U10)</f>
        <v/>
      </c>
      <c r="C2" s="110"/>
      <c r="D2" s="111"/>
      <c r="E2" s="9" t="s">
        <v>58</v>
      </c>
      <c r="F2" s="61">
        <v>949114</v>
      </c>
      <c r="G2" s="61"/>
      <c r="H2" s="62"/>
      <c r="I2" s="9" t="s">
        <v>59</v>
      </c>
      <c r="J2" s="124" t="s">
        <v>192</v>
      </c>
      <c r="K2" s="61"/>
      <c r="L2" s="62"/>
      <c r="M2" s="27"/>
      <c r="N2" s="9" t="s">
        <v>100</v>
      </c>
      <c r="O2" s="110" t="str">
        <f>IF(B2="","",B2)</f>
        <v/>
      </c>
      <c r="P2" s="110"/>
      <c r="Q2" s="111"/>
      <c r="R2" s="9" t="s">
        <v>58</v>
      </c>
      <c r="S2" s="110">
        <f>IF(F2="","",F2)</f>
        <v>949114</v>
      </c>
      <c r="T2" s="110"/>
      <c r="U2" s="111"/>
      <c r="V2" s="9" t="s">
        <v>59</v>
      </c>
      <c r="W2" s="123" t="str">
        <f>J2</f>
        <v>ASAP</v>
      </c>
      <c r="X2" s="110"/>
      <c r="Y2" s="111"/>
    </row>
    <row r="3" spans="1:25" ht="20.100000000000001" customHeight="1" x14ac:dyDescent="0.25">
      <c r="A3" s="112" t="s">
        <v>198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 t="str">
        <f>A3</f>
        <v xml:space="preserve">DO NOT RUN OVER 140UM - WIDTH MUST NOT BE UNDER 270MM - LENGTH MUST BE SPOT ON - 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200</v>
      </c>
      <c r="P7" s="62"/>
      <c r="Q7" s="9" t="str">
        <f>IF(ISNUMBER(SEARCH("roll",O8,1)),"Per Roll","Per Carton")</f>
        <v>Per Carton</v>
      </c>
      <c r="R7" s="61">
        <v>500</v>
      </c>
      <c r="S7" s="62"/>
      <c r="T7" s="9" t="str">
        <f>IF(ISNUMBER(SEARCH("bag",O8,1)),"Total Bags","Total Sheets")</f>
        <v>Total Bags</v>
      </c>
      <c r="U7" s="110">
        <f>R7*O7</f>
        <v>100000</v>
      </c>
      <c r="V7" s="111"/>
      <c r="W7" s="9" t="s">
        <v>102</v>
      </c>
      <c r="X7" s="61" t="s">
        <v>23</v>
      </c>
      <c r="Y7" s="62"/>
    </row>
    <row r="8" spans="1:25" ht="20.100000000000001" customHeight="1" x14ac:dyDescent="0.25">
      <c r="A8" s="11" t="s">
        <v>16</v>
      </c>
      <c r="B8" s="98">
        <f>R9</f>
        <v>270</v>
      </c>
      <c r="C8" s="99"/>
      <c r="D8" s="25" t="str">
        <f>IF(ISNUMBER(SEARCH("bag",O8,1)),"Gusset","Centrefold")</f>
        <v>Gusset</v>
      </c>
      <c r="E8" s="98" t="str">
        <f>IF(O8="Centrefold Roll",B8*2,IF(X9="","None",X9))</f>
        <v>(140+130)</v>
      </c>
      <c r="F8" s="99"/>
      <c r="G8" s="11" t="s">
        <v>52</v>
      </c>
      <c r="H8" s="98">
        <f>(IF(V9&lt;30,"30",V9))</f>
        <v>150</v>
      </c>
      <c r="I8" s="99"/>
      <c r="J8" s="9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7"/>
      <c r="N8" s="12" t="s">
        <v>54</v>
      </c>
      <c r="O8" s="100" t="s">
        <v>164</v>
      </c>
      <c r="P8" s="101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4" t="s">
        <v>48</v>
      </c>
      <c r="B9" s="127" t="s">
        <v>197</v>
      </c>
      <c r="C9" s="128"/>
      <c r="D9" s="135" t="str">
        <f>IF(K10="Middle","RUN 2 UP",IF(AND(O8="Centrefold Roll",B8=380),"RUN 2 UP",""))</f>
        <v/>
      </c>
      <c r="E9" s="102"/>
      <c r="F9" s="103"/>
      <c r="G9" s="14" t="s">
        <v>48</v>
      </c>
      <c r="H9" s="127" t="s">
        <v>196</v>
      </c>
      <c r="I9" s="128"/>
      <c r="J9" s="9" t="s">
        <v>55</v>
      </c>
      <c r="K9" s="61" t="s">
        <v>30</v>
      </c>
      <c r="L9" s="62"/>
      <c r="M9" s="27"/>
      <c r="N9" s="15"/>
      <c r="O9" s="104" t="str">
        <f>IF(O8="Poly Bag","PB",IF(O8="Poly Bag Roll","PBR",IF(O8="Centrefold Roll","CFR",IF(O8="Sheet","S",IF(O8="Sheet Roll","SR")))))</f>
        <v>PB</v>
      </c>
      <c r="P9" s="105"/>
      <c r="Q9" s="15"/>
      <c r="R9" s="28">
        <v>270</v>
      </c>
      <c r="S9" s="16" t="s">
        <v>78</v>
      </c>
      <c r="T9" s="28">
        <v>360</v>
      </c>
      <c r="U9" s="16" t="s">
        <v>78</v>
      </c>
      <c r="V9" s="28">
        <v>150</v>
      </c>
      <c r="W9" s="15"/>
      <c r="X9" s="87" t="s">
        <v>194</v>
      </c>
      <c r="Y9" s="88"/>
    </row>
    <row r="10" spans="1:25" ht="20.100000000000001" customHeight="1" x14ac:dyDescent="0.25">
      <c r="A10" s="9" t="s">
        <v>51</v>
      </c>
      <c r="B10" s="61">
        <v>140</v>
      </c>
      <c r="C10" s="62"/>
      <c r="D10" s="45" t="s">
        <v>134</v>
      </c>
      <c r="E10" s="129">
        <f>IF(ISNUMBER(SEARCH("sheet",O8,1)),((R9*T9*H8/540000)*U7/2000*1.3),((R9*T9*H8/540000)*U7/1000*1.08))</f>
        <v>2916</v>
      </c>
      <c r="F10" s="130"/>
      <c r="G10" s="9" t="s">
        <v>53</v>
      </c>
      <c r="H10" s="133">
        <f>IF(ISNUMBER(SEARCH("sheet",O8,1)),(U7*T9/2000*1.08),(U7*T9/1000*1.08))</f>
        <v>38880</v>
      </c>
      <c r="I10" s="134"/>
      <c r="J10" s="9" t="s">
        <v>41</v>
      </c>
      <c r="K10" s="61" t="s">
        <v>44</v>
      </c>
      <c r="L10" s="62"/>
      <c r="M10" s="27"/>
      <c r="N10" s="12" t="s">
        <v>141</v>
      </c>
      <c r="O10" s="100" t="s">
        <v>188</v>
      </c>
      <c r="P10" s="101"/>
      <c r="Q10" s="12" t="s">
        <v>50</v>
      </c>
      <c r="R10" s="96" t="str">
        <f>IF(K11="NONE","None",IF(K11="INLINE","Yes",IF(K11="OUT OF LINE","Yes")))</f>
        <v>None</v>
      </c>
      <c r="S10" s="96"/>
      <c r="T10" s="12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31">
        <f>E10/B10</f>
        <v>20.828571428571429</v>
      </c>
      <c r="F11" s="132"/>
      <c r="G11" s="9" t="s">
        <v>15</v>
      </c>
      <c r="H11" s="131">
        <f>H10/B10</f>
        <v>277.71428571428572</v>
      </c>
      <c r="I11" s="132"/>
      <c r="J11" s="9" t="s">
        <v>50</v>
      </c>
      <c r="K11" s="61" t="s">
        <v>44</v>
      </c>
      <c r="L11" s="62"/>
      <c r="M11" s="27"/>
      <c r="N11" s="11"/>
      <c r="O11" s="98" t="str">
        <f>IF(O10="NONE","","V")</f>
        <v>V</v>
      </c>
      <c r="P11" s="99"/>
      <c r="Q11" s="11"/>
      <c r="R11" s="98" t="str">
        <f>IF(R10="None","","P")</f>
        <v/>
      </c>
      <c r="S11" s="99"/>
      <c r="T11" s="11"/>
      <c r="U11" s="108"/>
      <c r="V11" s="108"/>
      <c r="W11" s="108"/>
      <c r="X11" s="108"/>
      <c r="Y11" s="109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200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0" t="s">
        <v>4</v>
      </c>
      <c r="F16" s="140"/>
      <c r="G16" s="140" t="s">
        <v>5</v>
      </c>
      <c r="H16" s="140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150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4" t="s">
        <v>147</v>
      </c>
      <c r="D17" s="95"/>
      <c r="E17" s="91"/>
      <c r="F17" s="90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37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31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4" t="s">
        <v>146</v>
      </c>
      <c r="D18" s="95"/>
      <c r="E18" s="91"/>
      <c r="F18" s="90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185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4" t="s">
        <v>145</v>
      </c>
      <c r="D19" s="95"/>
      <c r="E19" s="91"/>
      <c r="F19" s="90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4" t="s">
        <v>144</v>
      </c>
      <c r="D20" s="95"/>
      <c r="E20" s="91"/>
      <c r="F20" s="90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139" t="s">
        <v>10</v>
      </c>
      <c r="B21" s="139"/>
      <c r="C21" s="141" t="s">
        <v>143</v>
      </c>
      <c r="D21" s="142"/>
      <c r="E21" s="146"/>
      <c r="F21" s="147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>BLACK</v>
      </c>
      <c r="B22" s="60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91"/>
      <c r="F22" s="90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3" t="s">
        <v>195</v>
      </c>
      <c r="B23" s="143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89" t="s">
        <v>200</v>
      </c>
      <c r="F23" s="90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4"/>
      <c r="B24" s="145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91"/>
      <c r="F24" s="90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207</v>
      </c>
      <c r="P25" s="32"/>
      <c r="Q25" s="8" t="s">
        <v>205</v>
      </c>
      <c r="R25" s="8">
        <v>6</v>
      </c>
      <c r="S25" s="8"/>
      <c r="T25" s="8">
        <v>11</v>
      </c>
      <c r="U25" s="8"/>
      <c r="V25" s="8">
        <v>3</v>
      </c>
      <c r="W25" s="8" t="s">
        <v>206</v>
      </c>
      <c r="X25" s="8" t="s">
        <v>206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3" t="s">
        <v>132</v>
      </c>
      <c r="H26" s="93"/>
      <c r="I26" s="93" t="s">
        <v>131</v>
      </c>
      <c r="J26" s="93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 t="s">
        <v>201</v>
      </c>
      <c r="C27" s="7"/>
      <c r="D27" s="8">
        <v>139</v>
      </c>
      <c r="E27" s="57">
        <v>2.1</v>
      </c>
      <c r="F27" s="8">
        <v>19.899999999999999</v>
      </c>
      <c r="G27" s="92"/>
      <c r="H27" s="92"/>
      <c r="I27" s="92"/>
      <c r="J27" s="92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202</v>
      </c>
      <c r="C28" s="7"/>
      <c r="D28" s="8" t="s">
        <v>203</v>
      </c>
      <c r="E28" s="57" t="s">
        <v>204</v>
      </c>
      <c r="F28" s="8">
        <v>17.5</v>
      </c>
      <c r="G28" s="92"/>
      <c r="H28" s="92"/>
      <c r="I28" s="92"/>
      <c r="J28" s="92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45862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67ECA19-39BB-408D-9155-47D15AA3A47D}"/>
</file>

<file path=customXml/itemProps2.xml><?xml version="1.0" encoding="utf-8"?>
<ds:datastoreItem xmlns:ds="http://schemas.openxmlformats.org/officeDocument/2006/customXml" ds:itemID="{150E49EF-3001-45CD-826C-C880908863F0}"/>
</file>

<file path=customXml/itemProps3.xml><?xml version="1.0" encoding="utf-8"?>
<ds:datastoreItem xmlns:ds="http://schemas.openxmlformats.org/officeDocument/2006/customXml" ds:itemID="{0BC32709-7B46-4666-8CA9-BDC7BDA9C2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2024-12-09T01:24:41Z</cp:lastPrinted>
  <dcterms:created xsi:type="dcterms:W3CDTF">2019-11-27T23:28:06Z</dcterms:created>
  <dcterms:modified xsi:type="dcterms:W3CDTF">2025-06-24T03:04:34Z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