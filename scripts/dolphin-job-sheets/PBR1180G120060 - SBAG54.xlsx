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2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" i="1" l="1"/>
  <c r="D8" i="1" l="1"/>
  <c r="E8" i="1"/>
  <c r="W8" i="1"/>
  <c r="X8" i="1" s="1"/>
  <c r="B1" i="1" s="1"/>
  <c r="K8" i="1" l="1"/>
  <c r="O9" i="1"/>
  <c r="A11" i="1" l="1"/>
  <c r="W2" i="1" l="1"/>
  <c r="U13" i="1" l="1"/>
  <c r="T17" i="1" l="1"/>
  <c r="T7" i="1"/>
  <c r="Q7" i="1"/>
  <c r="N7" i="1"/>
  <c r="W17" i="1"/>
  <c r="W16" i="1"/>
  <c r="R11" i="1"/>
  <c r="O11" i="1"/>
  <c r="C24" i="1" l="1"/>
  <c r="C23" i="1"/>
  <c r="C22" i="1"/>
  <c r="N3" i="1" l="1"/>
  <c r="R10" i="1" l="1"/>
  <c r="Q13" i="1" l="1"/>
  <c r="B2" i="1" l="1"/>
  <c r="H8" i="1" l="1"/>
  <c r="B8" i="1" l="1"/>
  <c r="D9" i="1" s="1"/>
  <c r="B11" i="1" s="1"/>
  <c r="S2" i="1"/>
  <c r="O2" i="1"/>
  <c r="A22" i="1" l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<sst xmlns="http://schemas.openxmlformats.org/spreadsheetml/2006/main" count="302" uniqueCount="200">
  <si>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</si>
  <si>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</si>
  <si>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</si>
  <si>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</si>
  <si>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</si>
  <si>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</si>
  <si>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</si>
  <si>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</si>
  <si>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</si>
  <si>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</si>
  <si>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</si>
  <si>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</si>
  <si>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</si>
  <si>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</si>
  <si>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</si>
  <si>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</si>
  <si>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</si>
  <si>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</si>
  <si>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</si>
  <si>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</si>
  <si>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</si>
  <si>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</si>
  <si>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</si>
  <si>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</si>
  <si>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</si>
  <si>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</si>
  <si>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</si>
  <si>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</si>
  <si>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</si>
  <si>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</si>
  <si>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</si>
  <si>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</si>
  <si>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</si>
  <si>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</si>
  <si>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</si>
  <si>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</si>
  <si>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</si>
  <si>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</si>
  <si>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</si>
  <si>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</si>
  <si>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</si>
  <si>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</si>
  <si>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</si>
  <si>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</si>
  <si>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</si>
  <si>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</si>
  <si>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</si>
  <si>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</si>
  <si>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</si>
  <si>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</si>
  <si>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</si>
  <si>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</si>
  <si>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</si>
  <si>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</si>
  <si>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</si>
  <si>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</si>
  <si>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</si>
  <si>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</si>
  <si>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</si>
  <si>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</si>
  <si>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</si>
  <si>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</si>
  <si>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</si>
  <si>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</si>
  <si>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</si>
  <si>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</si>
  <si>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</si>
  <si>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</si>
  <si>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</si>
  <si>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</si>
  <si>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</si>
  <si>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</si>
  <si>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</si>
  <si>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</si>
  <si>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</si>
  <si>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</si>
  <si>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</si>
  <si>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</si>
  <si>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</si>
  <si>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</si>
  <si>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</si>
  <si>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</si>
  <si>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</si>
  <si>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</si>
  <si>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</si>
  <si>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</si>
  <si>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</si>
  <si>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</si>
  <si>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</si>
  <si>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</si>
  <si>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</si>
  <si>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</si>
  <si>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</si>
  <si>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</si>
  <si>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</si>
  <si>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</si>
  <si>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</si>
  <si>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</si>
  <si>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</si>
  <si>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</si>
  <si>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</si>
  <si>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</si>
  <si>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</si>
  <si>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</si>
  <si>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</si>
  <si>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</si>
  <si>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</si>
  <si>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</si>
  <si>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</si>
  <si>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</si>
  <si>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</si>
  <si>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</si>
  <si>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</si>
  <si>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</si>
  <si>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</si>
  <si>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</si>
  <si>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</si>
  <si>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</si>
  <si>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</si>
  <si>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</si>
  <si>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</si>
  <si>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</si>
  <si>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</si>
  <si>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</si>
  <si>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</si>
  <si>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</si>
  <si>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</si>
  <si>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</si>
  <si>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</si>
  <si>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</si>
  <si>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</si>
  <si>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</si>
  <si>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</si>
  <si>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</si>
  <si>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</si>
  <si>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</si>
  <si>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</si>
  <si>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</si>
  <si>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</si>
  <si>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</si>
  <si>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</si>
  <si>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</si>
  <si>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</si>
  <si>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</si>
  <si>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</si>
  <si>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</si>
  <si>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</si>
  <si>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</si>
  <si>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</si>
  <si>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</si>
  <si>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</si>
  <si>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</si>
  <si>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</si>
  <si>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</si>
  <si>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</si>
  <si>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</si>
  <si>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</si>
  <si>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</si>
  <si>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</si>
  <si>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</si>
  <si>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</si>
  <si>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</si>
  <si>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</si>
  <si>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</si>
  <si>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</si>
  <si>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</si>
  <si>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</si>
  <si>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</si>
  <si>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</si>
  <si>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</si>
  <si>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</si>
  <si>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</si>
  <si>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</si>
  <si>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</si>
  <si>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</si>
  <si>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</si>
  <si>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</si>
  <si>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</si>
  <si>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</si>
  <si>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</si>
  <si>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</si>
  <si>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</si>
  <si>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</si>
  <si>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</si>
  <si>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</si>
  <si>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</si>
  <si>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</si>
  <si>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</si>
  <si>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</si>
  <si>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</si>
  <si>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</si>
  <si>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</si>
  <si>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</si>
  <si>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</si>
  <si>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</si>
  <si>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</si>
  <si>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PAPER HANDLING EQUIP</t>
  </si>
  <si>
    <t>(700+480)</t>
  </si>
  <si>
    <t>SBAG54</t>
  </si>
  <si>
    <t>GOOD SEALS, STRONG SEALS MUST BE WATER TIGHT SEALS - PLEASE TEST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</si>
</sst>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5.05" x14ac:dyDescent="0.3"/>
  <sheetData>
    <row r="1" spans="1:25" ht="20.05" customHeight="1" x14ac:dyDescent="0.3">
      <c r="A1" s="18" t="s">
        <v>55</v>
      </c>
      <c r="B1" s="125" t="str">
        <f>O9&amp;R9&amp;IF(X8="G","G","")&amp;IF(O8="Centrefold Roll","("&amp;E8&amp;")","")&amp;T9&amp;V9&amp;C22&amp;C23&amp;C24&amp;O11&amp;R11</f>
        <v>PBR1180G120060</v>
      </c>
      <c r="C1" s="125"/>
      <c r="D1" s="126"/>
      <c r="E1" s="18" t="s">
        <v>56</v>
      </c>
      <c r="F1" s="145" t="s">
        <v>196</v>
      </c>
      <c r="G1" s="145"/>
      <c r="H1" s="146"/>
      <c r="I1" s="18" t="s">
        <v>180</v>
      </c>
      <c r="J1" s="142">
        <f ca="1">TODAY()</f>
        <v>43859</v>
      </c>
      <c r="K1" s="142"/>
      <c r="L1" s="143"/>
      <c r="M1" s="35"/>
      <c r="N1" s="18" t="s">
        <v>55</v>
      </c>
      <c r="O1" s="125" t="str">
        <f>B1</f>
        <v>PBR1180G120060</v>
      </c>
      <c r="P1" s="125"/>
      <c r="Q1" s="126"/>
      <c r="R1" s="18" t="s">
        <v>56</v>
      </c>
      <c r="S1" s="125" t="str">
        <f>F1</f>
        <v>PAPER HANDLING EQUIP</v>
      </c>
      <c r="T1" s="125"/>
      <c r="U1" s="126"/>
      <c r="V1" s="18" t="s">
        <v>180</v>
      </c>
      <c r="W1" s="142">
        <f ca="1">J1</f>
        <v>43859</v>
      </c>
      <c r="X1" s="142"/>
      <c r="Y1" s="143"/>
    </row>
    <row r="2" spans="1:25" ht="20.05" customHeight="1" x14ac:dyDescent="0.3">
      <c r="A2" s="18" t="s">
        <v>99</v>
      </c>
      <c r="B2" s="125" t="str">
        <f>IF(U10="","",U10)</f>
        <v>SBAG54</v>
      </c>
      <c r="C2" s="125"/>
      <c r="D2" s="126"/>
      <c r="E2" s="18" t="s">
        <v>57</v>
      </c>
      <c r="F2" s="104">
        <v>936110</v>
      </c>
      <c r="G2" s="104"/>
      <c r="H2" s="105"/>
      <c r="I2" s="18" t="s">
        <v>58</v>
      </c>
      <c r="J2" s="103">
        <v>43890</v>
      </c>
      <c r="K2" s="104"/>
      <c r="L2" s="105"/>
      <c r="M2" s="35"/>
      <c r="N2" s="18" t="s">
        <v>99</v>
      </c>
      <c r="O2" s="125" t="str">
        <f>IF(B2="","",B2)</f>
        <v>SBAG54</v>
      </c>
      <c r="P2" s="125"/>
      <c r="Q2" s="126"/>
      <c r="R2" s="18" t="s">
        <v>57</v>
      </c>
      <c r="S2" s="125">
        <f>IF(F2="","",F2)</f>
        <v>936110</v>
      </c>
      <c r="T2" s="125"/>
      <c r="U2" s="126"/>
      <c r="V2" s="18" t="s">
        <v>58</v>
      </c>
      <c r="W2" s="144">
        <f>J2</f>
        <v>43890</v>
      </c>
      <c r="X2" s="125"/>
      <c r="Y2" s="126"/>
    </row>
    <row r="3" spans="1:25" ht="20.05" customHeight="1" x14ac:dyDescent="0.3">
      <c r="A3" s="137" t="s">
        <v>199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  <c r="M3" s="35"/>
      <c r="N3" s="137" t="str">
        <f>A3</f>
        <v>GOOD SEALS, STRONG SEALS MUST BE WATER TIGHT SEALS - PLEASE TEST FREQUENTLY</v>
      </c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7"/>
    </row>
    <row r="4" spans="1:25" ht="20.05" customHeight="1" x14ac:dyDescent="0.3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40"/>
      <c r="M4" s="35"/>
      <c r="N4" s="138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40"/>
    </row>
    <row r="5" spans="1:25" ht="20.05" customHeight="1" x14ac:dyDescent="0.3">
      <c r="A5" s="141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5"/>
      <c r="N5" s="141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05" customHeight="1" x14ac:dyDescent="0.3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8" t="s">
        <v>1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0"/>
    </row>
    <row r="7" spans="1:25" ht="20.05" customHeight="1" x14ac:dyDescent="0.35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20</v>
      </c>
      <c r="P7" s="105"/>
      <c r="Q7" s="18" t="str">
        <f>IF(ISNUMBER(SEARCH("roll",O8,1)),"Per Roll","Per Carton")</f>
        <v>Per Roll</v>
      </c>
      <c r="R7" s="104">
        <v>100</v>
      </c>
      <c r="S7" s="105"/>
      <c r="T7" s="18" t="str">
        <f>IF(ISNUMBER(SEARCH("bag",O8,1)),"Total Bags","Total Sheets")</f>
        <v>Total Bags</v>
      </c>
      <c r="U7" s="125">
        <f>R7*O7</f>
        <v>2000</v>
      </c>
      <c r="V7" s="126"/>
      <c r="W7" s="18" t="s">
        <v>101</v>
      </c>
      <c r="X7" s="104" t="s">
        <v>22</v>
      </c>
      <c r="Y7" s="105"/>
    </row>
    <row r="8" spans="1:25" ht="20.05" customHeight="1" x14ac:dyDescent="0.3">
      <c r="A8" s="19" t="s">
        <v>15</v>
      </c>
      <c r="B8" s="113">
        <f>R9</f>
        <v>1180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(700+480)</v>
      </c>
      <c r="F8" s="116"/>
      <c r="G8" s="19" t="s">
        <v>51</v>
      </c>
      <c r="H8" s="113">
        <f>(IF(V9&lt;30,"30",V9))</f>
        <v>60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7"/>
    </row>
    <row r="9" spans="1:25" ht="20.05" customHeight="1" x14ac:dyDescent="0.35">
      <c r="A9" s="23" t="s">
        <v>47</v>
      </c>
      <c r="B9" s="123" t="s">
        <v>194</v>
      </c>
      <c r="C9" s="124"/>
      <c r="D9" s="154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1180</v>
      </c>
      <c r="S9" s="25" t="s">
        <v>77</v>
      </c>
      <c r="T9" s="36">
        <v>1200</v>
      </c>
      <c r="U9" s="25" t="s">
        <v>77</v>
      </c>
      <c r="V9" s="36">
        <v>60</v>
      </c>
      <c r="W9" s="24"/>
      <c r="X9" s="110" t="s">
        <v>197</v>
      </c>
      <c r="Y9" s="111"/>
    </row>
    <row r="10" spans="1:25" ht="20.05" customHeight="1" x14ac:dyDescent="0.3">
      <c r="A10" s="18" t="s">
        <v>50</v>
      </c>
      <c r="B10" s="104">
        <v>20</v>
      </c>
      <c r="C10" s="105"/>
      <c r="D10" s="56" t="s">
        <v>133</v>
      </c>
      <c r="E10" s="127">
        <f>IF(ISNUMBER(SEARCH("sheet",O8,1)),((R9*T9*H8/540000)*U7/2000*1.3),((R9*T9*H8/540000)*U7/1000*1.08))</f>
        <v>339.84000000000003</v>
      </c>
      <c r="F10" s="128"/>
      <c r="G10" s="18" t="s">
        <v>52</v>
      </c>
      <c r="H10" s="131">
        <f>IF(ISNUMBER(SEARCH("sheet",O8,1)),(U7*T9/2000*1.08),(U7*T9/1000*1.08))</f>
        <v>2592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198</v>
      </c>
      <c r="V10" s="106"/>
      <c r="W10" s="106"/>
      <c r="X10" s="106"/>
      <c r="Y10" s="107"/>
    </row>
    <row r="11" spans="1:25" ht="20.05" customHeight="1" x14ac:dyDescent="0.3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16.992000000000001</v>
      </c>
      <c r="F11" s="130"/>
      <c r="G11" s="18" t="s">
        <v>14</v>
      </c>
      <c r="H11" s="129">
        <f>H10/B10</f>
        <v>129.6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05" customHeight="1" x14ac:dyDescent="0.3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1" t="s">
        <v>70</v>
      </c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3"/>
    </row>
    <row r="13" spans="1:25" ht="20.05" customHeight="1" x14ac:dyDescent="0.3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05" customHeight="1" x14ac:dyDescent="0.35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0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05" customHeight="1" x14ac:dyDescent="0.3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05" customHeight="1" x14ac:dyDescent="0.3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5"/>
      <c r="Y16" s="156"/>
    </row>
    <row r="17" spans="1:25" ht="20.05" customHeight="1" x14ac:dyDescent="0.3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5"/>
      <c r="Y17" s="156"/>
    </row>
    <row r="18" spans="1:25" ht="20.05" customHeight="1" x14ac:dyDescent="0.3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5"/>
      <c r="Y18" s="156"/>
    </row>
    <row r="19" spans="1:25" ht="20.05" customHeight="1" x14ac:dyDescent="0.3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05" customHeight="1" x14ac:dyDescent="0.3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05" customHeight="1" x14ac:dyDescent="0.3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05" customHeight="1" x14ac:dyDescent="0.3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05" customHeight="1" x14ac:dyDescent="0.3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0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05" customHeight="1" x14ac:dyDescent="0.3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05" customHeight="1" x14ac:dyDescent="0.3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1" t="s">
        <v>131</v>
      </c>
      <c r="H26" s="161"/>
      <c r="I26" s="161" t="s">
        <v>130</v>
      </c>
      <c r="J26" s="161"/>
      <c r="K26" s="12" t="s">
        <v>93</v>
      </c>
      <c r="L26" s="12" t="s">
        <v>94</v>
      </c>
      <c r="M26" s="35"/>
      <c r="N26" s="157" t="s">
        <v>136</v>
      </c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9"/>
    </row>
    <row r="27" spans="1:25" ht="20.05" customHeight="1" x14ac:dyDescent="0.3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05" customHeight="1" x14ac:dyDescent="0.3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05" customHeight="1" x14ac:dyDescent="0.3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05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05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05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05" customHeight="1" x14ac:dyDescent="0.3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05" customHeight="1" x14ac:dyDescent="0.3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05" customHeight="1" x14ac:dyDescent="0.3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05" customHeight="1" x14ac:dyDescent="0.3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05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05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05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05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05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05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05" customHeight="1" x14ac:dyDescent="0.3">
      <c r="N43" s="60"/>
    </row>
    <row r="44" spans="1:25" ht="20.05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05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05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05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05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05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05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05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05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05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05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05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05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05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05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05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05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05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05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05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05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05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05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05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05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05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05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05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05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05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05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05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05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05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05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05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Sheet2!$N$53:$N$54</xm:f>
          </x14:formula1>
          <xm:sqref>R16:S18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Sheet2!$N$53:$N$54</xm:f>
          </x14:formula1>
          <xm:sqref>U16:V17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43890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43880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3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3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147</v>
      </c>
    </row>
    <row r="60" spans="1:20" x14ac:dyDescent="0.3">
      <c r="A60" s="67" t="s">
        <v>148</v>
      </c>
      <c r="O60" s="1"/>
      <c r="Q60" s="1"/>
      <c r="R60" s="3"/>
      <c r="S60" s="1"/>
    </row>
    <row r="61" spans="1:20" x14ac:dyDescent="0.3">
      <c r="A61" s="67" t="s">
        <v>149</v>
      </c>
      <c r="O61" s="1"/>
      <c r="Q61" s="1"/>
      <c r="R61" s="1"/>
      <c r="S61" s="1"/>
    </row>
    <row r="62" spans="1:20" x14ac:dyDescent="0.3">
      <c r="A62" s="67" t="s">
        <v>150</v>
      </c>
      <c r="O62" s="1"/>
      <c r="Q62" s="1"/>
      <c r="R62" s="1"/>
      <c r="S62" s="1"/>
    </row>
    <row r="63" spans="1:20" x14ac:dyDescent="0.3">
      <c r="A63" s="67" t="s">
        <v>151</v>
      </c>
      <c r="O63" s="1"/>
      <c r="Q63" s="1"/>
      <c r="R63" s="1"/>
      <c r="S63" s="1"/>
      <c r="T63" s="1"/>
    </row>
    <row r="64" spans="1:20" x14ac:dyDescent="0.3">
      <c r="A64" s="67" t="s">
        <v>152</v>
      </c>
      <c r="O64" s="1"/>
      <c r="Q64" s="1"/>
      <c r="R64" s="1"/>
      <c r="S64" s="1"/>
      <c r="T64" s="1"/>
    </row>
    <row r="65" spans="1:20" x14ac:dyDescent="0.3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772B38D-7B18-4B2A-92F1-C85709203BF7}"/>
</file>

<file path=customXml/itemProps2.xml><?xml version="1.0" encoding="utf-8"?>
<ds:datastoreItem xmlns:ds="http://schemas.openxmlformats.org/officeDocument/2006/customXml" ds:itemID="{932F702F-8178-4A90-A07A-0FC0817E4058}"/>
</file>

<file path=customXml/itemProps3.xml><?xml version="1.0" encoding="utf-8"?>
<ds:datastoreItem xmlns:ds="http://schemas.openxmlformats.org/officeDocument/2006/customXml" ds:itemID="{936C8FD1-C186-45EB-87B0-7E1001FF9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2020-01-17T01:52:23Z</cp:lastPrinted>
  <dcterms:created xsi:type="dcterms:W3CDTF">2019-11-27T23:28:06Z</dcterms:created>
  <dcterms:modified xsi:type="dcterms:W3CDTF">2020-01-29T01:33:25Z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