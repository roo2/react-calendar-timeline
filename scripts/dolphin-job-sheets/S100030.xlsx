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D861E99-B97C-444D-9519-3D0603B3A7E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C25" i="1" l="1"/>
  <c r="D9" i="1" l="1"/>
  <c r="E11" i="1" s="1"/>
  <c r="E10" i="1" s="1"/>
  <c r="B11" i="1" l="1"/>
  <c r="A11" i="1"/>
  <c r="D8" i="1" l="1"/>
  <c r="K8" i="1" l="1"/>
  <c r="A24" i="1" l="1"/>
  <c r="C24" i="1" s="1"/>
  <c r="B1" i="1" s="1"/>
  <c r="J1" i="1" l="1"/>
  <c r="A4" i="2" l="1"/>
  <c r="A5" i="2"/>
  <c r="H10" i="1"/>
  <c r="B2" i="1" l="1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<sst xmlns="http://schemas.openxmlformats.org/spreadsheetml/2006/main" count="226" uniqueCount="167">
  <si>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</si>
  <si>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</si>
  <si>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</si>
  <si>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</si>
  <si>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</si>
  <si>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</si>
  <si>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</si>
  <si>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</si>
  <si>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</si>
  <si>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</si>
  <si>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</si>
  <si>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</si>
  <si>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</si>
  <si>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</si>
  <si>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</si>
  <si>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</si>
  <si>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</si>
  <si>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</si>
  <si>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</si>
  <si>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</si>
  <si>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</si>
  <si>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</si>
  <si>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</si>
  <si>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</si>
  <si>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</si>
  <si>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</si>
  <si>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</si>
  <si>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</si>
  <si>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</si>
  <si>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</si>
  <si>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</si>
  <si>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</si>
  <si>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</si>
  <si>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</si>
  <si>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</si>
  <si>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</si>
  <si>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</si>
  <si>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</si>
  <si>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</si>
  <si>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</si>
  <si>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</si>
  <si>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</si>
  <si>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</si>
  <si>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</si>
  <si>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</si>
  <si>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</si>
  <si>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</si>
  <si>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</si>
  <si>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</si>
  <si>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</si>
  <si>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</si>
  <si>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</si>
  <si>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</si>
  <si>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</si>
  <si>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</si>
  <si>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</si>
  <si>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</si>
  <si>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</si>
  <si>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</si>
  <si>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</si>
  <si>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</si>
  <si>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</si>
  <si>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</si>
  <si>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</si>
  <si>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</si>
  <si>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</si>
  <si>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</si>
  <si>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</si>
  <si>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</si>
  <si>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</si>
  <si>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</si>
  <si>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</si>
  <si>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</si>
  <si>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</si>
  <si>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</si>
  <si>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</si>
  <si>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</si>
  <si>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</si>
  <si>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</si>
  <si>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</si>
  <si>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</si>
  <si>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</si>
  <si>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</si>
  <si>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</si>
  <si>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</si>
  <si>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</si>
  <si>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</si>
  <si>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</si>
  <si>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</si>
  <si>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</si>
  <si>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</si>
  <si>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</si>
  <si>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</si>
  <si>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</si>
  <si>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</si>
  <si>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</si>
  <si>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</si>
  <si>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</si>
  <si>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</si>
  <si>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</si>
  <si>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</si>
  <si>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</si>
  <si>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</si>
  <si>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</si>
  <si>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</si>
  <si>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</si>
  <si>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</si>
  <si>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</si>
  <si>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</si>
  <si>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</si>
  <si>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</si>
  <si>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</si>
  <si>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</si>
  <si>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</si>
  <si>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</si>
  <si>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</si>
  <si>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</si>
  <si>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</si>
  <si>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</si>
  <si>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</si>
  <si>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</si>
  <si>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</si>
  <si>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</si>
  <si>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</si>
  <si>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</si>
  <si>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</si>
  <si>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</si>
  <si>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</si>
  <si>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</si>
  <si>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</si>
  <si>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</si>
  <si>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</si>
  <si>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</si>
  <si>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</si>
  <si>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</si>
  <si>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</si>
  <si>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</si>
  <si>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</si>
  <si>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</si>
  <si>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</si>
  <si>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</si>
  <si>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</si>
  <si>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</si>
  <si>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</si>
  <si>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</si>
  <si>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</si>
  <si>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</si>
  <si>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</si>
  <si>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</si>
  <si>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</si>
  <si>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</si>
  <si>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</si>
  <si>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</si>
  <si>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</si>
  <si>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</si>
  <si>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</si>
  <si>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</si>
  <si>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</si>
  <si>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</si>
  <si>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</si>
  <si>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</si>
  <si>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</si>
  <si>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</si>
  <si>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</si>
  <si>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UNDER</t>
  </si>
  <si>
    <t>NEW ITEM PLEASE ENSURE CORRECT MTS PER ROLL NOT UNDER 30UM</t>
  </si>
  <si>
    <t>EZYBAKE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</si>
</sst>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Q5" sqref="Q5:R5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SR51030BT</v>
      </c>
      <c r="C1" s="61"/>
      <c r="D1" s="62"/>
      <c r="E1" s="11" t="s">
        <v>55</v>
      </c>
      <c r="F1" s="51" t="s">
        <v>166</v>
      </c>
      <c r="G1" s="51"/>
      <c r="H1" s="52"/>
      <c r="I1" s="11" t="s">
        <v>148</v>
      </c>
      <c r="J1" s="76">
        <f ca="1">TODAY()</f>
        <v>45222</v>
      </c>
      <c r="K1" s="76"/>
      <c r="L1" s="77"/>
    </row>
    <row r="2" spans="1:14" ht="20.149999999999999" customHeight="1" x14ac:dyDescent="0.8">
      <c r="A2" s="11" t="s">
        <v>94</v>
      </c>
      <c r="B2" s="65" t="str">
        <f>(ROUNDUP(E11,0)&amp;"KG")&amp;" "&amp;(ROUNDUP(H11,0)&amp;"M")</f>
        <v>15KG 1055M</v>
      </c>
      <c r="C2" s="65"/>
      <c r="D2" s="66"/>
      <c r="E2" s="11" t="s">
        <v>56</v>
      </c>
      <c r="F2" s="51">
        <v>942898</v>
      </c>
      <c r="G2" s="51"/>
      <c r="H2" s="52"/>
      <c r="I2" s="11" t="s">
        <v>57</v>
      </c>
      <c r="J2" s="78" t="s">
        <v>162</v>
      </c>
      <c r="K2" s="51"/>
      <c r="L2" s="52"/>
    </row>
    <row r="3" spans="1:14" ht="20.149999999999999" customHeight="1" x14ac:dyDescent="0.75">
      <c r="A3" s="67" t="s">
        <v>165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158</v>
      </c>
      <c r="B7" s="51" t="s">
        <v>160</v>
      </c>
      <c r="C7" s="52"/>
      <c r="D7" s="11" t="s">
        <v>47</v>
      </c>
      <c r="E7" s="107" t="s">
        <v>127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510</v>
      </c>
      <c r="C8" s="98"/>
      <c r="D8" s="12" t="str">
        <f>IF(B7="Tube","Gusset","Centrefold")</f>
        <v>Centrefold</v>
      </c>
      <c r="E8" s="93" t="str">
        <f>IF(B7="Cont Centrefold",B8*2,"")</f>
        <v/>
      </c>
      <c r="F8" s="94"/>
      <c r="G8" s="12" t="s">
        <v>50</v>
      </c>
      <c r="H8" s="97">
        <v>30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33</v>
      </c>
      <c r="C10" s="52"/>
      <c r="D10" s="36" t="s">
        <v>104</v>
      </c>
      <c r="E10" s="85">
        <f>E11*B10*2</f>
        <v>986.42499999999995</v>
      </c>
      <c r="F10" s="86"/>
      <c r="G10" s="11" t="s">
        <v>51</v>
      </c>
      <c r="H10" s="65">
        <f>H11*B10</f>
        <v>34815</v>
      </c>
      <c r="I10" s="66"/>
      <c r="J10" s="11" t="s">
        <v>39</v>
      </c>
      <c r="K10" s="51" t="s">
        <v>41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>Sheet Rolls</v>
      </c>
      <c r="B11" s="83">
        <f>IF(AND(B7="Cont Centrefold",D9="RUN 2 UP"),B10*2,IF(B7="Cont Centrefold",B10,IF(B7="Cont Sheet Roll",B10*2,"")))</f>
        <v>66</v>
      </c>
      <c r="C11" s="84"/>
      <c r="D11" s="42" t="s">
        <v>105</v>
      </c>
      <c r="E11" s="87">
        <f>IF(D9="RUN 2 UP",(B8*H8*H11/540000),(B8*H8*H11/540000)/2)</f>
        <v>14.945833333333333</v>
      </c>
      <c r="F11" s="88"/>
      <c r="G11" s="42" t="s">
        <v>13</v>
      </c>
      <c r="H11" s="89">
        <v>1055</v>
      </c>
      <c r="I11" s="90"/>
      <c r="J11" s="42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v>120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>BLUE TINT</v>
      </c>
      <c r="B24" s="49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BT</v>
      </c>
      <c r="D24" s="64"/>
      <c r="E24" s="103">
        <v>0.05</v>
      </c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errorStyle="warning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topLeftCell="A31" workbookViewId="0">
      <selection activeCell="H46" sqref="H46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45253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45243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C2D6891-A596-434E-92C9-F9B38FE7EB1C}"/>
</file>

<file path=customXml/itemProps2.xml><?xml version="1.0" encoding="utf-8"?>
<ds:datastoreItem xmlns:ds="http://schemas.openxmlformats.org/officeDocument/2006/customXml" ds:itemID="{8E043F52-2E0C-4261-BD06-503BDA87ACA5}"/>
</file>

<file path=customXml/itemProps3.xml><?xml version="1.0" encoding="utf-8"?>
<ds:datastoreItem xmlns:ds="http://schemas.openxmlformats.org/officeDocument/2006/customXml" ds:itemID="{9A880CC1-F929-4CBF-B8F3-D5FC3A2345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2023-10-23T02:29:59Z</cp:lastPrinted>
  <dcterms:created xsi:type="dcterms:W3CDTF">2019-11-27T23:28:06Z</dcterms:created>
  <dcterms:modified xsi:type="dcterms:W3CDTF">2023-10-24T03:00:46Z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