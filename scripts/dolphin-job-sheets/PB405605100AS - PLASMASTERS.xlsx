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AB72181-67B7-4C86-A9A8-3A1447E9FA6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<sst xmlns="http://schemas.openxmlformats.org/spreadsheetml/2006/main" count="307" uniqueCount="203">
  <si>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</si>
  <si>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</si>
  <si>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</si>
  <si>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</si>
  <si>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</si>
  <si>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</si>
  <si>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</si>
  <si>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</si>
  <si>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</si>
  <si>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</si>
  <si>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</si>
  <si>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</si>
  <si>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</si>
  <si>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</si>
  <si>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</si>
  <si>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</si>
  <si>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</si>
  <si>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</si>
  <si>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</si>
  <si>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</si>
  <si>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</si>
  <si>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</si>
  <si>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</si>
  <si>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</si>
  <si>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</si>
  <si>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</si>
  <si>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</si>
  <si>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</si>
  <si>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</si>
  <si>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</si>
  <si>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</si>
  <si>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</si>
  <si>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</si>
  <si>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</si>
  <si>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</si>
  <si>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</si>
  <si>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</si>
  <si>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</si>
  <si>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</si>
  <si>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</si>
  <si>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</si>
  <si>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</si>
  <si>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</si>
  <si>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</si>
  <si>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</si>
  <si>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</si>
  <si>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</si>
  <si>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</si>
  <si>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</si>
  <si>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</si>
  <si>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</si>
  <si>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</si>
  <si>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</si>
  <si>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</si>
  <si>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</si>
  <si>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</si>
  <si>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</si>
  <si>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</si>
  <si>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</si>
  <si>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</si>
  <si>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</si>
  <si>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</si>
  <si>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</si>
  <si>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</si>
  <si>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</si>
  <si>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</si>
  <si>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</si>
  <si>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</si>
  <si>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</si>
  <si>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</si>
  <si>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</si>
  <si>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</si>
  <si>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</si>
  <si>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</si>
  <si>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</si>
  <si>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</si>
  <si>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</si>
  <si>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</si>
  <si>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</si>
  <si>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</si>
  <si>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</si>
  <si>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</si>
  <si>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</si>
  <si>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</si>
  <si>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</si>
  <si>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</si>
  <si>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</si>
  <si>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</si>
  <si>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</si>
  <si>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</si>
  <si>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</si>
  <si>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</si>
  <si>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</si>
  <si>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</si>
  <si>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</si>
  <si>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</si>
  <si>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</si>
  <si>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</si>
  <si>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</si>
  <si>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</si>
  <si>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</si>
  <si>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</si>
  <si>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</si>
  <si>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</si>
  <si>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</si>
  <si>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</si>
  <si>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</si>
  <si>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</si>
  <si>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</si>
  <si>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</si>
  <si>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</si>
  <si>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</si>
  <si>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</si>
  <si>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</si>
  <si>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</si>
  <si>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</si>
  <si>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</si>
  <si>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</si>
  <si>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</si>
  <si>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</si>
  <si>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</si>
  <si>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</si>
  <si>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</si>
  <si>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</si>
  <si>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</si>
  <si>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</si>
  <si>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</si>
  <si>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</si>
  <si>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</si>
  <si>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</si>
  <si>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</si>
  <si>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</si>
  <si>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</si>
  <si>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</si>
  <si>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</si>
  <si>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</si>
  <si>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</si>
  <si>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</si>
  <si>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</si>
  <si>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</si>
  <si>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</si>
  <si>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</si>
  <si>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</si>
  <si>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</si>
  <si>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</si>
  <si>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</si>
  <si>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</si>
  <si>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</si>
  <si>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</si>
  <si>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</si>
  <si>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</si>
  <si>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</si>
  <si>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</si>
  <si>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</si>
  <si>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</si>
  <si>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</si>
  <si>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</si>
  <si>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</si>
  <si>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</si>
  <si>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</si>
  <si>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</si>
  <si>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</si>
  <si>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</si>
  <si>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</si>
  <si>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</si>
  <si>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</si>
  <si>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</si>
  <si>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</si>
  <si>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</si>
  <si>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</si>
  <si>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</si>
  <si>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</si>
  <si>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</si>
  <si>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</si>
  <si>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</si>
  <si>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</si>
  <si>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</si>
  <si>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</si>
  <si>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</si>
  <si>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</si>
  <si>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</si>
  <si>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</si>
  <si>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</si>
  <si>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</si>
  <si>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</si>
  <si>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</si>
  <si>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</si>
  <si>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</si>
  <si>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</si>
  <si>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</si>
  <si>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</si>
  <si>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</si>
  <si>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</si>
  <si>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NOT OVER</t>
  </si>
  <si>
    <t xml:space="preserve"> +/- 5mm</t>
  </si>
  <si>
    <t>Centrefold Roll</t>
  </si>
  <si>
    <t>PLASMASTERS</t>
  </si>
  <si>
    <t>BAGS MUST CONTAIN 2% ANTI-STATIC</t>
  </si>
  <si>
    <t>ANTI-STATIC</t>
  </si>
  <si>
    <t xml:space="preserve">LIMAX </t>
  </si>
  <si>
    <t xml:space="preserve"> 2% ANTI-STATIC</t>
  </si>
  <si>
    <t>AS</t>
  </si>
  <si>
    <t>02.05.2022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</si>
</sst>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5" borderId="6" xfId="0" applyFont="1" applyFill="1" applyBorder="1" applyAlignment="1" applyProtection="1">
      <alignment horizontal="left"/>
      <protection locked="0"/>
    </xf>
    <xf numFmtId="9" fontId="16" fillId="5" borderId="4" xfId="0" applyNumberFormat="1" applyFont="1" applyFill="1" applyBorder="1" applyAlignment="1" applyProtection="1">
      <alignment horizontal="center"/>
      <protection locked="0"/>
    </xf>
    <xf numFmtId="0" fontId="16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C14" sqref="AC14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PB405605100AS</v>
      </c>
      <c r="C1" s="123"/>
      <c r="D1" s="124"/>
      <c r="E1" s="12" t="s">
        <v>57</v>
      </c>
      <c r="F1" s="134" t="s">
        <v>196</v>
      </c>
      <c r="G1" s="134"/>
      <c r="H1" s="135"/>
      <c r="I1" s="13" t="s">
        <v>181</v>
      </c>
      <c r="J1" s="136">
        <f ca="1">TODAY()</f>
        <v>44650</v>
      </c>
      <c r="K1" s="136"/>
      <c r="L1" s="137"/>
      <c r="M1" s="34"/>
      <c r="N1" s="12" t="s">
        <v>56</v>
      </c>
      <c r="O1" s="123" t="str">
        <f>B1</f>
        <v>PB405605100AS</v>
      </c>
      <c r="P1" s="123"/>
      <c r="Q1" s="124"/>
      <c r="R1" s="12" t="s">
        <v>57</v>
      </c>
      <c r="S1" s="123" t="str">
        <f>F1</f>
        <v>PLASMASTERS</v>
      </c>
      <c r="T1" s="123"/>
      <c r="U1" s="124"/>
      <c r="V1" s="12" t="s">
        <v>181</v>
      </c>
      <c r="W1" s="136">
        <f ca="1">J1</f>
        <v>44650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 xml:space="preserve"> 2% ANTI-STATIC</v>
      </c>
      <c r="C2" s="123"/>
      <c r="D2" s="124"/>
      <c r="E2" s="12" t="s">
        <v>58</v>
      </c>
      <c r="F2" s="73">
        <v>942987</v>
      </c>
      <c r="G2" s="73"/>
      <c r="H2" s="74"/>
      <c r="I2" s="12" t="s">
        <v>59</v>
      </c>
      <c r="J2" s="139" t="s">
        <v>202</v>
      </c>
      <c r="K2" s="73"/>
      <c r="L2" s="74"/>
      <c r="M2" s="34"/>
      <c r="N2" s="12" t="s">
        <v>100</v>
      </c>
      <c r="O2" s="123" t="str">
        <f>IF(B2="","",B2)</f>
        <v xml:space="preserve"> 2% ANTI-STATIC</v>
      </c>
      <c r="P2" s="123"/>
      <c r="Q2" s="124"/>
      <c r="R2" s="12" t="s">
        <v>58</v>
      </c>
      <c r="S2" s="123">
        <f>IF(F2="","",F2)</f>
        <v>942987</v>
      </c>
      <c r="T2" s="123"/>
      <c r="U2" s="124"/>
      <c r="V2" s="12" t="s">
        <v>59</v>
      </c>
      <c r="W2" s="138" t="str">
        <f>J2</f>
        <v>02.05.2022</v>
      </c>
      <c r="X2" s="123"/>
      <c r="Y2" s="124"/>
    </row>
    <row r="3" spans="1:28" ht="20.100000000000001" customHeight="1" x14ac:dyDescent="0.25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15</v>
      </c>
      <c r="P7" s="74"/>
      <c r="Q7" s="12" t="str">
        <f>IF(ISNUMBER(SEARCH("roll",O8,1)),"Per Roll","Per Carton")</f>
        <v>Per Carton</v>
      </c>
      <c r="R7" s="73">
        <v>300</v>
      </c>
      <c r="S7" s="74"/>
      <c r="T7" s="12" t="str">
        <f>IF(ISNUMBER(SEARCH("bag",O8,1)),"Total Bags","Total Sheets")</f>
        <v>Total Bags</v>
      </c>
      <c r="U7" s="123">
        <f>R7*O7</f>
        <v>4500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405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100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194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193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405</v>
      </c>
      <c r="S9" s="20" t="s">
        <v>78</v>
      </c>
      <c r="T9" s="35">
        <v>605</v>
      </c>
      <c r="U9" s="20" t="s">
        <v>78</v>
      </c>
      <c r="V9" s="35">
        <v>100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6</v>
      </c>
      <c r="C10" s="74"/>
      <c r="D10" s="54" t="s">
        <v>134</v>
      </c>
      <c r="E10" s="145">
        <f>IF(ISNUMBER(SEARCH("sheet",O8,1)),((R9*T9*H8/540000)*U7/2000*1.3),((R9*T9*H8/540000)*U7/1000*1.08))</f>
        <v>220.52250000000001</v>
      </c>
      <c r="F10" s="146"/>
      <c r="G10" s="12" t="s">
        <v>53</v>
      </c>
      <c r="H10" s="149">
        <f>IF(ISNUMBER(SEARCH("sheet",O8,1)),(U7*T9/2000*1.08),(U7*T9/1000*1.08))</f>
        <v>2940.3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200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36.753750000000004</v>
      </c>
      <c r="F11" s="148"/>
      <c r="G11" s="12" t="s">
        <v>15</v>
      </c>
      <c r="H11" s="147">
        <f>H10/B10</f>
        <v>490.05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150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23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201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35">
      <c r="A23" s="158" t="s">
        <v>198</v>
      </c>
      <c r="B23" s="158"/>
      <c r="C23" s="107" t="s">
        <v>201</v>
      </c>
      <c r="D23" s="108"/>
      <c r="E23" s="159">
        <v>0.02</v>
      </c>
      <c r="F23" s="160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6"/>
      <c r="B24" s="157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199</v>
      </c>
      <c r="P25" s="39"/>
      <c r="Q25" s="10">
        <v>22</v>
      </c>
      <c r="R25" s="10"/>
      <c r="S25" s="10"/>
      <c r="T25" s="10"/>
      <c r="U25" s="10"/>
      <c r="V25" s="10"/>
      <c r="W25" s="10">
        <v>16</v>
      </c>
      <c r="X25" s="10">
        <v>16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" right="0" top="0" bottom="0" header="0" footer="0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44681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44671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195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48522DA-1BFD-4FC7-BF97-F25DD0B48DF6}"/>
</file>

<file path=customXml/itemProps2.xml><?xml version="1.0" encoding="utf-8"?>
<ds:datastoreItem xmlns:ds="http://schemas.openxmlformats.org/officeDocument/2006/customXml" ds:itemID="{F4511C17-547A-4957-AE03-04E4570AA415}"/>
</file>

<file path=customXml/itemProps3.xml><?xml version="1.0" encoding="utf-8"?>
<ds:datastoreItem xmlns:ds="http://schemas.openxmlformats.org/officeDocument/2006/customXml" ds:itemID="{882E709E-168B-4190-985C-35AE09039E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2022-03-30T01:28:49Z</cp:lastPrinted>
  <dcterms:created xsi:type="dcterms:W3CDTF">2019-11-27T23:28:06Z</dcterms:created>
  <dcterms:modified xsi:type="dcterms:W3CDTF">2022-03-30T02:07:56Z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