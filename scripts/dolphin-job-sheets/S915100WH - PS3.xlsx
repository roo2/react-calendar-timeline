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01177EE-F438-4073-8680-C8215622D9E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C25" i="1" l="1"/>
  <c r="D9" i="1" l="1"/>
  <c r="B11" i="1" l="1"/>
  <c r="A11" i="1"/>
  <c r="D8" i="1" l="1"/>
  <c r="K8" i="1" l="1"/>
  <c r="A24" i="1" l="1"/>
  <c r="C24" i="1" s="1"/>
  <c r="B1" i="1" s="1"/>
  <c r="F16" i="1" l="1"/>
  <c r="J1" i="1" l="1"/>
  <c r="A4" i="2" l="1"/>
  <c r="A5" i="2"/>
  <c r="H10" i="1"/>
  <c r="E10" i="1" l="1"/>
  <c r="B2" i="1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<sst xmlns="http://schemas.openxmlformats.org/spreadsheetml/2006/main" count="227" uniqueCount="168">
  <si>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</si>
  <si>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</si>
  <si>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</si>
  <si>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</si>
  <si>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</si>
  <si>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</si>
  <si>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</si>
  <si>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</si>
  <si>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</si>
  <si>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</si>
  <si>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</si>
  <si>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</si>
  <si>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</si>
  <si>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</si>
  <si>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</si>
  <si>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</si>
  <si>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</si>
  <si>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</si>
  <si>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</si>
  <si>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</si>
  <si>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</si>
  <si>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</si>
  <si>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</si>
  <si>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</si>
  <si>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</si>
  <si>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</si>
  <si>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</si>
  <si>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</si>
  <si>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</si>
  <si>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</si>
  <si>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</si>
  <si>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</si>
  <si>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</si>
  <si>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</si>
  <si>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</si>
  <si>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</si>
  <si>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</si>
  <si>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</si>
  <si>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</si>
  <si>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</si>
  <si>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</si>
  <si>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</si>
  <si>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</si>
  <si>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</si>
  <si>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</si>
  <si>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</si>
  <si>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</si>
  <si>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</si>
  <si>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</si>
  <si>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</si>
  <si>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</si>
  <si>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</si>
  <si>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</si>
  <si>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</si>
  <si>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</si>
  <si>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</si>
  <si>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</si>
  <si>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</si>
  <si>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</si>
  <si>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</si>
  <si>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</si>
  <si>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</si>
  <si>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</si>
  <si>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</si>
  <si>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</si>
  <si>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</si>
  <si>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</si>
  <si>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</si>
  <si>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</si>
  <si>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</si>
  <si>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</si>
  <si>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</si>
  <si>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</si>
  <si>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</si>
  <si>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</si>
  <si>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</si>
  <si>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</si>
  <si>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</si>
  <si>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</si>
  <si>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</si>
  <si>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</si>
  <si>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</si>
  <si>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</si>
  <si>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</si>
  <si>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</si>
  <si>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</si>
  <si>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</si>
  <si>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</si>
  <si>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</si>
  <si>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</si>
  <si>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</si>
  <si>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</si>
  <si>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</si>
  <si>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</si>
  <si>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</si>
  <si>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</si>
  <si>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</si>
  <si>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</si>
  <si>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</si>
  <si>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</si>
  <si>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</si>
  <si>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</si>
  <si>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</si>
  <si>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</si>
  <si>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</si>
  <si>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</si>
  <si>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</si>
  <si>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</si>
  <si>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</si>
  <si>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</si>
  <si>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</si>
  <si>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</si>
  <si>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</si>
  <si>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</si>
  <si>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</si>
  <si>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</si>
  <si>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</si>
  <si>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</si>
  <si>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</si>
  <si>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</si>
  <si>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</si>
  <si>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</si>
  <si>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</si>
  <si>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</si>
  <si>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</si>
  <si>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</si>
  <si>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</si>
  <si>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</si>
  <si>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</si>
  <si>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</si>
  <si>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</si>
  <si>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</si>
  <si>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</si>
  <si>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</si>
  <si>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</si>
  <si>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</si>
  <si>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</si>
  <si>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</si>
  <si>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</si>
  <si>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</si>
  <si>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</si>
  <si>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</si>
  <si>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</si>
  <si>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</si>
  <si>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</si>
  <si>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</si>
  <si>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</si>
  <si>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</si>
  <si>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</si>
  <si>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</si>
  <si>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</si>
  <si>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</si>
  <si>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</si>
  <si>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</si>
  <si>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</si>
  <si>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</si>
  <si>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</si>
  <si>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</si>
  <si>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</si>
  <si>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</si>
  <si>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</si>
  <si>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</si>
  <si>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</si>
  <si>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HYQUAL</t>
  </si>
  <si>
    <t>%</t>
  </si>
  <si>
    <t>ANTIBLOCK</t>
  </si>
  <si>
    <t>WHITE REMILL</t>
  </si>
  <si>
    <t>fishbowl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</si>
</sst>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86"/>
  <sheetViews>
    <sheetView tabSelected="1" zoomScale="80" zoomScaleNormal="80" workbookViewId="0">
      <selection activeCell="O6" sqref="O6"/>
    </sheetView>
  </sheetViews>
  <sheetFormatPr defaultRowHeight="14.75" x14ac:dyDescent="0.75"/>
  <sheetData>
    <row r="1" spans="1:15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SR915100WH0</v>
      </c>
      <c r="C1" s="61"/>
      <c r="D1" s="62"/>
      <c r="E1" s="11" t="s">
        <v>55</v>
      </c>
      <c r="F1" s="51" t="s">
        <v>163</v>
      </c>
      <c r="G1" s="51"/>
      <c r="H1" s="52"/>
      <c r="I1" s="11" t="s">
        <v>148</v>
      </c>
      <c r="J1" s="76">
        <f ca="1">TODAY()</f>
        <v>45600</v>
      </c>
      <c r="K1" s="76"/>
      <c r="L1" s="77"/>
    </row>
    <row r="2" spans="1:15" ht="20.149999999999999" customHeight="1" x14ac:dyDescent="0.8">
      <c r="A2" s="11" t="s">
        <v>94</v>
      </c>
      <c r="B2" s="65" t="str">
        <f>(ROUNDUP(E11,0)&amp;"KG")&amp;" "&amp;(ROUNDUP(H11,0)&amp;"M")</f>
        <v>30KG 200M</v>
      </c>
      <c r="C2" s="65"/>
      <c r="D2" s="66"/>
      <c r="E2" s="11" t="s">
        <v>56</v>
      </c>
      <c r="F2" s="51">
        <v>948573</v>
      </c>
      <c r="G2" s="51"/>
      <c r="H2" s="52"/>
      <c r="I2" s="11" t="s">
        <v>57</v>
      </c>
      <c r="J2" s="78">
        <v>45621</v>
      </c>
      <c r="K2" s="51"/>
      <c r="L2" s="52"/>
    </row>
    <row r="3" spans="1:15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5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5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  <c r="O5" t="s">
        <v>167</v>
      </c>
    </row>
    <row r="6" spans="1:15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5" ht="20.149999999999999" customHeight="1" x14ac:dyDescent="0.9">
      <c r="A7" s="11" t="s">
        <v>157</v>
      </c>
      <c r="B7" s="51" t="s">
        <v>159</v>
      </c>
      <c r="C7" s="52"/>
      <c r="D7" s="11" t="s">
        <v>47</v>
      </c>
      <c r="E7" s="107" t="s">
        <v>123</v>
      </c>
      <c r="F7" s="107"/>
      <c r="G7" s="107"/>
      <c r="H7" s="107"/>
      <c r="I7" s="107"/>
      <c r="J7" s="91" t="s">
        <v>145</v>
      </c>
      <c r="K7" s="91"/>
      <c r="L7" s="92"/>
    </row>
    <row r="8" spans="1:15" ht="20.149999999999999" customHeight="1" x14ac:dyDescent="0.8">
      <c r="A8" s="12" t="s">
        <v>14</v>
      </c>
      <c r="B8" s="97">
        <v>915</v>
      </c>
      <c r="C8" s="98"/>
      <c r="D8" s="12" t="str">
        <f>IF(B7="Tube","Gusset","Centrefold")</f>
        <v>Centrefold</v>
      </c>
      <c r="E8" s="93" t="str">
        <f>IF(B7="Cont Centrefold",B8*2,"")</f>
        <v/>
      </c>
      <c r="F8" s="94"/>
      <c r="G8" s="12" t="s">
        <v>50</v>
      </c>
      <c r="H8" s="97">
        <v>100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5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5" ht="20.149999999999999" customHeight="1" x14ac:dyDescent="0.8">
      <c r="A10" s="11" t="s">
        <v>49</v>
      </c>
      <c r="B10" s="51">
        <v>12</v>
      </c>
      <c r="C10" s="52"/>
      <c r="D10" s="36" t="s">
        <v>104</v>
      </c>
      <c r="E10" s="85">
        <f>E11*B10</f>
        <v>360</v>
      </c>
      <c r="F10" s="86"/>
      <c r="G10" s="11" t="s">
        <v>51</v>
      </c>
      <c r="H10" s="65">
        <f>H11*B10</f>
        <v>2400</v>
      </c>
      <c r="I10" s="66"/>
      <c r="J10" s="11" t="s">
        <v>39</v>
      </c>
      <c r="K10" s="51" t="s">
        <v>41</v>
      </c>
      <c r="L10" s="52"/>
    </row>
    <row r="11" spans="1:15" s="43" customFormat="1" ht="20.149999999999999" customHeight="1" x14ac:dyDescent="0.8">
      <c r="A11" s="42" t="str">
        <f>IF(B7="Cont Sheet Roll","Sheet Rolls",IF(B7="Cont Centrefold","CF Rolls",""))</f>
        <v>Sheet Rolls</v>
      </c>
      <c r="B11" s="83">
        <f>IF(AND(B7="Cont Centrefold",D9="RUN 2 UP"),B10*2,IF(B7="Cont Centrefold",B10,IF(B7="Cont Sheet Roll",B10*2,"")))</f>
        <v>24</v>
      </c>
      <c r="C11" s="84"/>
      <c r="D11" s="42" t="s">
        <v>105</v>
      </c>
      <c r="E11" s="87">
        <v>30</v>
      </c>
      <c r="F11" s="88"/>
      <c r="G11" s="42" t="s">
        <v>13</v>
      </c>
      <c r="H11" s="89">
        <v>200</v>
      </c>
      <c r="I11" s="90"/>
      <c r="J11" s="42" t="s">
        <v>48</v>
      </c>
      <c r="K11" s="95" t="s">
        <v>42</v>
      </c>
      <c r="L11" s="96"/>
      <c r="N11"/>
    </row>
    <row r="12" spans="1:15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5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5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5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5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12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166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>WHITE</v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WH</v>
      </c>
      <c r="D24" s="64"/>
      <c r="E24" s="103" t="s">
        <v>164</v>
      </c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 t="s">
        <v>165</v>
      </c>
      <c r="B25" s="49"/>
      <c r="C25" s="63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45630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45621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5E9E675-FDA5-4ED6-B361-4CC661C68F59}"/>
</file>

<file path=customXml/itemProps2.xml><?xml version="1.0" encoding="utf-8"?>
<ds:datastoreItem xmlns:ds="http://schemas.openxmlformats.org/officeDocument/2006/customXml" ds:itemID="{2684F649-7BE9-4652-9358-48B1C48FF195}"/>
</file>

<file path=customXml/itemProps3.xml><?xml version="1.0" encoding="utf-8"?>
<ds:datastoreItem xmlns:ds="http://schemas.openxmlformats.org/officeDocument/2006/customXml" ds:itemID="{892C841D-D29C-468D-BFCA-FE488F0C9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2024-11-04T00:58:46Z</cp:lastPrinted>
  <dcterms:created xsi:type="dcterms:W3CDTF">2019-11-27T23:28:06Z</dcterms:created>
  <dcterms:modified xsi:type="dcterms:W3CDTF">2024-11-04T23:47:18Z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