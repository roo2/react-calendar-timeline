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AB725AD-1277-4EBE-88C2-8DA4AC7C85C8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<sst xmlns="http://schemas.openxmlformats.org/spreadsheetml/2006/main" count="303" uniqueCount="201">
  <si>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</si>
  <si>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</si>
  <si>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</si>
  <si>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</si>
  <si>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</si>
  <si>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</si>
  <si>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</si>
  <si>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</si>
  <si>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</si>
  <si>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</si>
  <si>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</si>
  <si>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</si>
  <si>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</si>
  <si>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</si>
  <si>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</si>
  <si>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</si>
  <si>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</si>
  <si>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</si>
  <si>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</si>
  <si>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</si>
  <si>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</si>
  <si>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</si>
  <si>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</si>
  <si>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</si>
  <si>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</si>
  <si>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</si>
  <si>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</si>
  <si>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</si>
  <si>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</si>
  <si>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</si>
  <si>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</si>
  <si>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</si>
  <si>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</si>
  <si>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</si>
  <si>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</si>
  <si>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</si>
  <si>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</si>
  <si>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</si>
  <si>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</si>
  <si>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</si>
  <si>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</si>
  <si>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</si>
  <si>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</si>
  <si>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</si>
  <si>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</si>
  <si>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</si>
  <si>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</si>
  <si>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</si>
  <si>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</si>
  <si>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</si>
  <si>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</si>
  <si>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</si>
  <si>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</si>
  <si>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</si>
  <si>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</si>
  <si>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</si>
  <si>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</si>
  <si>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</si>
  <si>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</si>
  <si>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</si>
  <si>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</si>
  <si>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</si>
  <si>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</si>
  <si>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</si>
  <si>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</si>
  <si>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</si>
  <si>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</si>
  <si>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</si>
  <si>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</si>
  <si>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</si>
  <si>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</si>
  <si>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</si>
  <si>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</si>
  <si>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</si>
  <si>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</si>
  <si>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</si>
  <si>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</si>
  <si>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</si>
  <si>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</si>
  <si>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</si>
  <si>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</si>
  <si>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</si>
  <si>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</si>
  <si>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</si>
  <si>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</si>
  <si>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</si>
  <si>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</si>
  <si>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</si>
  <si>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</si>
  <si>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</si>
  <si>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</si>
  <si>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</si>
  <si>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</si>
  <si>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</si>
  <si>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</si>
  <si>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</si>
  <si>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</si>
  <si>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</si>
  <si>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</si>
  <si>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</si>
  <si>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</si>
  <si>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</si>
  <si>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</si>
  <si>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</si>
  <si>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</si>
  <si>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</si>
  <si>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</si>
  <si>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</si>
  <si>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</si>
  <si>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</si>
  <si>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</si>
  <si>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</si>
  <si>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</si>
  <si>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</si>
  <si>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</si>
  <si>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</si>
  <si>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</si>
  <si>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</si>
  <si>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</si>
  <si>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</si>
  <si>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</si>
  <si>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</si>
  <si>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</si>
  <si>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</si>
  <si>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</si>
  <si>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</si>
  <si>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</si>
  <si>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</si>
  <si>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</si>
  <si>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</si>
  <si>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</si>
  <si>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</si>
  <si>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</si>
  <si>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</si>
  <si>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</si>
  <si>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</si>
  <si>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</si>
  <si>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</si>
  <si>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</si>
  <si>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</si>
  <si>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</si>
  <si>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</si>
  <si>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</si>
  <si>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</si>
  <si>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</si>
  <si>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</si>
  <si>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</si>
  <si>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</si>
  <si>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</si>
  <si>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</si>
  <si>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</si>
  <si>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</si>
  <si>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</si>
  <si>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</si>
  <si>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</si>
  <si>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</si>
  <si>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</si>
  <si>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</si>
  <si>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</si>
  <si>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</si>
  <si>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</si>
  <si>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</si>
  <si>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</si>
  <si>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</si>
  <si>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</si>
  <si>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</si>
  <si>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</si>
  <si>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</si>
  <si>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</si>
  <si>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</si>
  <si>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</si>
  <si>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</si>
  <si>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</si>
  <si>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</si>
  <si>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</si>
  <si>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</si>
  <si>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</si>
  <si>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</si>
  <si>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</si>
  <si>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</si>
  <si>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</si>
  <si>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</si>
  <si>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</si>
  <si>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</si>
  <si>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</si>
  <si>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</si>
  <si>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</si>
  <si>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</si>
  <si>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</si>
  <si>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</si>
  <si>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</si>
  <si>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</si>
  <si>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</si>
  <si>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</si>
  <si>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MAYFAIR DRY CLEANERS</t>
  </si>
  <si>
    <t>(530+100)</t>
  </si>
  <si>
    <t xml:space="preserve"> +5mm/-0mm</t>
  </si>
  <si>
    <t xml:space="preserve"> +/-3mm</t>
  </si>
  <si>
    <t>ROLLS MUST NOT BE BLOCKED - CHECK CORRECT &amp; GOOD QUALITY PRINT. MINIMAL TO NO TRANSFER ON BAGS.</t>
  </si>
  <si>
    <t>RED AND BLUE PRINT - MAYFAIR DRY CLEANERS - MUST BE CORRECT WAY FOR CONVERSION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</si>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</sst>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8" t="s">
        <v>55</v>
      </c>
      <c r="B1" s="125" t="str">
        <f>O9&amp;R9&amp;IF(X8="G","G","")&amp;IF(O8="Centrefold Roll","("&amp;E8&amp;")","")&amp;T9&amp;V9&amp;C22&amp;C23&amp;C24&amp;O11&amp;R11</f>
        <v>PBR630G170030WHUVP</v>
      </c>
      <c r="C1" s="125"/>
      <c r="D1" s="126"/>
      <c r="E1" s="18" t="s">
        <v>56</v>
      </c>
      <c r="F1" s="149" t="s">
        <v>194</v>
      </c>
      <c r="G1" s="149"/>
      <c r="H1" s="150"/>
      <c r="I1" s="18" t="s">
        <v>180</v>
      </c>
      <c r="J1" s="146">
        <f ca="1">TODAY()</f>
        <v>44761</v>
      </c>
      <c r="K1" s="146"/>
      <c r="L1" s="147"/>
      <c r="M1" s="35"/>
      <c r="N1" s="18" t="s">
        <v>55</v>
      </c>
      <c r="O1" s="125" t="str">
        <f>B1</f>
        <v>PBR630G170030WHUVP</v>
      </c>
      <c r="P1" s="125"/>
      <c r="Q1" s="126"/>
      <c r="R1" s="18" t="s">
        <v>56</v>
      </c>
      <c r="S1" s="125" t="str">
        <f>F1</f>
        <v>MAYFAIR DRY CLEANERS</v>
      </c>
      <c r="T1" s="125"/>
      <c r="U1" s="126"/>
      <c r="V1" s="18" t="s">
        <v>180</v>
      </c>
      <c r="W1" s="146">
        <f ca="1">J1</f>
        <v>44761</v>
      </c>
      <c r="X1" s="146"/>
      <c r="Y1" s="147"/>
    </row>
    <row r="2" spans="1:25" ht="20.149999999999999" customHeight="1" x14ac:dyDescent="0.8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943701</v>
      </c>
      <c r="G2" s="104"/>
      <c r="H2" s="105"/>
      <c r="I2" s="18" t="s">
        <v>58</v>
      </c>
      <c r="J2" s="103">
        <v>44792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943701</v>
      </c>
      <c r="T2" s="125"/>
      <c r="U2" s="126"/>
      <c r="V2" s="18" t="s">
        <v>58</v>
      </c>
      <c r="W2" s="148">
        <f>J2</f>
        <v>44792</v>
      </c>
      <c r="X2" s="125"/>
      <c r="Y2" s="126"/>
    </row>
    <row r="3" spans="1:25" ht="20.149999999999999" customHeight="1" x14ac:dyDescent="0.75">
      <c r="A3" s="155" t="s">
        <v>198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7"/>
      <c r="M3" s="35"/>
      <c r="N3" s="137" t="str">
        <f>A3</f>
        <v>ROLLS MUST NOT BE BLOCKED - CHECK CORRECT &amp; GOOD QUALITY PRINT. MINIMAL TO NO TRANSFER ON BAGS.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49999999999999" customHeight="1" x14ac:dyDescent="0.75">
      <c r="A4" s="158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60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49999999999999" customHeight="1" x14ac:dyDescent="0.75">
      <c r="A5" s="161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3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49999999999999" customHeight="1" x14ac:dyDescent="0.7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49999999999999" customHeight="1" x14ac:dyDescent="0.9">
      <c r="A7" s="18" t="s">
        <v>48</v>
      </c>
      <c r="B7" s="135" t="s">
        <v>154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10</v>
      </c>
      <c r="P7" s="105"/>
      <c r="Q7" s="18" t="str">
        <f>IF(ISNUMBER(SEARCH("roll",O8,1)),"Per Roll","Per Carton")</f>
        <v>Per Roll</v>
      </c>
      <c r="R7" s="104">
        <v>500</v>
      </c>
      <c r="S7" s="105"/>
      <c r="T7" s="18" t="str">
        <f>IF(ISNUMBER(SEARCH("bag",O8,1)),"Total Bags","Total Sheets")</f>
        <v>Total Bags</v>
      </c>
      <c r="U7" s="125">
        <f>R7*O7</f>
        <v>5000</v>
      </c>
      <c r="V7" s="126"/>
      <c r="W7" s="18" t="s">
        <v>101</v>
      </c>
      <c r="X7" s="104" t="s">
        <v>30</v>
      </c>
      <c r="Y7" s="105"/>
    </row>
    <row r="8" spans="1:25" ht="20.149999999999999" customHeight="1" x14ac:dyDescent="0.8">
      <c r="A8" s="19" t="s">
        <v>15</v>
      </c>
      <c r="B8" s="113">
        <f>R9</f>
        <v>630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(530+100)</v>
      </c>
      <c r="F8" s="116"/>
      <c r="G8" s="19" t="s">
        <v>51</v>
      </c>
      <c r="H8" s="113">
        <f>(IF(V9&lt;30,"30",V9))</f>
        <v>30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51"/>
    </row>
    <row r="9" spans="1:25" ht="20.149999999999999" customHeight="1" x14ac:dyDescent="0.9">
      <c r="A9" s="23" t="s">
        <v>47</v>
      </c>
      <c r="B9" s="123" t="s">
        <v>196</v>
      </c>
      <c r="C9" s="124"/>
      <c r="D9" s="167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29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630</v>
      </c>
      <c r="S9" s="25" t="s">
        <v>77</v>
      </c>
      <c r="T9" s="36">
        <v>1700</v>
      </c>
      <c r="U9" s="25" t="s">
        <v>77</v>
      </c>
      <c r="V9" s="36">
        <v>30</v>
      </c>
      <c r="W9" s="24"/>
      <c r="X9" s="110" t="s">
        <v>195</v>
      </c>
      <c r="Y9" s="111"/>
    </row>
    <row r="10" spans="1:25" ht="20.149999999999999" customHeight="1" x14ac:dyDescent="0.8">
      <c r="A10" s="18" t="s">
        <v>50</v>
      </c>
      <c r="B10" s="104">
        <v>8</v>
      </c>
      <c r="C10" s="105"/>
      <c r="D10" s="56" t="s">
        <v>133</v>
      </c>
      <c r="E10" s="127">
        <f>IF(ISNUMBER(SEARCH("sheet",O8,1)),((R9*T9*H8/540000)*U7/2000*1.3),((R9*T9*H8/540000)*U7/1000*1.08))</f>
        <v>321.3</v>
      </c>
      <c r="F10" s="128"/>
      <c r="G10" s="18" t="s">
        <v>52</v>
      </c>
      <c r="H10" s="131">
        <f>IF(ISNUMBER(SEARCH("sheet",O8,1)),(U7*T9/2000*1.08),(U7*T9/1000*1.08))</f>
        <v>9180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Yes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49999999999999" customHeight="1" x14ac:dyDescent="0.8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40.162500000000001</v>
      </c>
      <c r="F11" s="130"/>
      <c r="G11" s="18" t="s">
        <v>14</v>
      </c>
      <c r="H11" s="129">
        <f>H10/B10</f>
        <v>1147.5</v>
      </c>
      <c r="I11" s="130"/>
      <c r="J11" s="18" t="s">
        <v>49</v>
      </c>
      <c r="K11" s="104" t="s">
        <v>63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>P</v>
      </c>
      <c r="S11" s="113"/>
      <c r="T11" s="19"/>
      <c r="U11" s="108"/>
      <c r="V11" s="108"/>
      <c r="W11" s="108"/>
      <c r="X11" s="108"/>
      <c r="Y11" s="109"/>
    </row>
    <row r="12" spans="1:25" ht="20.149999999999999" customHeight="1" x14ac:dyDescent="0.7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64" t="s">
        <v>70</v>
      </c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6"/>
    </row>
    <row r="13" spans="1:25" ht="20.149999999999999" customHeight="1" x14ac:dyDescent="0.8">
      <c r="A13" s="18" t="s">
        <v>67</v>
      </c>
      <c r="B13" s="104" t="s">
        <v>68</v>
      </c>
      <c r="C13" s="104"/>
      <c r="D13" s="105"/>
      <c r="E13" s="28" t="s">
        <v>60</v>
      </c>
      <c r="F13" s="104" t="s">
        <v>65</v>
      </c>
      <c r="G13" s="104"/>
      <c r="H13" s="105"/>
      <c r="I13" s="29" t="s">
        <v>61</v>
      </c>
      <c r="J13" s="104" t="s">
        <v>150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49999999999999" customHeight="1" x14ac:dyDescent="0.9">
      <c r="A14" s="19" t="s">
        <v>59</v>
      </c>
      <c r="B14" s="135" t="s">
        <v>199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73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49999999999999" customHeight="1" x14ac:dyDescent="0.7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49999999999999" customHeight="1" x14ac:dyDescent="0.8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68"/>
      <c r="Y16" s="169"/>
    </row>
    <row r="17" spans="1:25" ht="20.149999999999999" customHeight="1" x14ac:dyDescent="0.8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68"/>
      <c r="Y17" s="169"/>
    </row>
    <row r="18" spans="1:25" ht="20.149999999999999" customHeight="1" x14ac:dyDescent="0.8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68"/>
      <c r="Y18" s="169"/>
    </row>
    <row r="19" spans="1:25" ht="20.149999999999999" customHeight="1" x14ac:dyDescent="0.7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49999999999999" customHeight="1" x14ac:dyDescent="0.7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49999999999999" customHeight="1" x14ac:dyDescent="0.7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49999999999999" customHeight="1" x14ac:dyDescent="0.75">
      <c r="A22" s="88" t="str">
        <f>(IF(B7="NATURAL","",B7))</f>
        <v>WHITE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49999999999999" customHeight="1" x14ac:dyDescent="0.75">
      <c r="A23" s="92" t="s">
        <v>200</v>
      </c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73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49999999999999" customHeight="1" x14ac:dyDescent="0.7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49999999999999" customHeight="1" x14ac:dyDescent="0.7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74" t="s">
        <v>131</v>
      </c>
      <c r="H26" s="174"/>
      <c r="I26" s="174" t="s">
        <v>130</v>
      </c>
      <c r="J26" s="174"/>
      <c r="K26" s="12" t="s">
        <v>93</v>
      </c>
      <c r="L26" s="12" t="s">
        <v>94</v>
      </c>
      <c r="M26" s="35"/>
      <c r="N26" s="170" t="s">
        <v>136</v>
      </c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2"/>
    </row>
    <row r="27" spans="1:25" ht="20.149999999999999" customHeight="1" x14ac:dyDescent="0.7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49999999999999" customHeight="1" x14ac:dyDescent="0.7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49999999999999" customHeight="1" x14ac:dyDescent="0.7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49999999999999" customHeight="1" x14ac:dyDescent="0.7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49999999999999" customHeight="1" x14ac:dyDescent="0.7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49999999999999" customHeight="1" x14ac:dyDescent="0.7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49999999999999" customHeight="1" x14ac:dyDescent="0.7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49999999999999" customHeight="1" x14ac:dyDescent="0.7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49999999999999" customHeight="1" x14ac:dyDescent="0.7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49999999999999" customHeight="1" x14ac:dyDescent="0.7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49999999999999" customHeight="1" x14ac:dyDescent="0.7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49999999999999" customHeight="1" x14ac:dyDescent="0.7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49999999999999" customHeight="1" x14ac:dyDescent="0.7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49999999999999" customHeight="1" x14ac:dyDescent="0.7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49999999999999" customHeight="1" x14ac:dyDescent="0.7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49999999999999" customHeight="1" x14ac:dyDescent="0.7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49999999999999" customHeight="1" x14ac:dyDescent="0.75">
      <c r="N43" s="60"/>
    </row>
    <row r="44" spans="1:25" ht="20.149999999999999" customHeight="1" x14ac:dyDescent="0.7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49999999999999" customHeight="1" x14ac:dyDescent="0.7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49999999999999" customHeight="1" x14ac:dyDescent="0.7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49999999999999" customHeight="1" x14ac:dyDescent="0.7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49999999999999" customHeight="1" x14ac:dyDescent="0.7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49999999999999" customHeight="1" x14ac:dyDescent="0.7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49999999999999" customHeight="1" x14ac:dyDescent="0.7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49999999999999" customHeight="1" x14ac:dyDescent="0.7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49999999999999" customHeight="1" x14ac:dyDescent="0.7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49999999999999" customHeight="1" x14ac:dyDescent="0.7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49999999999999" customHeight="1" x14ac:dyDescent="0.7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49999999999999" customHeight="1" x14ac:dyDescent="0.7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49999999999999" customHeight="1" x14ac:dyDescent="0.7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49999999999999" customHeight="1" x14ac:dyDescent="0.7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49999999999999" customHeight="1" x14ac:dyDescent="0.7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49999999999999" customHeight="1" x14ac:dyDescent="0.7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49999999999999" customHeight="1" x14ac:dyDescent="0.7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49999999999999" customHeight="1" x14ac:dyDescent="0.7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49999999999999" customHeight="1" x14ac:dyDescent="0.7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49999999999999" customHeight="1" x14ac:dyDescent="0.7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49999999999999" customHeight="1" x14ac:dyDescent="0.7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49999999999999" customHeight="1" x14ac:dyDescent="0.7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49999999999999" customHeight="1" x14ac:dyDescent="0.7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49999999999999" customHeight="1" x14ac:dyDescent="0.7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49999999999999" customHeight="1" x14ac:dyDescent="0.7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49999999999999" customHeight="1" x14ac:dyDescent="0.7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49999999999999" customHeight="1" x14ac:dyDescent="0.7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49999999999999" customHeight="1" x14ac:dyDescent="0.7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49999999999999" customHeight="1" x14ac:dyDescent="0.7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49999999999999" customHeight="1" x14ac:dyDescent="0.7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49999999999999" customHeight="1" x14ac:dyDescent="0.7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49999999999999" customHeight="1" x14ac:dyDescent="0.7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49999999999999" customHeight="1" x14ac:dyDescent="0.7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49999999999999" customHeight="1" x14ac:dyDescent="0.7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49999999999999" customHeight="1" x14ac:dyDescent="0.7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49999999999999" customHeight="1" x14ac:dyDescent="0.7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49999999999999" customHeight="1" x14ac:dyDescent="0.7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49999999999999" customHeight="1" x14ac:dyDescent="0.7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49999999999999" customHeight="1" x14ac:dyDescent="0.7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49999999999999" customHeight="1" x14ac:dyDescent="0.7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49999999999999" customHeight="1" x14ac:dyDescent="0.7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49999999999999" customHeight="1" x14ac:dyDescent="0.7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7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70">
        <f ca="1">DATE(YEAR(Sheet1!J1),MONTH(Sheet1!J1)+1,DAY(Sheet1!J1))</f>
        <v>44792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70">
        <f ca="1">DATE(YEAR(Sheet1!J1),MONTH(Sheet1!J1),DAY(Sheet1!J1)+21)</f>
        <v>44782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7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7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7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7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7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7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7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7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7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7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7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7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7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7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7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7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7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7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7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7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7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7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7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7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7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7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7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7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7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7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7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7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7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7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7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7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75">
      <c r="A59" s="67" t="s">
        <v>147</v>
      </c>
    </row>
    <row r="60" spans="1:20" x14ac:dyDescent="0.75">
      <c r="A60" s="67" t="s">
        <v>148</v>
      </c>
      <c r="O60" s="1"/>
      <c r="Q60" s="1"/>
      <c r="R60" s="3"/>
      <c r="S60" s="1"/>
    </row>
    <row r="61" spans="1:20" x14ac:dyDescent="0.75">
      <c r="A61" s="67" t="s">
        <v>149</v>
      </c>
      <c r="O61" s="1"/>
      <c r="Q61" s="1"/>
      <c r="R61" s="1"/>
      <c r="S61" s="1"/>
    </row>
    <row r="62" spans="1:20" x14ac:dyDescent="0.75">
      <c r="A62" s="67" t="s">
        <v>150</v>
      </c>
      <c r="O62" s="1"/>
      <c r="Q62" s="1"/>
      <c r="R62" s="1"/>
      <c r="S62" s="1"/>
    </row>
    <row r="63" spans="1:20" x14ac:dyDescent="0.75">
      <c r="A63" s="67" t="s">
        <v>151</v>
      </c>
      <c r="O63" s="1"/>
      <c r="Q63" s="1"/>
      <c r="R63" s="1"/>
      <c r="S63" s="1"/>
      <c r="T63" s="1"/>
    </row>
    <row r="64" spans="1:20" x14ac:dyDescent="0.75">
      <c r="A64" s="67" t="s">
        <v>152</v>
      </c>
      <c r="O64" s="1"/>
      <c r="Q64" s="1"/>
      <c r="R64" s="1"/>
      <c r="S64" s="1"/>
      <c r="T64" s="1"/>
    </row>
    <row r="65" spans="1:20" x14ac:dyDescent="0.7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40F8597-B8C2-44BC-833C-C178CC6C1149}"/>
</file>

<file path=customXml/itemProps2.xml><?xml version="1.0" encoding="utf-8"?>
<ds:datastoreItem xmlns:ds="http://schemas.openxmlformats.org/officeDocument/2006/customXml" ds:itemID="{746960D5-4EEB-4205-928E-1E79B115D3D9}"/>
</file>

<file path=customXml/itemProps3.xml><?xml version="1.0" encoding="utf-8"?>
<ds:datastoreItem xmlns:ds="http://schemas.openxmlformats.org/officeDocument/2006/customXml" ds:itemID="{2EA0032E-D99D-40E0-820C-174379168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2022-07-19T02:59:30Z</cp:lastPrinted>
  <dcterms:created xsi:type="dcterms:W3CDTF">2019-11-27T23:28:06Z</dcterms:created>
  <dcterms:modified xsi:type="dcterms:W3CDTF">2022-07-19T03:41:48Z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