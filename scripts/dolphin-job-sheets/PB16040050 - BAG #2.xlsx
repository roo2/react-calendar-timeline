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3F56AA7-B18D-4F14-A455-C1EAF254B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<sst xmlns="http://schemas.openxmlformats.org/spreadsheetml/2006/main" count="305" uniqueCount="201">
  <si>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</si>
  <si>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</si>
  <si>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</si>
  <si>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</si>
  <si>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</si>
  <si>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</si>
  <si>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</si>
  <si>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</si>
  <si>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</si>
  <si>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</si>
  <si>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</si>
  <si>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</si>
  <si>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</si>
  <si>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</si>
  <si>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</si>
  <si>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</si>
  <si>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</si>
  <si>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</si>
  <si>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</si>
  <si>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</si>
  <si>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</si>
  <si>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</si>
  <si>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</si>
  <si>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</si>
  <si>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</si>
  <si>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</si>
  <si>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</si>
  <si>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</si>
  <si>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</si>
  <si>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</si>
  <si>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</si>
  <si>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</si>
  <si>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</si>
  <si>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</si>
  <si>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</si>
  <si>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</si>
  <si>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</si>
  <si>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</si>
  <si>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</si>
  <si>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</si>
  <si>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</si>
  <si>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</si>
  <si>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</si>
  <si>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</si>
  <si>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</si>
  <si>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</si>
  <si>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</si>
  <si>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</si>
  <si>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</si>
  <si>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</si>
  <si>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</si>
  <si>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</si>
  <si>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</si>
  <si>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</si>
  <si>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</si>
  <si>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</si>
  <si>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</si>
  <si>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</si>
  <si>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</si>
  <si>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</si>
  <si>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</si>
  <si>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</si>
  <si>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</si>
  <si>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</si>
  <si>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</si>
  <si>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</si>
  <si>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</si>
  <si>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</si>
  <si>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</si>
  <si>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</si>
  <si>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</si>
  <si>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</si>
  <si>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</si>
  <si>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</si>
  <si>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</si>
  <si>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</si>
  <si>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</si>
  <si>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</si>
  <si>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</si>
  <si>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</si>
  <si>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</si>
  <si>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</si>
  <si>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</si>
  <si>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</si>
  <si>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</si>
  <si>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</si>
  <si>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</si>
  <si>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</si>
  <si>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</si>
  <si>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</si>
  <si>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</si>
  <si>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</si>
  <si>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</si>
  <si>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</si>
  <si>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</si>
  <si>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</si>
  <si>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</si>
  <si>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</si>
  <si>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</si>
  <si>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</si>
  <si>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</si>
  <si>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</si>
  <si>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</si>
  <si>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</si>
  <si>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</si>
  <si>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</si>
  <si>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</si>
  <si>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</si>
  <si>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</si>
  <si>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</si>
  <si>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</si>
  <si>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</si>
  <si>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</si>
  <si>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</si>
  <si>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</si>
  <si>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</si>
  <si>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</si>
  <si>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</si>
  <si>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</si>
  <si>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</si>
  <si>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</si>
  <si>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</si>
  <si>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</si>
  <si>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</si>
  <si>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</si>
  <si>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</si>
  <si>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</si>
  <si>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</si>
  <si>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</si>
  <si>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</si>
  <si>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</si>
  <si>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</si>
  <si>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</si>
  <si>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</si>
  <si>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</si>
  <si>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</si>
  <si>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</si>
  <si>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</si>
  <si>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</si>
  <si>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</si>
  <si>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</si>
  <si>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</si>
  <si>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</si>
  <si>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</si>
  <si>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</si>
  <si>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</si>
  <si>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</si>
  <si>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</si>
  <si>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</si>
  <si>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</si>
  <si>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</si>
  <si>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</si>
  <si>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</si>
  <si>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</si>
  <si>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</si>
  <si>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</si>
  <si>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</si>
  <si>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</si>
  <si>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</si>
  <si>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</si>
  <si>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</si>
  <si>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</si>
  <si>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</si>
  <si>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</si>
  <si>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</si>
  <si>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</si>
  <si>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</si>
  <si>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</si>
  <si>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</si>
  <si>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</si>
  <si>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</si>
  <si>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</si>
  <si>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</si>
  <si>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</si>
  <si>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</si>
  <si>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</si>
  <si>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</si>
  <si>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</si>
  <si>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</si>
  <si>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</si>
  <si>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</si>
  <si>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</si>
  <si>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</si>
  <si>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</si>
  <si>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</si>
  <si>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</si>
  <si>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</si>
  <si>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</si>
  <si>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</si>
  <si>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</si>
  <si>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</si>
  <si>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</si>
  <si>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</si>
  <si>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</si>
  <si>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</si>
  <si>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 xml:space="preserve"> +/- 5um</t>
  </si>
  <si>
    <t>BAG #2</t>
  </si>
  <si>
    <t>MUST HAVE STRONG WATER TIGHT SEALS</t>
  </si>
  <si>
    <t xml:space="preserve">GREAT BARRIER REEF </t>
  </si>
  <si>
    <t>LIMAX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</si>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</sst>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24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/>
      <protection locked="0"/>
    </xf>
    <xf numFmtId="0" fontId="15" fillId="5" borderId="3" xfId="0" applyFont="1" applyFill="1" applyBorder="1" applyAlignment="1" applyProtection="1">
      <alignment horizontal="center" vertical="center"/>
      <protection locked="0"/>
    </xf>
    <xf numFmtId="0" fontId="15" fillId="5" borderId="8" xfId="0" applyFont="1" applyFill="1" applyBorder="1" applyAlignment="1" applyProtection="1">
      <alignment horizontal="center" vertical="center"/>
      <protection locked="0"/>
    </xf>
    <xf numFmtId="0" fontId="15" fillId="5" borderId="9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1" xfId="0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/>
      <protection locked="0"/>
    </xf>
    <xf numFmtId="0" fontId="15" fillId="5" borderId="12" xfId="0" applyFont="1" applyFill="1" applyBorder="1" applyAlignment="1" applyProtection="1">
      <alignment horizontal="center" vertical="center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0" fontId="16" fillId="5" borderId="1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PB16040050</v>
      </c>
      <c r="C1" s="110"/>
      <c r="D1" s="111"/>
      <c r="E1" s="10" t="s">
        <v>57</v>
      </c>
      <c r="F1" s="86" t="s">
        <v>198</v>
      </c>
      <c r="G1" s="86"/>
      <c r="H1" s="87"/>
      <c r="I1" s="11" t="s">
        <v>181</v>
      </c>
      <c r="J1" s="83">
        <f ca="1">TODAY()</f>
        <v>45448</v>
      </c>
      <c r="K1" s="83"/>
      <c r="L1" s="84"/>
      <c r="M1" s="28"/>
      <c r="N1" s="10" t="s">
        <v>56</v>
      </c>
      <c r="O1" s="110" t="str">
        <f>B1</f>
        <v>PB16040050</v>
      </c>
      <c r="P1" s="110"/>
      <c r="Q1" s="111"/>
      <c r="R1" s="10" t="s">
        <v>57</v>
      </c>
      <c r="S1" s="110" t="str">
        <f>F1</f>
        <v xml:space="preserve">GREAT BARRIER REEF </v>
      </c>
      <c r="T1" s="110"/>
      <c r="U1" s="111"/>
      <c r="V1" s="10" t="s">
        <v>181</v>
      </c>
      <c r="W1" s="83">
        <f ca="1">J1</f>
        <v>45448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>BAG #2</v>
      </c>
      <c r="C2" s="110"/>
      <c r="D2" s="111"/>
      <c r="E2" s="10" t="s">
        <v>58</v>
      </c>
      <c r="F2" s="86">
        <v>947761</v>
      </c>
      <c r="G2" s="86"/>
      <c r="H2" s="87"/>
      <c r="I2" s="10" t="s">
        <v>59</v>
      </c>
      <c r="J2" s="85">
        <v>45434</v>
      </c>
      <c r="K2" s="86"/>
      <c r="L2" s="87"/>
      <c r="M2" s="28"/>
      <c r="N2" s="10" t="s">
        <v>100</v>
      </c>
      <c r="O2" s="110" t="str">
        <f>IF(B2="","",B2)</f>
        <v>BAG #2</v>
      </c>
      <c r="P2" s="110"/>
      <c r="Q2" s="111"/>
      <c r="R2" s="10" t="s">
        <v>58</v>
      </c>
      <c r="S2" s="110">
        <f>IF(F2="","",F2)</f>
        <v>947761</v>
      </c>
      <c r="T2" s="110"/>
      <c r="U2" s="111"/>
      <c r="V2" s="10" t="s">
        <v>59</v>
      </c>
      <c r="W2" s="130">
        <f>J2</f>
        <v>45434</v>
      </c>
      <c r="X2" s="110"/>
      <c r="Y2" s="111"/>
    </row>
    <row r="3" spans="1:25" ht="20.100000000000001" customHeight="1" x14ac:dyDescent="0.25">
      <c r="A3" s="112" t="s">
        <v>197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21" t="str">
        <f>A3</f>
        <v>MUST HAVE STRONG WATER TIGHT SEALS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5</v>
      </c>
      <c r="P7" s="87"/>
      <c r="Q7" s="10" t="str">
        <f>IF(ISNUMBER(SEARCH("roll",O8,1)),"Per Roll","Per Carton")</f>
        <v>Per Carton</v>
      </c>
      <c r="R7" s="86">
        <v>2500</v>
      </c>
      <c r="S7" s="87"/>
      <c r="T7" s="10" t="str">
        <f>IF(ISNUMBER(SEARCH("bag",O8,1)),"Total Bags","Total Sheets")</f>
        <v>Total Bags</v>
      </c>
      <c r="U7" s="110">
        <f>R7*O7</f>
        <v>12500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160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50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33" t="s">
        <v>164</v>
      </c>
      <c r="P8" s="134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31" t="str">
        <f>IF(AND(W8="Gusset",X9=""), "None",IF(AND(W8="Centrefold",X9=""),"None",IF(W8="Gusset","G",IF(W8="Centrefold","CF"))))</f>
        <v>None</v>
      </c>
      <c r="Y8" s="132"/>
    </row>
    <row r="9" spans="1:25" ht="20.100000000000001" customHeight="1" x14ac:dyDescent="0.3">
      <c r="A9" s="15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35" t="str">
        <f>IF(O8="Poly Bag","PB",IF(O8="Poly Bag Roll","PBR",IF(O8="Centrefold Roll","CFR",IF(O8="Sheet","S",IF(O8="Sheet Roll","SR")))))</f>
        <v>PB</v>
      </c>
      <c r="P9" s="136"/>
      <c r="Q9" s="16"/>
      <c r="R9" s="29">
        <v>160</v>
      </c>
      <c r="S9" s="17" t="s">
        <v>78</v>
      </c>
      <c r="T9" s="29">
        <v>400</v>
      </c>
      <c r="U9" s="17" t="s">
        <v>78</v>
      </c>
      <c r="V9" s="29">
        <v>50</v>
      </c>
      <c r="W9" s="16"/>
      <c r="X9" s="144"/>
      <c r="Y9" s="145"/>
    </row>
    <row r="10" spans="1:25" ht="20.100000000000001" customHeight="1" x14ac:dyDescent="0.25">
      <c r="A10" s="10" t="s">
        <v>51</v>
      </c>
      <c r="B10" s="86">
        <v>6</v>
      </c>
      <c r="C10" s="87"/>
      <c r="D10" s="46" t="s">
        <v>134</v>
      </c>
      <c r="E10" s="100">
        <f>IF(ISNUMBER(SEARCH("sheet",O8,1)),((R9*T9*H8/540000)*U7/2000*1.3),((R9*T9*H8/540000)*U7/1000*1.08))</f>
        <v>80.000000000000014</v>
      </c>
      <c r="F10" s="101"/>
      <c r="G10" s="10" t="s">
        <v>53</v>
      </c>
      <c r="H10" s="104">
        <f>IF(ISNUMBER(SEARCH("sheet",O8,1)),(U7*T9/2000*1.08),(U7*T9/1000*1.08))</f>
        <v>5400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33" t="s">
        <v>44</v>
      </c>
      <c r="P10" s="134"/>
      <c r="Q10" s="13" t="s">
        <v>50</v>
      </c>
      <c r="R10" s="131" t="str">
        <f>IF(K11="NONE","None",IF(K11="INLINE","Yes",IF(K11="OUT OF LINE","Yes")))</f>
        <v>None</v>
      </c>
      <c r="S10" s="131"/>
      <c r="T10" s="13" t="s">
        <v>100</v>
      </c>
      <c r="U10" s="138" t="s">
        <v>196</v>
      </c>
      <c r="V10" s="138"/>
      <c r="W10" s="138"/>
      <c r="X10" s="138"/>
      <c r="Y10" s="139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13.333333333333336</v>
      </c>
      <c r="F11" s="103"/>
      <c r="G11" s="10" t="s">
        <v>15</v>
      </c>
      <c r="H11" s="102">
        <f>H10/B10</f>
        <v>900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40"/>
      <c r="V11" s="140"/>
      <c r="W11" s="140"/>
      <c r="X11" s="140"/>
      <c r="Y11" s="141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37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5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37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150</v>
      </c>
      <c r="P16" s="87"/>
      <c r="Q16" s="10" t="s">
        <v>105</v>
      </c>
      <c r="R16" s="86" t="s">
        <v>23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47"/>
      <c r="Y16" s="148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47"/>
      <c r="Y17" s="148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47"/>
      <c r="Y18" s="148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/>
      <c r="B23" s="78"/>
      <c r="C23" s="7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37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199</v>
      </c>
      <c r="P25" s="33"/>
      <c r="Q25" s="9">
        <v>28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6" t="s">
        <v>132</v>
      </c>
      <c r="H26" s="146"/>
      <c r="I26" s="146" t="s">
        <v>131</v>
      </c>
      <c r="J26" s="146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200</v>
      </c>
      <c r="C27" s="7"/>
      <c r="D27" s="149">
        <v>14.6</v>
      </c>
      <c r="E27" s="150">
        <v>5.6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42"/>
      <c r="G29" s="142"/>
      <c r="H29" s="142"/>
      <c r="I29" s="142"/>
      <c r="J29" s="142"/>
      <c r="K29" s="91"/>
      <c r="L29" s="143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45478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45469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0943BF7-1C5C-47A1-BCA4-750448E083B5}"/>
</file>

<file path=customXml/itemProps2.xml><?xml version="1.0" encoding="utf-8"?>
<ds:datastoreItem xmlns:ds="http://schemas.openxmlformats.org/officeDocument/2006/customXml" ds:itemID="{DC9E65D7-CDB8-41DD-BEEC-72D311826C52}"/>
</file>

<file path=customXml/itemProps3.xml><?xml version="1.0" encoding="utf-8"?>
<ds:datastoreItem xmlns:ds="http://schemas.openxmlformats.org/officeDocument/2006/customXml" ds:itemID="{69E8C6D0-2A66-47CE-96ED-D1FDB7609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2024-05-01T01:18:40Z</cp:lastPrinted>
  <dcterms:created xsi:type="dcterms:W3CDTF">2019-11-27T23:28:06Z</dcterms:created>
  <dcterms:modified xsi:type="dcterms:W3CDTF">2024-06-05T05:32:26Z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