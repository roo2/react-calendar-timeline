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D436379-7FB0-4488-AF90-02F5536FA7C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H11" i="1" l="1"/>
  <c r="H8" i="1"/>
  <c r="E10" i="1" s="1"/>
  <c r="E11" i="1" l="1"/>
  <c r="B8" i="1"/>
  <c r="D9" i="1" s="1"/>
  <c r="S2" i="1"/>
  <c r="O2" i="1"/>
  <c r="C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<sst xmlns="http://schemas.openxmlformats.org/spreadsheetml/2006/main" count="308" uniqueCount="204">
  <si>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</si>
  <si>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</si>
  <si>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</si>
  <si>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</si>
  <si>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</si>
  <si>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</si>
  <si>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</si>
  <si>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</si>
  <si>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</si>
  <si>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</si>
  <si>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</si>
  <si>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</si>
  <si>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</si>
  <si>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</si>
  <si>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</si>
  <si>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</si>
  <si>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</si>
  <si>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</si>
  <si>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</si>
  <si>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</si>
  <si>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</si>
  <si>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</si>
  <si>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</si>
  <si>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</si>
  <si>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</si>
  <si>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</si>
  <si>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</si>
  <si>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</si>
  <si>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</si>
  <si>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</si>
  <si>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</si>
  <si>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</si>
  <si>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</si>
  <si>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</si>
  <si>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</si>
  <si>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</si>
  <si>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</si>
  <si>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</si>
  <si>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</si>
  <si>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</si>
  <si>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</si>
  <si>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</si>
  <si>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</si>
  <si>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</si>
  <si>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</si>
  <si>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</si>
  <si>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</si>
  <si>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</si>
  <si>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</si>
  <si>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</si>
  <si>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</si>
  <si>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</si>
  <si>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</si>
  <si>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</si>
  <si>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</si>
  <si>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</si>
  <si>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</si>
  <si>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</si>
  <si>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</si>
  <si>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</si>
  <si>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</si>
  <si>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</si>
  <si>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</si>
  <si>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</si>
  <si>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</si>
  <si>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</si>
  <si>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</si>
  <si>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</si>
  <si>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</si>
  <si>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</si>
  <si>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</si>
  <si>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</si>
  <si>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</si>
  <si>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</si>
  <si>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</si>
  <si>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</si>
  <si>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</si>
  <si>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</si>
  <si>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</si>
  <si>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</si>
  <si>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</si>
  <si>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</si>
  <si>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</si>
  <si>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</si>
  <si>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</si>
  <si>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</si>
  <si>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</si>
  <si>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</si>
  <si>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</si>
  <si>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</si>
  <si>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</si>
  <si>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</si>
  <si>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</si>
  <si>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</si>
  <si>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</si>
  <si>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</si>
  <si>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</si>
  <si>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</si>
  <si>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</si>
  <si>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</si>
  <si>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</si>
  <si>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</si>
  <si>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</si>
  <si>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</si>
  <si>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</si>
  <si>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</si>
  <si>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</si>
  <si>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</si>
  <si>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</si>
  <si>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</si>
  <si>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</si>
  <si>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</si>
  <si>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</si>
  <si>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</si>
  <si>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</si>
  <si>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</si>
  <si>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</si>
  <si>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</si>
  <si>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</si>
  <si>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</si>
  <si>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</si>
  <si>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</si>
  <si>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</si>
  <si>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</si>
  <si>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</si>
  <si>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</si>
  <si>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</si>
  <si>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</si>
  <si>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</si>
  <si>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</si>
  <si>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</si>
  <si>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</si>
  <si>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</si>
  <si>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</si>
  <si>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</si>
  <si>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</si>
  <si>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</si>
  <si>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</si>
  <si>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</si>
  <si>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</si>
  <si>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</si>
  <si>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</si>
  <si>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</si>
  <si>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</si>
  <si>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</si>
  <si>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</si>
  <si>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</si>
  <si>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</si>
  <si>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</si>
  <si>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</si>
  <si>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</si>
  <si>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</si>
  <si>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</si>
  <si>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</si>
  <si>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</si>
  <si>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</si>
  <si>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</si>
  <si>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</si>
  <si>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</si>
  <si>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</si>
  <si>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</si>
  <si>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</si>
  <si>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</si>
  <si>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</si>
  <si>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</si>
  <si>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</si>
  <si>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</si>
  <si>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</si>
  <si>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</si>
  <si>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</si>
  <si>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</si>
  <si>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</si>
  <si>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</si>
  <si>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</si>
  <si>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</si>
  <si>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</si>
  <si>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</si>
  <si>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</si>
  <si>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</si>
  <si>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</si>
  <si>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</si>
  <si>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</si>
  <si>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</si>
  <si>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</si>
  <si>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</si>
  <si>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</si>
  <si>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</si>
  <si>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</si>
  <si>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</si>
  <si>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</si>
  <si>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</si>
  <si>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</si>
  <si>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</si>
  <si>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35-38um</t>
  </si>
  <si>
    <t xml:space="preserve"> +/- 10mm</t>
  </si>
  <si>
    <t>LIMAX</t>
  </si>
  <si>
    <t>CAIRNS HOSPITAL</t>
  </si>
  <si>
    <t>"MEDICAL RECORDS TRANSPORT"</t>
  </si>
  <si>
    <t>PB455BL</t>
  </si>
  <si>
    <t>ANTIBLOCK</t>
  </si>
  <si>
    <t>BANANA BLUE</t>
  </si>
  <si>
    <t>BLUE REMILL</t>
  </si>
  <si>
    <t xml:space="preserve">SOLID BLUE - MUST NOT BE SEE THROUGH </t>
  </si>
  <si>
    <t>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</si>
</sst>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PB4555457500P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180</v>
      </c>
      <c r="J1" s="84">
        <f ca="1">TODAY()</f>
        <v>45932</v>
      </c>
      <c r="K1" s="84"/>
      <c r="L1" s="85"/>
      <c r="M1" s="29"/>
      <c r="N1" s="11" t="s">
        <v>56</v>
      </c>
      <c r="O1" s="111" t="str">
        <f>B1</f>
        <v>PB4555457500P</v>
      </c>
      <c r="P1" s="111"/>
      <c r="Q1" s="112"/>
      <c r="R1" s="11" t="s">
        <v>57</v>
      </c>
      <c r="S1" s="111" t="str">
        <f>F1</f>
        <v>CAIRNS HOSPITAL</v>
      </c>
      <c r="T1" s="111"/>
      <c r="U1" s="112"/>
      <c r="V1" s="11" t="s">
        <v>180</v>
      </c>
      <c r="W1" s="84">
        <f ca="1">J1</f>
        <v>45932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PB455BL</v>
      </c>
      <c r="C2" s="111"/>
      <c r="D2" s="112"/>
      <c r="E2" s="11" t="s">
        <v>58</v>
      </c>
      <c r="F2" s="87">
        <v>950488</v>
      </c>
      <c r="G2" s="87"/>
      <c r="H2" s="88"/>
      <c r="I2" s="11" t="s">
        <v>59</v>
      </c>
      <c r="J2" s="86" t="s">
        <v>191</v>
      </c>
      <c r="K2" s="87"/>
      <c r="L2" s="88"/>
      <c r="M2" s="29"/>
      <c r="N2" s="11" t="s">
        <v>100</v>
      </c>
      <c r="O2" s="111" t="str">
        <f>IF(B2="","",B2)</f>
        <v>PB455BL</v>
      </c>
      <c r="P2" s="111"/>
      <c r="Q2" s="112"/>
      <c r="R2" s="11" t="s">
        <v>58</v>
      </c>
      <c r="S2" s="111">
        <f>IF(F2="","",F2)</f>
        <v>950488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 t="s">
        <v>202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149</v>
      </c>
      <c r="C7" s="108"/>
      <c r="D7" s="108"/>
      <c r="E7" s="108"/>
      <c r="F7" s="108"/>
      <c r="G7" s="108"/>
      <c r="H7" s="108"/>
      <c r="I7" s="109"/>
      <c r="J7" s="75" t="s">
        <v>178</v>
      </c>
      <c r="K7" s="75"/>
      <c r="L7" s="73"/>
      <c r="M7" s="29"/>
      <c r="N7" s="11" t="str">
        <f>IF(ISNUMBER(SEARCH("roll",O8,1)),"No. Rolls","No. Cartons")</f>
        <v>No. Cartons</v>
      </c>
      <c r="O7" s="87">
        <v>40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455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75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163</v>
      </c>
      <c r="P8" s="126"/>
      <c r="Q8" s="14" t="s">
        <v>188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193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455</v>
      </c>
      <c r="S9" s="18" t="s">
        <v>78</v>
      </c>
      <c r="T9" s="30">
        <v>545</v>
      </c>
      <c r="U9" s="18" t="s">
        <v>78</v>
      </c>
      <c r="V9" s="30">
        <v>75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10</v>
      </c>
      <c r="C10" s="88"/>
      <c r="D10" s="47" t="s">
        <v>134</v>
      </c>
      <c r="E10" s="101">
        <f>IF(ISNUMBER(SEARCH("sheet",O8,1)),((R9*T9*H8/540000)*U7/2000*1.3),((R9*T9*H8/540000)*U7/1000*1.08))</f>
        <v>371.96249999999998</v>
      </c>
      <c r="F10" s="102"/>
      <c r="G10" s="11" t="s">
        <v>53</v>
      </c>
      <c r="H10" s="105">
        <f>IF(ISNUMBER(SEARCH("sheet",O8,1)),(U7*T9/2000*1.08),(U7*T9/1000*1.08))</f>
        <v>5886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Yes</v>
      </c>
      <c r="S10" s="123"/>
      <c r="T10" s="14" t="s">
        <v>100</v>
      </c>
      <c r="U10" s="130" t="s">
        <v>198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">
        <v>203</v>
      </c>
      <c r="C11" s="112"/>
      <c r="D11" s="11" t="s">
        <v>135</v>
      </c>
      <c r="E11" s="103">
        <f>E10/B10</f>
        <v>37.196249999999999</v>
      </c>
      <c r="F11" s="104"/>
      <c r="G11" s="11" t="s">
        <v>15</v>
      </c>
      <c r="H11" s="103">
        <f>H10/B10</f>
        <v>588.6</v>
      </c>
      <c r="I11" s="104"/>
      <c r="J11" s="11" t="s">
        <v>50</v>
      </c>
      <c r="K11" s="87" t="s">
        <v>65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>P</v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69</v>
      </c>
      <c r="C13" s="87"/>
      <c r="D13" s="88"/>
      <c r="E13" s="19" t="s">
        <v>61</v>
      </c>
      <c r="F13" s="87" t="s">
        <v>66</v>
      </c>
      <c r="G13" s="87"/>
      <c r="H13" s="88"/>
      <c r="I13" s="11" t="s">
        <v>62</v>
      </c>
      <c r="J13" s="87" t="s">
        <v>176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40</v>
      </c>
      <c r="R13" s="11" t="s">
        <v>74</v>
      </c>
      <c r="S13" s="31" t="s">
        <v>138</v>
      </c>
      <c r="T13" s="11" t="s">
        <v>177</v>
      </c>
      <c r="U13" s="20">
        <v>5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 t="s">
        <v>197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23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146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145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144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143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201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">
        <v>199</v>
      </c>
      <c r="B22" s="74"/>
      <c r="C22" s="77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200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175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179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181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189</v>
      </c>
      <c r="X27" s="24" t="s">
        <v>190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181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189</v>
      </c>
      <c r="X44" s="24" t="s">
        <v>190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149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192</v>
      </c>
      <c r="T19" s="1"/>
      <c r="V19" s="1"/>
    </row>
    <row r="20" spans="1:23" x14ac:dyDescent="0.75">
      <c r="A20" s="55" t="s">
        <v>155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165</v>
      </c>
      <c r="T20" s="1"/>
      <c r="V20" s="1"/>
    </row>
    <row r="21" spans="1:23" x14ac:dyDescent="0.7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166</v>
      </c>
      <c r="T21" s="1"/>
      <c r="V21" s="1"/>
      <c r="W21" s="2"/>
    </row>
    <row r="22" spans="1:23" x14ac:dyDescent="0.7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167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168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169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170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171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182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184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172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176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154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147</v>
      </c>
    </row>
    <row r="60" spans="1:20" x14ac:dyDescent="0.75">
      <c r="A60" s="55" t="s">
        <v>148</v>
      </c>
      <c r="O60" s="1"/>
      <c r="Q60" s="1"/>
      <c r="R60" s="3"/>
      <c r="S60" s="1"/>
    </row>
    <row r="61" spans="1:20" x14ac:dyDescent="0.75">
      <c r="A61" s="55" t="s">
        <v>149</v>
      </c>
      <c r="O61" s="1"/>
      <c r="Q61" s="1"/>
      <c r="R61" s="1"/>
      <c r="S61" s="1"/>
    </row>
    <row r="62" spans="1:20" x14ac:dyDescent="0.75">
      <c r="A62" s="55" t="s">
        <v>150</v>
      </c>
      <c r="O62" s="1"/>
      <c r="Q62" s="1"/>
      <c r="R62" s="1"/>
      <c r="S62" s="1"/>
    </row>
    <row r="63" spans="1:20" x14ac:dyDescent="0.75">
      <c r="A63" s="55" t="s">
        <v>151</v>
      </c>
      <c r="O63" s="1"/>
      <c r="Q63" s="1"/>
      <c r="R63" s="1"/>
      <c r="S63" s="1"/>
      <c r="T63" s="1"/>
    </row>
    <row r="64" spans="1:20" x14ac:dyDescent="0.75">
      <c r="A64" s="55" t="s">
        <v>152</v>
      </c>
      <c r="O64" s="1"/>
      <c r="Q64" s="1"/>
      <c r="R64" s="1"/>
      <c r="S64" s="1"/>
      <c r="T64" s="1"/>
    </row>
    <row r="65" spans="1:20" x14ac:dyDescent="0.75">
      <c r="A65" s="55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D09D6A-031E-4D65-A001-A510F66455E7}"/>
</file>

<file path=customXml/itemProps2.xml><?xml version="1.0" encoding="utf-8"?>
<ds:datastoreItem xmlns:ds="http://schemas.openxmlformats.org/officeDocument/2006/customXml" ds:itemID="{82321ABE-F22C-48DC-8B23-6B17D515D96E}"/>
</file>

<file path=customXml/itemProps3.xml><?xml version="1.0" encoding="utf-8"?>
<ds:datastoreItem xmlns:ds="http://schemas.openxmlformats.org/officeDocument/2006/customXml" ds:itemID="{4A9317E8-E8D7-4A7D-B05B-A18496AA86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2025-10-02T00:34:01Z</cp:lastPrinted>
  <dcterms:created xsi:type="dcterms:W3CDTF">2019-11-27T23:28:06Z</dcterms:created>
  <dcterms:modified xsi:type="dcterms:W3CDTF">2025-10-02T01:32:25Z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