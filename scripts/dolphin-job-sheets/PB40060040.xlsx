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86028990-C5A8-4B70-ACEA-788E9978406F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<sst xmlns="http://schemas.openxmlformats.org/spreadsheetml/2006/main" count="303" uniqueCount="198">
  <si>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</si>
  <si>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</si>
  <si>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</si>
  <si>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</si>
  <si>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</si>
  <si>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</si>
  <si>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</si>
  <si>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</si>
  <si>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</si>
  <si>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</si>
  <si>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</si>
  <si>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</si>
  <si>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</si>
  <si>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</si>
  <si>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</si>
  <si>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</si>
  <si>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</si>
  <si>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</si>
  <si>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</si>
  <si>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</si>
  <si>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</si>
  <si>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</si>
  <si>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</si>
  <si>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</si>
  <si>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</si>
  <si>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</si>
  <si>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</si>
  <si>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</si>
  <si>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</si>
  <si>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</si>
  <si>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</si>
  <si>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</si>
  <si>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</si>
  <si>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</si>
  <si>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</si>
  <si>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</si>
  <si>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</si>
  <si>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</si>
  <si>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</si>
  <si>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</si>
  <si>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</si>
  <si>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</si>
  <si>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</si>
  <si>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</si>
  <si>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</si>
  <si>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</si>
  <si>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</si>
  <si>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</si>
  <si>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</si>
  <si>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</si>
  <si>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</si>
  <si>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</si>
  <si>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</si>
  <si>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</si>
  <si>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</si>
  <si>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</si>
  <si>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</si>
  <si>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</si>
  <si>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</si>
  <si>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</si>
  <si>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</si>
  <si>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</si>
  <si>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</si>
  <si>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</si>
  <si>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</si>
  <si>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</si>
  <si>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</si>
  <si>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</si>
  <si>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</si>
  <si>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</si>
  <si>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</si>
  <si>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</si>
  <si>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</si>
  <si>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</si>
  <si>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</si>
  <si>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</si>
  <si>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</si>
  <si>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</si>
  <si>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</si>
  <si>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</si>
  <si>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</si>
  <si>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</si>
  <si>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</si>
  <si>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</si>
  <si>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</si>
  <si>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</si>
  <si>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</si>
  <si>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</si>
  <si>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</si>
  <si>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</si>
  <si>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</si>
  <si>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</si>
  <si>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</si>
  <si>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</si>
  <si>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</si>
  <si>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</si>
  <si>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</si>
  <si>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</si>
  <si>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</si>
  <si>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</si>
  <si>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</si>
  <si>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</si>
  <si>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</si>
  <si>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</si>
  <si>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</si>
  <si>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</si>
  <si>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</si>
  <si>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</si>
  <si>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</si>
  <si>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</si>
  <si>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</si>
  <si>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</si>
  <si>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</si>
  <si>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</si>
  <si>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</si>
  <si>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</si>
  <si>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</si>
  <si>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</si>
  <si>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</si>
  <si>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</si>
  <si>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</si>
  <si>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</si>
  <si>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</si>
  <si>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</si>
  <si>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</si>
  <si>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</si>
  <si>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</si>
  <si>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</si>
  <si>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</si>
  <si>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</si>
  <si>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</si>
  <si>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</si>
  <si>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</si>
  <si>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</si>
  <si>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</si>
  <si>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</si>
  <si>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</si>
  <si>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</si>
  <si>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</si>
  <si>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</si>
  <si>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</si>
  <si>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</si>
  <si>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</si>
  <si>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</si>
  <si>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</si>
  <si>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</si>
  <si>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</si>
  <si>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</si>
  <si>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</si>
  <si>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</si>
  <si>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</si>
  <si>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</si>
  <si>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</si>
  <si>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</si>
  <si>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</si>
  <si>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</si>
  <si>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</si>
  <si>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</si>
  <si>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</si>
  <si>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</si>
  <si>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</si>
  <si>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</si>
  <si>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</si>
  <si>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</si>
  <si>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</si>
  <si>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</si>
  <si>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</si>
  <si>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</si>
  <si>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</si>
  <si>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</si>
  <si>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</si>
  <si>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</si>
  <si>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</si>
  <si>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</si>
  <si>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</si>
  <si>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</si>
  <si>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</si>
  <si>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</si>
  <si>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</si>
  <si>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</si>
  <si>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</si>
  <si>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</si>
  <si>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</si>
  <si>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</si>
  <si>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</si>
  <si>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</si>
  <si>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</si>
  <si>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</si>
  <si>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</si>
  <si>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</si>
  <si>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</si>
  <si>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</si>
  <si>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</si>
  <si>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</si>
  <si>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</si>
  <si>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NEW ITEM</t>
  </si>
  <si>
    <t>SKINNYS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</si>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</sst>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PB40060040</v>
      </c>
      <c r="C1" s="123"/>
      <c r="D1" s="124"/>
      <c r="E1" s="12" t="s">
        <v>57</v>
      </c>
      <c r="F1" s="134" t="s">
        <v>196</v>
      </c>
      <c r="G1" s="134"/>
      <c r="H1" s="135"/>
      <c r="I1" s="13" t="s">
        <v>181</v>
      </c>
      <c r="J1" s="136">
        <f ca="1">TODAY()</f>
        <v>44013</v>
      </c>
      <c r="K1" s="136"/>
      <c r="L1" s="137"/>
      <c r="M1" s="34"/>
      <c r="N1" s="12" t="s">
        <v>56</v>
      </c>
      <c r="O1" s="123" t="str">
        <f>B1</f>
        <v>PB40060040</v>
      </c>
      <c r="P1" s="123"/>
      <c r="Q1" s="124"/>
      <c r="R1" s="12" t="s">
        <v>57</v>
      </c>
      <c r="S1" s="123" t="str">
        <f>F1</f>
        <v>SKINNYS</v>
      </c>
      <c r="T1" s="123"/>
      <c r="U1" s="124"/>
      <c r="V1" s="12" t="s">
        <v>181</v>
      </c>
      <c r="W1" s="136">
        <f ca="1">J1</f>
        <v>44013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937574</v>
      </c>
      <c r="G2" s="73"/>
      <c r="H2" s="74"/>
      <c r="I2" s="12" t="s">
        <v>59</v>
      </c>
      <c r="J2" s="139">
        <v>43996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937574</v>
      </c>
      <c r="T2" s="123"/>
      <c r="U2" s="124"/>
      <c r="V2" s="12" t="s">
        <v>59</v>
      </c>
      <c r="W2" s="138">
        <f>J2</f>
        <v>43996</v>
      </c>
      <c r="X2" s="123"/>
      <c r="Y2" s="124"/>
    </row>
    <row r="3" spans="1:28" ht="20.100000000000001" customHeight="1" x14ac:dyDescent="0.25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NEW ITEM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20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3">
        <f>R7*O7</f>
        <v>10000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400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40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193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193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400</v>
      </c>
      <c r="S9" s="20" t="s">
        <v>78</v>
      </c>
      <c r="T9" s="35">
        <v>600</v>
      </c>
      <c r="U9" s="20" t="s">
        <v>78</v>
      </c>
      <c r="V9" s="35">
        <v>40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6</v>
      </c>
      <c r="C10" s="74"/>
      <c r="D10" s="54" t="s">
        <v>134</v>
      </c>
      <c r="E10" s="145">
        <f>IF(ISNUMBER(SEARCH("sheet",O8,1)),((R9*T9*H8/540000)*U7/2000*1.3),((R9*T9*H8/540000)*U7/1000*1.08))</f>
        <v>192</v>
      </c>
      <c r="F10" s="146"/>
      <c r="G10" s="12" t="s">
        <v>53</v>
      </c>
      <c r="H10" s="149">
        <f>IF(ISNUMBER(SEARCH("sheet",O8,1)),(U7*T9/2000*1.08),(U7*T9/1000*1.08))</f>
        <v>6480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32</v>
      </c>
      <c r="F11" s="148"/>
      <c r="G11" s="12" t="s">
        <v>15</v>
      </c>
      <c r="H11" s="147">
        <f>H10/B10</f>
        <v>1080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36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4" t="s">
        <v>4</v>
      </c>
      <c r="F16" s="164"/>
      <c r="G16" s="164" t="s">
        <v>5</v>
      </c>
      <c r="H16" s="164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5"/>
      <c r="B23" s="165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6"/>
      <c r="B24" s="167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197</v>
      </c>
      <c r="P25" s="39"/>
      <c r="Q25" s="10">
        <v>28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2" t="s">
        <v>116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6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1" t="s">
        <v>136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44044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44034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2416FE3-06A0-4ED3-A446-920EB61623EE}"/>
</file>

<file path=customXml/itemProps2.xml><?xml version="1.0" encoding="utf-8"?>
<ds:datastoreItem xmlns:ds="http://schemas.openxmlformats.org/officeDocument/2006/customXml" ds:itemID="{454DFF85-904A-4CA6-A77E-72B634A4620B}"/>
</file>

<file path=customXml/itemProps3.xml><?xml version="1.0" encoding="utf-8"?>
<ds:datastoreItem xmlns:ds="http://schemas.openxmlformats.org/officeDocument/2006/customXml" ds:itemID="{E3916761-4078-4E0E-B428-4F4E27451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2020-05-14T01:27:16Z</cp:lastPrinted>
  <dcterms:created xsi:type="dcterms:W3CDTF">2019-11-27T23:28:06Z</dcterms:created>
  <dcterms:modified xsi:type="dcterms:W3CDTF">2020-06-30T22:37:34Z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