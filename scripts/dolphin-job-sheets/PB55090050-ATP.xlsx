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1A45862C-AC65-4007-BF12-90DBFF9137EA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<sst xmlns="http://schemas.openxmlformats.org/spreadsheetml/2006/main" count="302" uniqueCount="198">
  <si>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</si>
  <si>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</si>
  <si>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</si>
  <si>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</si>
  <si>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</si>
  <si>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</si>
  <si>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</si>
  <si>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</si>
  <si>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</si>
  <si>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</si>
  <si>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</si>
  <si>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</si>
  <si>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</si>
  <si>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</si>
  <si>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</si>
  <si>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</si>
  <si>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</si>
  <si>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</si>
  <si>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</si>
  <si>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</si>
  <si>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</si>
  <si>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</si>
  <si>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</si>
  <si>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</si>
  <si>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</si>
  <si>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</si>
  <si>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</si>
  <si>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</si>
  <si>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</si>
  <si>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</si>
  <si>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</si>
  <si>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</si>
  <si>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</si>
  <si>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</si>
  <si>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</si>
  <si>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</si>
  <si>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</si>
  <si>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</si>
  <si>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</si>
  <si>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</si>
  <si>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</si>
  <si>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</si>
  <si>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</si>
  <si>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</si>
  <si>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</si>
  <si>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</si>
  <si>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</si>
  <si>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</si>
  <si>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</si>
  <si>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</si>
  <si>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</si>
  <si>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</si>
  <si>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</si>
  <si>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</si>
  <si>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</si>
  <si>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</si>
  <si>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</si>
  <si>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</si>
  <si>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</si>
  <si>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</si>
  <si>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</si>
  <si>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</si>
  <si>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</si>
  <si>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</si>
  <si>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</si>
  <si>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</si>
  <si>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</si>
  <si>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</si>
  <si>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</si>
  <si>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</si>
  <si>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</si>
  <si>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</si>
  <si>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</si>
  <si>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</si>
  <si>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</si>
  <si>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</si>
  <si>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</si>
  <si>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</si>
  <si>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</si>
  <si>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</si>
  <si>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</si>
  <si>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</si>
  <si>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</si>
  <si>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</si>
  <si>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</si>
  <si>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</si>
  <si>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</si>
  <si>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</si>
  <si>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</si>
  <si>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</si>
  <si>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</si>
  <si>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</si>
  <si>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</si>
  <si>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</si>
  <si>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</si>
  <si>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</si>
  <si>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</si>
  <si>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</si>
  <si>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</si>
  <si>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</si>
  <si>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</si>
  <si>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</si>
  <si>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</si>
  <si>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</si>
  <si>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</si>
  <si>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</si>
  <si>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</si>
  <si>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</si>
  <si>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</si>
  <si>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</si>
  <si>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</si>
  <si>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</si>
  <si>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</si>
  <si>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</si>
  <si>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</si>
  <si>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</si>
  <si>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</si>
  <si>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</si>
  <si>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</si>
  <si>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</si>
  <si>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</si>
  <si>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</si>
  <si>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</si>
  <si>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</si>
  <si>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</si>
  <si>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</si>
  <si>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</si>
  <si>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</si>
  <si>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</si>
  <si>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</si>
  <si>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</si>
  <si>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</si>
  <si>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</si>
  <si>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</si>
  <si>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</si>
  <si>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</si>
  <si>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</si>
  <si>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</si>
  <si>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</si>
  <si>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</si>
  <si>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</si>
  <si>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</si>
  <si>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</si>
  <si>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</si>
  <si>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</si>
  <si>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</si>
  <si>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</si>
  <si>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</si>
  <si>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</si>
  <si>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</si>
  <si>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</si>
  <si>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</si>
  <si>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</si>
  <si>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</si>
  <si>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</si>
  <si>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</si>
  <si>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</si>
  <si>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</si>
  <si>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</si>
  <si>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</si>
  <si>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</si>
  <si>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</si>
  <si>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</si>
  <si>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</si>
  <si>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</si>
  <si>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</si>
  <si>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</si>
  <si>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</si>
  <si>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</si>
  <si>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</si>
  <si>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</si>
  <si>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</si>
  <si>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</si>
  <si>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</si>
  <si>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</si>
  <si>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</si>
  <si>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</si>
  <si>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</si>
  <si>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</si>
  <si>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</si>
  <si>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</si>
  <si>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</si>
  <si>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</si>
  <si>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</si>
  <si>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</si>
  <si>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</si>
  <si>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</si>
  <si>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</si>
  <si>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</si>
  <si>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</si>
  <si>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</si>
  <si>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</si>
  <si>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</si>
  <si>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</si>
  <si>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LIMAX</t>
  </si>
  <si>
    <t xml:space="preserve"> +/- 10mm</t>
  </si>
  <si>
    <t>ATP SCIENCE</t>
  </si>
  <si>
    <t>NOT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</si>
</sst>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8" fillId="5" borderId="5" xfId="0" applyFont="1" applyFill="1" applyBorder="1" applyAlignment="1" applyProtection="1">
      <alignment horizontal="center"/>
      <protection locked="0"/>
    </xf>
    <xf numFmtId="0" fontId="18" fillId="5" borderId="6" xfId="0" applyFont="1" applyFill="1" applyBorder="1"/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8" t="str">
        <f>O9&amp;R9&amp;IF(X8="G","G","")&amp;IF(O8="Centrefold Roll","("&amp;E8&amp;")","")&amp;T9&amp;V9&amp;C22&amp;C23&amp;C24&amp;O11&amp;R11</f>
        <v>PB55090050</v>
      </c>
      <c r="C1" s="108"/>
      <c r="D1" s="109"/>
      <c r="E1" s="11" t="s">
        <v>57</v>
      </c>
      <c r="F1" s="119" t="s">
        <v>196</v>
      </c>
      <c r="G1" s="62"/>
      <c r="H1" s="63"/>
      <c r="I1" s="12" t="s">
        <v>181</v>
      </c>
      <c r="J1" s="120">
        <f ca="1">TODAY()</f>
        <v>45149</v>
      </c>
      <c r="K1" s="120"/>
      <c r="L1" s="121"/>
      <c r="M1" s="29"/>
      <c r="N1" s="11" t="s">
        <v>56</v>
      </c>
      <c r="O1" s="108" t="str">
        <f>B1</f>
        <v>PB55090050</v>
      </c>
      <c r="P1" s="108"/>
      <c r="Q1" s="109"/>
      <c r="R1" s="11" t="s">
        <v>57</v>
      </c>
      <c r="S1" s="108" t="str">
        <f>F1</f>
        <v>ATP SCIENCE</v>
      </c>
      <c r="T1" s="108"/>
      <c r="U1" s="109"/>
      <c r="V1" s="11" t="s">
        <v>181</v>
      </c>
      <c r="W1" s="120">
        <f ca="1">J1</f>
        <v>45149</v>
      </c>
      <c r="X1" s="120"/>
      <c r="Y1" s="121"/>
    </row>
    <row r="2" spans="1:25" ht="20.149999999999999" customHeight="1" x14ac:dyDescent="0.8">
      <c r="A2" s="11" t="s">
        <v>100</v>
      </c>
      <c r="B2" s="108" t="str">
        <f>IF(U10="","",U10)</f>
        <v/>
      </c>
      <c r="C2" s="108"/>
      <c r="D2" s="109"/>
      <c r="E2" s="11" t="s">
        <v>58</v>
      </c>
      <c r="F2" s="62">
        <v>946284</v>
      </c>
      <c r="G2" s="62"/>
      <c r="H2" s="63"/>
      <c r="I2" s="11" t="s">
        <v>59</v>
      </c>
      <c r="J2" s="123">
        <v>45170</v>
      </c>
      <c r="K2" s="62"/>
      <c r="L2" s="63"/>
      <c r="M2" s="29"/>
      <c r="N2" s="11" t="s">
        <v>100</v>
      </c>
      <c r="O2" s="108" t="str">
        <f>IF(B2="","",B2)</f>
        <v/>
      </c>
      <c r="P2" s="108"/>
      <c r="Q2" s="109"/>
      <c r="R2" s="11" t="s">
        <v>58</v>
      </c>
      <c r="S2" s="108">
        <f>IF(F2="","",F2)</f>
        <v>946284</v>
      </c>
      <c r="T2" s="108"/>
      <c r="U2" s="109"/>
      <c r="V2" s="11" t="s">
        <v>59</v>
      </c>
      <c r="W2" s="122">
        <f>J2</f>
        <v>45170</v>
      </c>
      <c r="X2" s="108"/>
      <c r="Y2" s="109"/>
    </row>
    <row r="3" spans="1:25" ht="20.149999999999999" customHeight="1" x14ac:dyDescent="0.75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>
        <f>A3</f>
        <v>0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24" t="s">
        <v>2</v>
      </c>
      <c r="B6" s="125"/>
      <c r="C6" s="125"/>
      <c r="D6" s="125"/>
      <c r="E6" s="125"/>
      <c r="F6" s="125"/>
      <c r="G6" s="125"/>
      <c r="H6" s="125"/>
      <c r="I6" s="125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5</v>
      </c>
      <c r="P7" s="63"/>
      <c r="Q7" s="11" t="str">
        <f>IF(ISNUMBER(SEARCH("roll",O8,1)),"Per Roll","Per Carton")</f>
        <v>Per Carton</v>
      </c>
      <c r="R7" s="62">
        <v>250</v>
      </c>
      <c r="S7" s="63"/>
      <c r="T7" s="11" t="str">
        <f>IF(ISNUMBER(SEARCH("bag",O8,1)),"Total Bags","Total Sheets")</f>
        <v>Total Bags</v>
      </c>
      <c r="U7" s="108">
        <f>R7*O7</f>
        <v>1250</v>
      </c>
      <c r="V7" s="109"/>
      <c r="W7" s="11" t="s">
        <v>102</v>
      </c>
      <c r="X7" s="62" t="s">
        <v>23</v>
      </c>
      <c r="Y7" s="63"/>
    </row>
    <row r="8" spans="1:25" ht="20.149999999999999" customHeight="1" x14ac:dyDescent="0.8">
      <c r="A8" s="13" t="s">
        <v>16</v>
      </c>
      <c r="B8" s="96">
        <f>R9</f>
        <v>550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52</v>
      </c>
      <c r="H8" s="96">
        <f>(IF(V9&lt;30,"30",V9))</f>
        <v>50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49999999999999" customHeight="1" x14ac:dyDescent="0.9">
      <c r="A9" s="16" t="s">
        <v>48</v>
      </c>
      <c r="B9" s="126" t="s">
        <v>195</v>
      </c>
      <c r="C9" s="127"/>
      <c r="D9" s="134" t="str">
        <f>IF(K10="Middle","RUN 2 UP",IF(AND(O8="Centrefold Roll",B8=380),"RUN 2 UP",""))</f>
        <v/>
      </c>
      <c r="E9" s="100"/>
      <c r="F9" s="101"/>
      <c r="G9" s="16" t="s">
        <v>48</v>
      </c>
      <c r="H9" s="126" t="s">
        <v>197</v>
      </c>
      <c r="I9" s="127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550</v>
      </c>
      <c r="S9" s="18" t="s">
        <v>78</v>
      </c>
      <c r="T9" s="30">
        <v>900</v>
      </c>
      <c r="U9" s="18" t="s">
        <v>78</v>
      </c>
      <c r="V9" s="30">
        <v>50</v>
      </c>
      <c r="W9" s="17"/>
      <c r="X9" s="88"/>
      <c r="Y9" s="89"/>
    </row>
    <row r="10" spans="1:25" ht="20.149999999999999" customHeight="1" x14ac:dyDescent="0.8">
      <c r="A10" s="11" t="s">
        <v>51</v>
      </c>
      <c r="B10" s="62">
        <v>3</v>
      </c>
      <c r="C10" s="63"/>
      <c r="D10" s="47" t="s">
        <v>134</v>
      </c>
      <c r="E10" s="128">
        <f>IF(ISNUMBER(SEARCH("sheet",O8,1)),((R9*T9*H8/540000)*U7/2000*1.3),((R9*T9*H8/540000)*U7/1000*1.08))</f>
        <v>61.875000000000007</v>
      </c>
      <c r="F10" s="129"/>
      <c r="G10" s="11" t="s">
        <v>53</v>
      </c>
      <c r="H10" s="132">
        <f>IF(ISNUMBER(SEARCH("sheet",O8,1)),(U7*T9/2000*1.08),(U7*T9/1000*1.08))</f>
        <v>1215</v>
      </c>
      <c r="I10" s="133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None</v>
      </c>
      <c r="S10" s="94"/>
      <c r="T10" s="14" t="s">
        <v>100</v>
      </c>
      <c r="U10" s="104"/>
      <c r="V10" s="104"/>
      <c r="W10" s="104"/>
      <c r="X10" s="104"/>
      <c r="Y10" s="105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30">
        <f>E10/B10</f>
        <v>20.625000000000004</v>
      </c>
      <c r="F11" s="131"/>
      <c r="G11" s="11" t="s">
        <v>15</v>
      </c>
      <c r="H11" s="130">
        <f>H10/B10</f>
        <v>405</v>
      </c>
      <c r="I11" s="131"/>
      <c r="J11" s="11" t="s">
        <v>50</v>
      </c>
      <c r="K11" s="62" t="s">
        <v>44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/>
      </c>
      <c r="S11" s="97"/>
      <c r="T11" s="13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9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5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52" t="s">
        <v>75</v>
      </c>
      <c r="W13" s="151"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47" t="s">
        <v>4</v>
      </c>
      <c r="F16" s="147"/>
      <c r="G16" s="147" t="s">
        <v>5</v>
      </c>
      <c r="H16" s="147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180</v>
      </c>
      <c r="P16" s="63"/>
      <c r="Q16" s="11" t="s">
        <v>105</v>
      </c>
      <c r="R16" s="62" t="s">
        <v>23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23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23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48"/>
      <c r="B23" s="148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49"/>
      <c r="B24" s="15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194</v>
      </c>
      <c r="P25" s="34"/>
      <c r="Q25" s="10">
        <v>22</v>
      </c>
      <c r="R25" s="10"/>
      <c r="S25" s="10"/>
      <c r="T25" s="10"/>
      <c r="U25" s="10"/>
      <c r="V25" s="10"/>
      <c r="W25" s="10">
        <v>18</v>
      </c>
      <c r="X25" s="10">
        <v>14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135" t="s">
        <v>116</v>
      </c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138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4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141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44" t="s">
        <v>136</v>
      </c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45180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45170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D6845C7-F3B1-4A01-8789-A19BB3E8A7A9}"/>
</file>

<file path=customXml/itemProps2.xml><?xml version="1.0" encoding="utf-8"?>
<ds:datastoreItem xmlns:ds="http://schemas.openxmlformats.org/officeDocument/2006/customXml" ds:itemID="{D89DF02B-2094-4A23-AECE-6F0E30BEF143}"/>
</file>

<file path=customXml/itemProps3.xml><?xml version="1.0" encoding="utf-8"?>
<ds:datastoreItem xmlns:ds="http://schemas.openxmlformats.org/officeDocument/2006/customXml" ds:itemID="{266B7485-94FC-487C-AFB6-AD03754BE3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2023-08-11T01:22:10Z</cp:lastPrinted>
  <dcterms:created xsi:type="dcterms:W3CDTF">2019-11-27T23:28:06Z</dcterms:created>
  <dcterms:modified xsi:type="dcterms:W3CDTF">2023-08-11T01:22:26Z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