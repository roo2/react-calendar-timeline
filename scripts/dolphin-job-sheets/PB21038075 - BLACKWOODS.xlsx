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750D1AE-5A18-4897-AAA4-B900858932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<sst xmlns="http://schemas.openxmlformats.org/spreadsheetml/2006/main" count="306" uniqueCount="202">
  <si>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</si>
  <si>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</si>
  <si>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</si>
  <si>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</si>
  <si>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</si>
  <si>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</si>
  <si>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</si>
  <si>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</si>
  <si>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</si>
  <si>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</si>
  <si>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</si>
  <si>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</si>
  <si>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</si>
  <si>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</si>
  <si>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</si>
  <si>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</si>
  <si>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</si>
  <si>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</si>
  <si>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</si>
  <si>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</si>
  <si>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</si>
  <si>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</si>
  <si>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</si>
  <si>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</si>
  <si>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</si>
  <si>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</si>
  <si>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</si>
  <si>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</si>
  <si>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</si>
  <si>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</si>
  <si>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</si>
  <si>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</si>
  <si>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</si>
  <si>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</si>
  <si>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</si>
  <si>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</si>
  <si>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</si>
  <si>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</si>
  <si>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</si>
  <si>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</si>
  <si>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</si>
  <si>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</si>
  <si>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</si>
  <si>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</si>
  <si>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</si>
  <si>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</si>
  <si>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</si>
  <si>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</si>
  <si>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</si>
  <si>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</si>
  <si>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</si>
  <si>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</si>
  <si>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</si>
  <si>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</si>
  <si>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</si>
  <si>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</si>
  <si>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</si>
  <si>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</si>
  <si>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</si>
  <si>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</si>
  <si>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</si>
  <si>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</si>
  <si>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</si>
  <si>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</si>
  <si>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</si>
  <si>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</si>
  <si>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</si>
  <si>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</si>
  <si>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</si>
  <si>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</si>
  <si>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</si>
  <si>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</si>
  <si>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</si>
  <si>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</si>
  <si>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</si>
  <si>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</si>
  <si>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</si>
  <si>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</si>
  <si>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</si>
  <si>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</si>
  <si>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</si>
  <si>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</si>
  <si>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</si>
  <si>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</si>
  <si>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</si>
  <si>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</si>
  <si>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</si>
  <si>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</si>
  <si>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</si>
  <si>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</si>
  <si>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</si>
  <si>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</si>
  <si>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</si>
  <si>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</si>
  <si>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</si>
  <si>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</si>
  <si>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</si>
  <si>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</si>
  <si>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</si>
  <si>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</si>
  <si>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</si>
  <si>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</si>
  <si>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</si>
  <si>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</si>
  <si>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</si>
  <si>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</si>
  <si>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</si>
  <si>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</si>
  <si>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</si>
  <si>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</si>
  <si>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</si>
  <si>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</si>
  <si>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</si>
  <si>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</si>
  <si>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</si>
  <si>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</si>
  <si>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</si>
  <si>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</si>
  <si>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</si>
  <si>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</si>
  <si>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</si>
  <si>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</si>
  <si>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</si>
  <si>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</si>
  <si>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</si>
  <si>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</si>
  <si>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</si>
  <si>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</si>
  <si>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</si>
  <si>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</si>
  <si>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</si>
  <si>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</si>
  <si>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</si>
  <si>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</si>
  <si>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</si>
  <si>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</si>
  <si>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</si>
  <si>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</si>
  <si>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</si>
  <si>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</si>
  <si>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</si>
  <si>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</si>
  <si>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</si>
  <si>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</si>
  <si>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</si>
  <si>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</si>
  <si>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</si>
  <si>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</si>
  <si>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</si>
  <si>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</si>
  <si>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</si>
  <si>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</si>
  <si>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</si>
  <si>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</si>
  <si>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</si>
  <si>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</si>
  <si>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</si>
  <si>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</si>
  <si>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</si>
  <si>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</si>
  <si>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</si>
  <si>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</si>
  <si>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</si>
  <si>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</si>
  <si>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</si>
  <si>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</si>
  <si>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</si>
  <si>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</si>
  <si>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</si>
  <si>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</si>
  <si>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</si>
  <si>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</si>
  <si>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</si>
  <si>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</si>
  <si>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</si>
  <si>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</si>
  <si>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</si>
  <si>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</si>
  <si>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</si>
  <si>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</si>
  <si>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</si>
  <si>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</si>
  <si>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</si>
  <si>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</si>
  <si>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</si>
  <si>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</si>
  <si>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</si>
  <si>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</si>
  <si>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</si>
  <si>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</si>
  <si>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</si>
  <si>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</si>
  <si>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</si>
  <si>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</si>
  <si>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</si>
  <si>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LIMAX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</si>
  <si>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</si>
  <si>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BLACKWOODS</t>
  </si>
  <si>
    <t>NEW ITEM - MUST HAVE WATER TIGHT SEALS - PLEASE CHECK FREQUENTLY</t>
  </si>
  <si>
    <t>PB21038075</t>
  </si>
  <si>
    <t>ANTIBLOCK</t>
  </si>
  <si>
    <t>LINE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</si>
</sst>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9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0" fillId="9" borderId="7" xfId="0" applyFont="1" applyFill="1" applyBorder="1" applyAlignment="1" applyProtection="1">
      <alignment horizontal="center" vertical="center" wrapText="1"/>
      <protection locked="0"/>
    </xf>
    <xf numFmtId="0" fontId="20" fillId="9" borderId="3" xfId="0" applyFont="1" applyFill="1" applyBorder="1" applyAlignment="1" applyProtection="1">
      <alignment horizontal="center" vertical="center" wrapText="1"/>
      <protection locked="0"/>
    </xf>
    <xf numFmtId="0" fontId="20" fillId="9" borderId="8" xfId="0" applyFont="1" applyFill="1" applyBorder="1" applyAlignment="1" applyProtection="1">
      <alignment horizontal="center" vertical="center" wrapText="1"/>
      <protection locked="0"/>
    </xf>
    <xf numFmtId="0" fontId="20" fillId="9" borderId="9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 applyProtection="1">
      <alignment horizontal="center" vertical="center" wrapText="1"/>
      <protection locked="0"/>
    </xf>
    <xf numFmtId="0" fontId="20" fillId="9" borderId="11" xfId="0" applyFont="1" applyFill="1" applyBorder="1" applyAlignment="1" applyProtection="1">
      <alignment horizontal="center" vertical="center" wrapText="1"/>
      <protection locked="0"/>
    </xf>
    <xf numFmtId="0" fontId="20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23" fillId="0" borderId="2" xfId="0" applyNumberFormat="1" applyFont="1" applyBorder="1" applyAlignment="1" applyProtection="1">
      <alignment horizontal="center"/>
      <protection locked="0"/>
    </xf>
    <xf numFmtId="14" fontId="23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1" fillId="5" borderId="2" xfId="0" applyFont="1" applyFill="1" applyBorder="1" applyAlignment="1" applyProtection="1">
      <alignment horizontal="center"/>
      <protection locked="0"/>
    </xf>
    <xf numFmtId="0" fontId="21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">
        <v>199</v>
      </c>
      <c r="C1" s="108"/>
      <c r="D1" s="109"/>
      <c r="E1" s="10" t="s">
        <v>57</v>
      </c>
      <c r="F1" s="121" t="s">
        <v>197</v>
      </c>
      <c r="G1" s="62"/>
      <c r="H1" s="63"/>
      <c r="I1" s="11" t="s">
        <v>181</v>
      </c>
      <c r="J1" s="131">
        <f ca="1">TODAY()</f>
        <v>45698</v>
      </c>
      <c r="K1" s="131"/>
      <c r="L1" s="132"/>
      <c r="M1" s="28"/>
      <c r="N1" s="10" t="s">
        <v>56</v>
      </c>
      <c r="O1" s="108" t="str">
        <f>B1</f>
        <v>PB21038075</v>
      </c>
      <c r="P1" s="108"/>
      <c r="Q1" s="109"/>
      <c r="R1" s="10" t="s">
        <v>57</v>
      </c>
      <c r="S1" s="108" t="str">
        <f>F1</f>
        <v>BLACKWOODS</v>
      </c>
      <c r="T1" s="108"/>
      <c r="U1" s="109"/>
      <c r="V1" s="10" t="s">
        <v>181</v>
      </c>
      <c r="W1" s="131">
        <f ca="1">J1</f>
        <v>45698</v>
      </c>
      <c r="X1" s="131"/>
      <c r="Y1" s="132"/>
    </row>
    <row r="2" spans="1:25" ht="20.100000000000001" customHeight="1" x14ac:dyDescent="0.35">
      <c r="A2" s="10" t="s">
        <v>100</v>
      </c>
      <c r="B2" s="110"/>
      <c r="C2" s="110"/>
      <c r="D2" s="111"/>
      <c r="E2" s="10" t="s">
        <v>58</v>
      </c>
      <c r="F2" s="62">
        <v>949246</v>
      </c>
      <c r="G2" s="62"/>
      <c r="H2" s="63"/>
      <c r="I2" s="10" t="s">
        <v>59</v>
      </c>
      <c r="J2" s="136">
        <v>45684</v>
      </c>
      <c r="K2" s="136"/>
      <c r="L2" s="137"/>
      <c r="M2" s="28"/>
      <c r="N2" s="10" t="s">
        <v>100</v>
      </c>
      <c r="O2" s="133" t="str">
        <f>IF(B2="","",B2)</f>
        <v/>
      </c>
      <c r="P2" s="133"/>
      <c r="Q2" s="134"/>
      <c r="R2" s="10" t="s">
        <v>58</v>
      </c>
      <c r="S2" s="108">
        <f>IF(F2="","",F2)</f>
        <v>949246</v>
      </c>
      <c r="T2" s="108"/>
      <c r="U2" s="109"/>
      <c r="V2" s="10" t="s">
        <v>59</v>
      </c>
      <c r="W2" s="135">
        <f>J2</f>
        <v>45684</v>
      </c>
      <c r="X2" s="108"/>
      <c r="Y2" s="109"/>
    </row>
    <row r="3" spans="1:25" ht="20.100000000000001" customHeight="1" x14ac:dyDescent="0.25">
      <c r="A3" s="112" t="s">
        <v>198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22" t="str">
        <f>A3</f>
        <v>NEW ITEM - MUST HAVE WATER TIGHT SEALS - PLEASE CHECK FREQUENTLY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30"/>
    </row>
    <row r="6" spans="1:25" ht="20.100000000000001" customHeight="1" x14ac:dyDescent="0.25">
      <c r="A6" s="138" t="s">
        <v>2</v>
      </c>
      <c r="B6" s="139"/>
      <c r="C6" s="139"/>
      <c r="D6" s="139"/>
      <c r="E6" s="139"/>
      <c r="F6" s="139"/>
      <c r="G6" s="139"/>
      <c r="H6" s="139"/>
      <c r="I6" s="139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40</v>
      </c>
      <c r="P7" s="63"/>
      <c r="Q7" s="10" t="str">
        <f>IF(ISNUMBER(SEARCH("roll",O8,1)),"Per Roll","Per Carton")</f>
        <v>Per Carton</v>
      </c>
      <c r="R7" s="62">
        <v>500</v>
      </c>
      <c r="S7" s="63"/>
      <c r="T7" s="10" t="str">
        <f>IF(ISNUMBER(SEARCH("bag",O8,1)),"Total Bags","Total Sheets")</f>
        <v>Total Bags</v>
      </c>
      <c r="U7" s="108">
        <f>R7*O7</f>
        <v>20000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210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v>75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55000000000000004">
      <c r="A9" s="58" t="s">
        <v>48</v>
      </c>
      <c r="B9" s="142" t="s">
        <v>196</v>
      </c>
      <c r="C9" s="143"/>
      <c r="D9" s="150" t="str">
        <f>IF(K10="Middle","RUN 2 UP",IF(AND(O8="Centrefold Roll",B8=380),"RUN 2 UP",""))</f>
        <v/>
      </c>
      <c r="E9" s="100"/>
      <c r="F9" s="101"/>
      <c r="G9" s="15" t="s">
        <v>48</v>
      </c>
      <c r="H9" s="140" t="s">
        <v>194</v>
      </c>
      <c r="I9" s="141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210</v>
      </c>
      <c r="S9" s="17" t="s">
        <v>78</v>
      </c>
      <c r="T9" s="29">
        <v>380</v>
      </c>
      <c r="U9" s="17" t="s">
        <v>78</v>
      </c>
      <c r="V9" s="29">
        <v>75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12</v>
      </c>
      <c r="C10" s="63"/>
      <c r="D10" s="46" t="s">
        <v>134</v>
      </c>
      <c r="E10" s="144">
        <f>IF(ISNUMBER(SEARCH("sheet",O8,1)),((R9*T9*H8/540000)*U7/2000*1.3),((R9*T9*H8/540000)*U7/1000*1.08))</f>
        <v>239.40000000000003</v>
      </c>
      <c r="F10" s="145"/>
      <c r="G10" s="10" t="s">
        <v>53</v>
      </c>
      <c r="H10" s="148">
        <f>IF(ISNUMBER(SEARCH("sheet",O8,1)),(U7*T9/2000*1.08),(U7*T9/1000*1.08))</f>
        <v>8208</v>
      </c>
      <c r="I10" s="149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46">
        <f>E10/B10</f>
        <v>19.950000000000003</v>
      </c>
      <c r="F11" s="147"/>
      <c r="G11" s="10" t="s">
        <v>15</v>
      </c>
      <c r="H11" s="146">
        <f>H10/B10</f>
        <v>684</v>
      </c>
      <c r="I11" s="147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40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63" t="s">
        <v>4</v>
      </c>
      <c r="F16" s="163"/>
      <c r="G16" s="163" t="s">
        <v>5</v>
      </c>
      <c r="H16" s="163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64" t="s">
        <v>200</v>
      </c>
      <c r="B23" s="164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5"/>
      <c r="B24" s="166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195</v>
      </c>
      <c r="P25" s="33"/>
      <c r="Q25" s="9">
        <v>30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167">
        <v>75</v>
      </c>
      <c r="E27" s="168">
        <v>2.6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51" t="s">
        <v>116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3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6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9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60" t="s">
        <v>136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2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45726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45719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1373EC7-40A5-4CEF-933E-DBD68F376152}"/>
</file>

<file path=customXml/itemProps2.xml><?xml version="1.0" encoding="utf-8"?>
<ds:datastoreItem xmlns:ds="http://schemas.openxmlformats.org/officeDocument/2006/customXml" ds:itemID="{E602C216-0CA0-4F79-8420-1C97C966AA8A}"/>
</file>

<file path=customXml/itemProps3.xml><?xml version="1.0" encoding="utf-8"?>
<ds:datastoreItem xmlns:ds="http://schemas.openxmlformats.org/officeDocument/2006/customXml" ds:itemID="{BB0995AC-ECD6-4007-B425-91986DC5D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2025-01-06T04:16:19Z</cp:lastPrinted>
  <dcterms:created xsi:type="dcterms:W3CDTF">2019-11-27T23:28:06Z</dcterms:created>
  <dcterms:modified xsi:type="dcterms:W3CDTF">2025-02-10T00:39:50Z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