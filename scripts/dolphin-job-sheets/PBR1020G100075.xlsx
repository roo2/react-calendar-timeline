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449915B0-1513-4727-BBA5-F75FD5EA6BF9}" xr6:coauthVersionLast="45" xr6:coauthVersionMax="45" xr10:uidLastSave="{00000000-0000-0000-0000-000000000000}"/>
  <bookViews>
    <workbookView xWindow="-19215" yWindow="1515" windowWidth="28740" windowHeight="1437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<sst xmlns="http://schemas.openxmlformats.org/spreadsheetml/2006/main" count="301" uniqueCount="199">
  <si>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</si>
  <si>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</si>
  <si>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</si>
  <si>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</si>
  <si>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</si>
  <si>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</si>
  <si>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</si>
  <si>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</si>
  <si>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</si>
  <si>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</si>
  <si>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</si>
  <si>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</si>
  <si>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</si>
  <si>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</si>
  <si>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</si>
  <si>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</si>
  <si>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</si>
  <si>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</si>
  <si>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</si>
  <si>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</si>
  <si>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</si>
  <si>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</si>
  <si>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</si>
  <si>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</si>
  <si>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</si>
  <si>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</si>
  <si>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</si>
  <si>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</si>
  <si>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</si>
  <si>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</si>
  <si>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</si>
  <si>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</si>
  <si>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</si>
  <si>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</si>
  <si>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</si>
  <si>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</si>
  <si>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</si>
  <si>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</si>
  <si>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</si>
  <si>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</si>
  <si>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</si>
  <si>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</si>
  <si>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</si>
  <si>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</si>
  <si>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</si>
  <si>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</si>
  <si>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</si>
  <si>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</si>
  <si>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</si>
  <si>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</si>
  <si>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</si>
  <si>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</si>
  <si>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</si>
  <si>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</si>
  <si>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</si>
  <si>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</si>
  <si>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</si>
  <si>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</si>
  <si>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</si>
  <si>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</si>
  <si>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</si>
  <si>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</si>
  <si>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</si>
  <si>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</si>
  <si>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</si>
  <si>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</si>
  <si>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</si>
  <si>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</si>
  <si>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</si>
  <si>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</si>
  <si>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</si>
  <si>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</si>
  <si>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</si>
  <si>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</si>
  <si>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</si>
  <si>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</si>
  <si>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</si>
  <si>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</si>
  <si>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</si>
  <si>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</si>
  <si>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</si>
  <si>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</si>
  <si>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</si>
  <si>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</si>
  <si>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</si>
  <si>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</si>
  <si>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</si>
  <si>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</si>
  <si>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</si>
  <si>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</si>
  <si>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</si>
  <si>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</si>
  <si>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</si>
  <si>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</si>
  <si>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</si>
  <si>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</si>
  <si>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</si>
  <si>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</si>
  <si>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</si>
  <si>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</si>
  <si>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</si>
  <si>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</si>
  <si>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</si>
  <si>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</si>
  <si>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</si>
  <si>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</si>
  <si>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</si>
  <si>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</si>
  <si>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</si>
  <si>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</si>
  <si>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</si>
  <si>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</si>
  <si>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</si>
  <si>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</si>
  <si>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</si>
  <si>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</si>
  <si>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</si>
  <si>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</si>
  <si>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</si>
  <si>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</si>
  <si>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</si>
  <si>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</si>
  <si>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</si>
  <si>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</si>
  <si>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</si>
  <si>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</si>
  <si>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</si>
  <si>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</si>
  <si>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</si>
  <si>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</si>
  <si>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</si>
  <si>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</si>
  <si>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</si>
  <si>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</si>
  <si>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</si>
  <si>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</si>
  <si>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</si>
  <si>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</si>
  <si>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</si>
  <si>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</si>
  <si>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</si>
  <si>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</si>
  <si>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</si>
  <si>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</si>
  <si>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</si>
  <si>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</si>
  <si>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</si>
  <si>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</si>
  <si>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</si>
  <si>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</si>
  <si>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</si>
  <si>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</si>
  <si>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</si>
  <si>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</si>
  <si>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</si>
  <si>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</si>
  <si>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</si>
  <si>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</si>
  <si>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</si>
  <si>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</si>
  <si>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</si>
  <si>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</si>
  <si>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</si>
  <si>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</si>
  <si>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</si>
  <si>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</si>
  <si>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</si>
  <si>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</si>
  <si>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</si>
  <si>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</si>
  <si>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</si>
  <si>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</si>
  <si>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</si>
  <si>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</si>
  <si>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</si>
  <si>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</si>
  <si>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</si>
  <si>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</si>
  <si>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</si>
  <si>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</si>
  <si>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</si>
  <si>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</si>
  <si>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</si>
  <si>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</si>
  <si>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</si>
  <si>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</si>
  <si>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</si>
  <si>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</si>
  <si>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</si>
  <si>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</si>
  <si>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</si>
  <si>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</si>
  <si>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</si>
  <si>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</si>
  <si>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</si>
  <si>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NOT OVER</t>
  </si>
  <si>
    <t>TINDALL DIVING</t>
  </si>
  <si>
    <t>MUST HAVE SOFT FILM - MUST HAVE GOOD SEALS - NO LEAKS</t>
  </si>
  <si>
    <t>(630+390)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</si>
</sst>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PBR1020G100075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44071</v>
      </c>
      <c r="K1" s="146"/>
      <c r="L1" s="147"/>
      <c r="M1" s="35"/>
      <c r="N1" s="18" t="s">
        <v>55</v>
      </c>
      <c r="O1" s="125" t="str">
        <f>B1</f>
        <v>PBR1020G100075</v>
      </c>
      <c r="P1" s="125"/>
      <c r="Q1" s="126"/>
      <c r="R1" s="18" t="s">
        <v>56</v>
      </c>
      <c r="S1" s="125" t="str">
        <f>F1</f>
        <v>TINDALL DIVING</v>
      </c>
      <c r="T1" s="125"/>
      <c r="U1" s="126"/>
      <c r="V1" s="18" t="s">
        <v>180</v>
      </c>
      <c r="W1" s="146">
        <f ca="1">J1</f>
        <v>44071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938195</v>
      </c>
      <c r="G2" s="104"/>
      <c r="H2" s="105"/>
      <c r="I2" s="18" t="s">
        <v>58</v>
      </c>
      <c r="J2" s="103">
        <v>44102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938195</v>
      </c>
      <c r="T2" s="125"/>
      <c r="U2" s="126"/>
      <c r="V2" s="18" t="s">
        <v>58</v>
      </c>
      <c r="W2" s="148">
        <f>J2</f>
        <v>44102</v>
      </c>
      <c r="X2" s="125"/>
      <c r="Y2" s="126"/>
    </row>
    <row r="3" spans="1:25" ht="20.100000000000001" customHeight="1" x14ac:dyDescent="0.25">
      <c r="A3" s="137" t="s">
        <v>197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MUST HAVE SOFT FILM - MUST HAVE GOOD SEALS - NO LEAKS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8</v>
      </c>
      <c r="P7" s="105"/>
      <c r="Q7" s="18" t="str">
        <f>IF(ISNUMBER(SEARCH("roll",O8,1)),"Per Roll","Per Carton")</f>
        <v>Per Roll</v>
      </c>
      <c r="R7" s="104">
        <v>200</v>
      </c>
      <c r="S7" s="105"/>
      <c r="T7" s="18" t="str">
        <f>IF(ISNUMBER(SEARCH("bag",O8,1)),"Total Bags","Total Sheets")</f>
        <v>Total Bags</v>
      </c>
      <c r="U7" s="125">
        <f>R7*O7</f>
        <v>1600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1020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(630+390)</v>
      </c>
      <c r="F8" s="116"/>
      <c r="G8" s="19" t="s">
        <v>51</v>
      </c>
      <c r="H8" s="113">
        <f>(IF(V9&lt;30,"30",V9))</f>
        <v>75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195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1020</v>
      </c>
      <c r="S9" s="25" t="s">
        <v>77</v>
      </c>
      <c r="T9" s="36">
        <v>1000</v>
      </c>
      <c r="U9" s="25" t="s">
        <v>77</v>
      </c>
      <c r="V9" s="36">
        <v>75</v>
      </c>
      <c r="W9" s="24"/>
      <c r="X9" s="110" t="s">
        <v>198</v>
      </c>
      <c r="Y9" s="111"/>
    </row>
    <row r="10" spans="1:25" ht="20.100000000000001" customHeight="1" x14ac:dyDescent="0.25">
      <c r="A10" s="18" t="s">
        <v>50</v>
      </c>
      <c r="B10" s="104">
        <v>8</v>
      </c>
      <c r="C10" s="105"/>
      <c r="D10" s="56" t="s">
        <v>133</v>
      </c>
      <c r="E10" s="127">
        <f>IF(ISNUMBER(SEARCH("sheet",O8,1)),((R9*T9*H8/540000)*U7/2000*1.3),((R9*T9*H8/540000)*U7/1000*1.08))</f>
        <v>244.8</v>
      </c>
      <c r="F10" s="128"/>
      <c r="G10" s="18" t="s">
        <v>52</v>
      </c>
      <c r="H10" s="131">
        <f>IF(ISNUMBER(SEARCH("sheet",O8,1)),(U7*T9/2000*1.08),(U7*T9/1000*1.08))</f>
        <v>1728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30.6</v>
      </c>
      <c r="F11" s="130"/>
      <c r="G11" s="18" t="s">
        <v>14</v>
      </c>
      <c r="H11" s="129">
        <f>H10/B10</f>
        <v>216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8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44102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44092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E50E390-2D6A-47B3-BAB9-F2F4BCB476F3}"/>
</file>

<file path=customXml/itemProps2.xml><?xml version="1.0" encoding="utf-8"?>
<ds:datastoreItem xmlns:ds="http://schemas.openxmlformats.org/officeDocument/2006/customXml" ds:itemID="{BC853958-DA81-4FBA-91D5-882F9864AFDD}"/>
</file>

<file path=customXml/itemProps3.xml><?xml version="1.0" encoding="utf-8"?>
<ds:datastoreItem xmlns:ds="http://schemas.openxmlformats.org/officeDocument/2006/customXml" ds:itemID="{3B2F7802-E13A-4B42-B874-11AD47394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2020-03-11T22:47:49Z</cp:lastPrinted>
  <dcterms:created xsi:type="dcterms:W3CDTF">2019-11-27T23:28:06Z</dcterms:created>
  <dcterms:modified xsi:type="dcterms:W3CDTF">2020-08-27T22:44:36Z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