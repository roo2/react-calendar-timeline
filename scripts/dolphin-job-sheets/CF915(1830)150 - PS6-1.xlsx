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3C9222D9-9848-492C-B476-94F7549FB4E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Sheet1!$A$1:$L$43,Sheet1!$A$45:$L$86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1" l="1"/>
  <c r="D9" i="1" l="1"/>
  <c r="E11" i="1" s="1"/>
  <c r="B2" i="1" l="1"/>
  <c r="B11" i="1" l="1"/>
  <c r="C25" i="1"/>
  <c r="A11" i="1" l="1"/>
  <c r="D8" i="1" l="1"/>
  <c r="K8" i="1" l="1"/>
  <c r="A24" i="1" l="1"/>
  <c r="C24" i="1" s="1"/>
  <c r="B1" i="1" s="1"/>
  <c r="F16" i="1" l="1"/>
  <c r="J1" i="1" l="1"/>
  <c r="A4" i="2" l="1"/>
  <c r="A5" i="2"/>
  <c r="H10" i="1" l="1"/>
  <c r="E10" i="1"/>
</calcChain>
</file>

<file path=xl/sharedStrings.xml><?xml version="1.0" encoding="utf-8"?>
<sst xmlns="http://schemas.openxmlformats.org/spreadsheetml/2006/main" count="226" uniqueCount="168">
  <si>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</si>
  <si>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</si>
  <si>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</si>
  <si>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</si>
  <si>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</si>
  <si>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</si>
  <si>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</si>
  <si>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</si>
  <si>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</si>
  <si>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</si>
  <si>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</si>
  <si>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</si>
  <si>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</si>
  <si>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</si>
  <si>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</si>
  <si>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</si>
  <si>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</si>
  <si>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</si>
  <si>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</si>
  <si>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</si>
  <si>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</si>
  <si>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</si>
  <si>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</si>
  <si>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</si>
  <si>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</si>
  <si>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</si>
  <si>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</si>
  <si>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</si>
  <si>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</si>
  <si>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</si>
  <si>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</si>
  <si>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</si>
  <si>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</si>
  <si>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</si>
  <si>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</si>
  <si>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</si>
  <si>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</si>
  <si>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</si>
  <si>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</si>
  <si>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</si>
  <si>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</si>
  <si>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</si>
  <si>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</si>
  <si>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</si>
  <si>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</si>
  <si>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</si>
  <si>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</si>
  <si>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</si>
  <si>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</si>
  <si>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</si>
  <si>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</si>
  <si>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</si>
  <si>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</si>
  <si>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</si>
  <si>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</si>
  <si>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</si>
  <si>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</si>
  <si>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</si>
  <si>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</si>
  <si>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</si>
  <si>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</si>
  <si>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</si>
  <si>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</si>
  <si>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</si>
  <si>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</si>
  <si>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</si>
  <si>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</si>
  <si>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</si>
  <si>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</si>
  <si>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</si>
  <si>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</si>
  <si>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</si>
  <si>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</si>
  <si>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</si>
  <si>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</si>
  <si>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</si>
  <si>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</si>
  <si>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</si>
  <si>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</si>
  <si>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</si>
  <si>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</si>
  <si>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</si>
  <si>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</si>
  <si>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</si>
  <si>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</si>
  <si>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</si>
  <si>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</si>
  <si>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</si>
  <si>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</si>
  <si>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</si>
  <si>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</si>
  <si>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</si>
  <si>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</si>
  <si>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</si>
  <si>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</si>
  <si>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</si>
  <si>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</si>
  <si>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</si>
  <si>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</si>
  <si>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</si>
  <si>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</si>
  <si>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</si>
  <si>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</si>
  <si>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</si>
  <si>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</si>
  <si>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</si>
  <si>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</si>
  <si>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</si>
  <si>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</si>
  <si>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</si>
  <si>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</si>
  <si>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</si>
  <si>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</si>
  <si>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</si>
  <si>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</si>
  <si>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</si>
  <si>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</si>
  <si>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</si>
  <si>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</si>
  <si>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</si>
  <si>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</si>
  <si>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</si>
  <si>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</si>
  <si>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</si>
  <si>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</si>
  <si>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</si>
  <si>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</si>
  <si>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</si>
  <si>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</si>
  <si>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</si>
  <si>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</si>
  <si>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</si>
  <si>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</si>
  <si>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</si>
  <si>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</si>
  <si>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</si>
  <si>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Centre Fold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</si>
  <si>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</si>
  <si>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</si>
  <si>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</si>
  <si>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</si>
  <si>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</si>
  <si>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</si>
  <si>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</si>
  <si>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</si>
  <si>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</si>
  <si>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</si>
  <si>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</si>
  <si>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</si>
  <si>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</si>
  <si>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</si>
  <si>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</si>
  <si>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</si>
  <si>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</si>
  <si>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</si>
  <si>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</si>
  <si>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</si>
  <si>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</si>
  <si>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</si>
  <si>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</si>
  <si>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</si>
  <si>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</si>
  <si>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</si>
  <si>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 xml:space="preserve"> +/- 10mm</t>
  </si>
  <si>
    <t>HYQUAL</t>
  </si>
  <si>
    <t>RUN AT 140UM</t>
  </si>
  <si>
    <t>#65</t>
  </si>
  <si>
    <t>ANTIBLOCK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</si>
</sst>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/>
    <xf numFmtId="0" fontId="3" fillId="0" borderId="11" xfId="0" applyFont="1" applyBorder="1"/>
    <xf numFmtId="0" fontId="3" fillId="5" borderId="4" xfId="0" applyFont="1" applyFill="1" applyBorder="1"/>
    <xf numFmtId="0" fontId="3" fillId="0" borderId="2" xfId="0" applyFont="1" applyBorder="1"/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6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0" fontId="14" fillId="0" borderId="10" xfId="0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10" fontId="9" fillId="0" borderId="4" xfId="0" applyNumberFormat="1" applyFont="1" applyBorder="1" applyAlignment="1" applyProtection="1">
      <alignment horizontal="center"/>
      <protection locked="0"/>
    </xf>
    <xf numFmtId="10" fontId="9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8" xfId="0" applyFill="1" applyBorder="1" applyAlignment="1">
      <alignment horizontal="center"/>
    </xf>
    <xf numFmtId="0" fontId="11" fillId="0" borderId="6" xfId="0" applyNumberFormat="1" applyFont="1" applyBorder="1" applyProtection="1">
      <protection locked="0"/>
    </xf>
    <xf numFmtId="0" fontId="11" fillId="0" borderId="6" xfId="1" applyNumberFormat="1" applyFont="1" applyBorder="1" applyProtection="1">
      <protection locked="0"/>
    </xf>
  </cellXfs>
  <cellStyles count="2">
    <cellStyle name="Normal" xfId="0" builtinId="0"/>
    <cellStyle name="Percent" xfId="1" builtinId="5"/>
  </cellStyles>
  <dxfs count="12"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A25" sqref="A25:B25"/>
    </sheetView>
  </sheetViews>
  <sheetFormatPr defaultRowHeight="15" x14ac:dyDescent="0.25"/>
  <sheetData>
    <row r="1" spans="1:14" ht="20.100000000000001" customHeight="1" x14ac:dyDescent="0.25">
      <c r="A1" s="10" t="s">
        <v>54</v>
      </c>
      <c r="B1" s="60" t="str">
        <f>IF(B7="Tube","T",IF(B7="Cont Sheet Roll","SR",IF(B7="Cont Centrefold","CFR")))&amp;B8&amp;IF(E8="","",E8)&amp;H8&amp;(IF(K11="INLINE","P",IF(K11="OUT OF LINE","P",IF(K11="NONE",""))))&amp;C24&amp;C25</f>
        <v>CFR915(1830)150WH0</v>
      </c>
      <c r="C1" s="60"/>
      <c r="D1" s="61"/>
      <c r="E1" s="10" t="s">
        <v>55</v>
      </c>
      <c r="F1" s="50" t="s">
        <v>164</v>
      </c>
      <c r="G1" s="50"/>
      <c r="H1" s="51"/>
      <c r="I1" s="10" t="s">
        <v>148</v>
      </c>
      <c r="J1" s="75">
        <f ca="1">TODAY()</f>
        <v>45733</v>
      </c>
      <c r="K1" s="75"/>
      <c r="L1" s="76"/>
    </row>
    <row r="2" spans="1:14" ht="20.100000000000001" customHeight="1" x14ac:dyDescent="0.25">
      <c r="A2" s="10" t="s">
        <v>94</v>
      </c>
      <c r="B2" s="64" t="str">
        <f>IF(B7="Tube",(ROUNDUP(E11,0)&amp;"KG"),(ROUNDUP(H11,0)&amp;"M"))</f>
        <v>100M</v>
      </c>
      <c r="C2" s="64"/>
      <c r="D2" s="65"/>
      <c r="E2" s="10" t="s">
        <v>56</v>
      </c>
      <c r="F2" s="50">
        <v>948537</v>
      </c>
      <c r="G2" s="50"/>
      <c r="H2" s="51"/>
      <c r="I2" s="10" t="s">
        <v>57</v>
      </c>
      <c r="J2" s="77">
        <v>45638</v>
      </c>
      <c r="K2" s="50"/>
      <c r="L2" s="51"/>
    </row>
    <row r="3" spans="1:14" ht="20.100000000000001" customHeight="1" x14ac:dyDescent="0.25">
      <c r="A3" s="66"/>
      <c r="B3" s="67"/>
      <c r="C3" s="67"/>
      <c r="D3" s="67"/>
      <c r="E3" s="67"/>
      <c r="F3" s="67"/>
      <c r="G3" s="67"/>
      <c r="H3" s="67"/>
      <c r="I3" s="67"/>
      <c r="J3" s="67"/>
      <c r="K3" s="67"/>
      <c r="L3" s="68"/>
    </row>
    <row r="4" spans="1:14" ht="20.100000000000001" customHeight="1" x14ac:dyDescent="0.25">
      <c r="A4" s="69"/>
      <c r="B4" s="70"/>
      <c r="C4" s="70"/>
      <c r="D4" s="70"/>
      <c r="E4" s="70"/>
      <c r="F4" s="70"/>
      <c r="G4" s="70"/>
      <c r="H4" s="70"/>
      <c r="I4" s="70"/>
      <c r="J4" s="70"/>
      <c r="K4" s="70"/>
      <c r="L4" s="71"/>
    </row>
    <row r="5" spans="1:14" ht="20.100000000000001" customHeight="1" x14ac:dyDescent="0.25">
      <c r="A5" s="72"/>
      <c r="B5" s="73"/>
      <c r="C5" s="73"/>
      <c r="D5" s="73"/>
      <c r="E5" s="73"/>
      <c r="F5" s="73"/>
      <c r="G5" s="73"/>
      <c r="H5" s="73"/>
      <c r="I5" s="73"/>
      <c r="J5" s="73"/>
      <c r="K5" s="73"/>
      <c r="L5" s="74"/>
    </row>
    <row r="6" spans="1:14" ht="20.100000000000001" customHeight="1" x14ac:dyDescent="0.25">
      <c r="A6" s="57" t="s">
        <v>1</v>
      </c>
      <c r="B6" s="58"/>
      <c r="C6" s="58"/>
      <c r="D6" s="58"/>
      <c r="E6" s="58"/>
      <c r="F6" s="58"/>
      <c r="G6" s="58"/>
      <c r="H6" s="58"/>
      <c r="I6" s="58"/>
      <c r="J6" s="78"/>
      <c r="K6" s="78"/>
      <c r="L6" s="79"/>
    </row>
    <row r="7" spans="1:14" ht="20.100000000000001" customHeight="1" x14ac:dyDescent="0.3">
      <c r="A7" s="10" t="s">
        <v>158</v>
      </c>
      <c r="B7" s="50" t="s">
        <v>161</v>
      </c>
      <c r="C7" s="51"/>
      <c r="D7" s="10" t="s">
        <v>47</v>
      </c>
      <c r="E7" s="107" t="s">
        <v>123</v>
      </c>
      <c r="F7" s="107"/>
      <c r="G7" s="107"/>
      <c r="H7" s="107"/>
      <c r="I7" s="107"/>
      <c r="J7" s="90" t="s">
        <v>146</v>
      </c>
      <c r="K7" s="90"/>
      <c r="L7" s="91"/>
    </row>
    <row r="8" spans="1:14" ht="20.100000000000001" customHeight="1" x14ac:dyDescent="0.25">
      <c r="A8" s="11" t="s">
        <v>14</v>
      </c>
      <c r="B8" s="96">
        <v>915</v>
      </c>
      <c r="C8" s="97"/>
      <c r="D8" s="11" t="str">
        <f>IF(B7="Tube","Gusset","Centrefold")</f>
        <v>Centrefold</v>
      </c>
      <c r="E8" s="92" t="str">
        <f>IF(B7="Cont Centrefold","("&amp;B8*2&amp;")","")</f>
        <v>(1830)</v>
      </c>
      <c r="F8" s="93"/>
      <c r="G8" s="11" t="s">
        <v>50</v>
      </c>
      <c r="H8" s="96">
        <v>150</v>
      </c>
      <c r="I8" s="97"/>
      <c r="J8" s="10" t="s">
        <v>52</v>
      </c>
      <c r="K8" s="60" t="str">
        <f>IF(ISNUMBER(SEARCH("+",E8,1)),"Gusset Tube","Layflat Tube")</f>
        <v>Layflat Tube</v>
      </c>
      <c r="L8" s="61"/>
    </row>
    <row r="9" spans="1:14" ht="20.100000000000001" customHeight="1" x14ac:dyDescent="0.3">
      <c r="A9" s="12" t="s">
        <v>46</v>
      </c>
      <c r="B9" s="80" t="s">
        <v>163</v>
      </c>
      <c r="C9" s="81"/>
      <c r="D9" s="45" t="str">
        <f>IF(K10="Middle","RUN 2 UP",IF(AND(B7="Cont Centrefold",B8=380),"RUN 2 UP",""))</f>
        <v/>
      </c>
      <c r="E9" s="46"/>
      <c r="F9" s="47"/>
      <c r="G9" s="12" t="s">
        <v>46</v>
      </c>
      <c r="H9" s="80" t="s">
        <v>165</v>
      </c>
      <c r="I9" s="81"/>
      <c r="J9" s="10" t="s">
        <v>53</v>
      </c>
      <c r="K9" s="50" t="s">
        <v>28</v>
      </c>
      <c r="L9" s="51"/>
    </row>
    <row r="10" spans="1:14" ht="20.100000000000001" customHeight="1" x14ac:dyDescent="0.25">
      <c r="A10" s="10" t="s">
        <v>49</v>
      </c>
      <c r="B10" s="50">
        <v>30</v>
      </c>
      <c r="C10" s="51"/>
      <c r="D10" s="35" t="s">
        <v>104</v>
      </c>
      <c r="E10" s="84">
        <f>E11*B10</f>
        <v>762.5</v>
      </c>
      <c r="F10" s="85"/>
      <c r="G10" s="10" t="s">
        <v>51</v>
      </c>
      <c r="H10" s="64">
        <f>H11*B10</f>
        <v>3000</v>
      </c>
      <c r="I10" s="65"/>
      <c r="J10" s="10" t="s">
        <v>39</v>
      </c>
      <c r="K10" s="50" t="s">
        <v>40</v>
      </c>
      <c r="L10" s="51"/>
    </row>
    <row r="11" spans="1:14" s="42" customFormat="1" ht="20.100000000000001" customHeight="1" x14ac:dyDescent="0.25">
      <c r="A11" s="41" t="str">
        <f>IF(B7="Cont Sheet Roll","Sheet Rolls",IF(B7="Cont Centrefold","CF Rolls",""))</f>
        <v>CF Rolls</v>
      </c>
      <c r="B11" s="82">
        <f>IF(AND(B7="Cont Centrefold",D9="RUN 2 UP"),B10*2,IF(B7="Cont Centrefold",B10,IF(B7="Cont Sheet Roll",B10*2,"")))</f>
        <v>30</v>
      </c>
      <c r="C11" s="83"/>
      <c r="D11" s="41" t="s">
        <v>105</v>
      </c>
      <c r="E11" s="86">
        <f>IF(D9="RUN 2 UP",(B8*H8*H11/540000)*2,(B8*H8*H11/540000))</f>
        <v>25.416666666666668</v>
      </c>
      <c r="F11" s="87"/>
      <c r="G11" s="41" t="s">
        <v>13</v>
      </c>
      <c r="H11" s="88">
        <v>100</v>
      </c>
      <c r="I11" s="89"/>
      <c r="J11" s="41" t="s">
        <v>48</v>
      </c>
      <c r="K11" s="94" t="s">
        <v>42</v>
      </c>
      <c r="L11" s="95"/>
      <c r="N11"/>
    </row>
    <row r="12" spans="1:14" ht="20.100000000000001" customHeight="1" x14ac:dyDescent="0.25">
      <c r="A12" s="105" t="s">
        <v>11</v>
      </c>
      <c r="B12" s="106"/>
      <c r="C12" s="106"/>
      <c r="D12" s="106"/>
      <c r="E12" s="101"/>
      <c r="F12" s="101"/>
      <c r="G12" s="101"/>
      <c r="H12" s="101"/>
      <c r="I12" s="101"/>
      <c r="J12" s="101"/>
      <c r="K12" s="101"/>
      <c r="L12" s="102"/>
    </row>
    <row r="13" spans="1:14" ht="20.100000000000001" customHeight="1" x14ac:dyDescent="0.25">
      <c r="A13" s="10" t="s">
        <v>59</v>
      </c>
      <c r="B13" s="50" t="s">
        <v>42</v>
      </c>
      <c r="C13" s="50"/>
      <c r="D13" s="51"/>
      <c r="E13" s="13" t="s">
        <v>60</v>
      </c>
      <c r="F13" s="50" t="s">
        <v>42</v>
      </c>
      <c r="G13" s="50"/>
      <c r="H13" s="51"/>
      <c r="I13" s="10" t="s">
        <v>61</v>
      </c>
      <c r="J13" s="50" t="s">
        <v>42</v>
      </c>
      <c r="K13" s="50"/>
      <c r="L13" s="51"/>
    </row>
    <row r="14" spans="1:14" ht="20.100000000000001" customHeight="1" x14ac:dyDescent="0.3">
      <c r="A14" s="11" t="s">
        <v>58</v>
      </c>
      <c r="B14" s="107"/>
      <c r="C14" s="107"/>
      <c r="D14" s="107"/>
      <c r="E14" s="107"/>
      <c r="F14" s="107"/>
      <c r="G14" s="107"/>
      <c r="H14" s="107"/>
      <c r="I14" s="107"/>
      <c r="J14" s="107"/>
      <c r="K14" s="107"/>
      <c r="L14" s="108"/>
    </row>
    <row r="15" spans="1:14" ht="20.100000000000001" customHeight="1" x14ac:dyDescent="0.25">
      <c r="A15" s="57" t="s">
        <v>70</v>
      </c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9"/>
    </row>
    <row r="16" spans="1:14" ht="20.100000000000001" customHeight="1" x14ac:dyDescent="0.25">
      <c r="A16" s="10" t="s">
        <v>71</v>
      </c>
      <c r="B16" s="50" t="s">
        <v>75</v>
      </c>
      <c r="C16" s="50"/>
      <c r="D16" s="51"/>
      <c r="E16" s="10" t="s">
        <v>72</v>
      </c>
      <c r="F16" s="60">
        <f>B10</f>
        <v>30</v>
      </c>
      <c r="G16" s="60"/>
      <c r="H16" s="61"/>
      <c r="I16" s="10" t="s">
        <v>74</v>
      </c>
      <c r="J16" s="50"/>
      <c r="K16" s="50"/>
      <c r="L16" s="51"/>
    </row>
    <row r="17" spans="1:12" ht="20.100000000000001" customHeight="1" x14ac:dyDescent="0.25">
      <c r="A17" s="52" t="s">
        <v>149</v>
      </c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4"/>
    </row>
    <row r="18" spans="1:12" ht="20.100000000000001" customHeight="1" x14ac:dyDescent="0.25">
      <c r="A18" s="98" t="s">
        <v>2</v>
      </c>
      <c r="B18" s="91"/>
      <c r="C18" s="98" t="s">
        <v>111</v>
      </c>
      <c r="D18" s="91"/>
      <c r="E18" s="98" t="s">
        <v>3</v>
      </c>
      <c r="F18" s="91"/>
      <c r="G18" s="98" t="s">
        <v>4</v>
      </c>
      <c r="H18" s="91"/>
      <c r="I18" s="98" t="s">
        <v>9</v>
      </c>
      <c r="J18" s="91"/>
      <c r="K18" s="98" t="s">
        <v>10</v>
      </c>
      <c r="L18" s="91"/>
    </row>
    <row r="19" spans="1:12" ht="20.100000000000001" customHeight="1" x14ac:dyDescent="0.25">
      <c r="A19" s="99" t="s">
        <v>5</v>
      </c>
      <c r="B19" s="99"/>
      <c r="C19" s="62" t="s">
        <v>115</v>
      </c>
      <c r="D19" s="63"/>
      <c r="E19" s="103"/>
      <c r="F19" s="104"/>
      <c r="G19" s="9" t="s">
        <v>76</v>
      </c>
      <c r="H19" s="30"/>
      <c r="I19" s="55"/>
      <c r="J19" s="56"/>
      <c r="K19" s="55"/>
      <c r="L19" s="56"/>
    </row>
    <row r="20" spans="1:12" ht="20.100000000000001" customHeight="1" x14ac:dyDescent="0.25">
      <c r="A20" s="99" t="s">
        <v>6</v>
      </c>
      <c r="B20" s="99"/>
      <c r="C20" s="62" t="s">
        <v>114</v>
      </c>
      <c r="D20" s="63"/>
      <c r="E20" s="103"/>
      <c r="F20" s="104"/>
      <c r="G20" s="9" t="s">
        <v>77</v>
      </c>
      <c r="H20" s="30"/>
      <c r="I20" s="55"/>
      <c r="J20" s="56"/>
      <c r="K20" s="55"/>
      <c r="L20" s="56"/>
    </row>
    <row r="21" spans="1:12" ht="20.100000000000001" customHeight="1" x14ac:dyDescent="0.25">
      <c r="A21" s="99" t="s">
        <v>7</v>
      </c>
      <c r="B21" s="99"/>
      <c r="C21" s="62" t="s">
        <v>113</v>
      </c>
      <c r="D21" s="63"/>
      <c r="E21" s="103"/>
      <c r="F21" s="104"/>
      <c r="G21" s="9" t="s">
        <v>78</v>
      </c>
      <c r="H21" s="30"/>
      <c r="I21" s="55"/>
      <c r="J21" s="56"/>
      <c r="K21" s="55"/>
      <c r="L21" s="56"/>
    </row>
    <row r="22" spans="1:12" ht="20.100000000000001" customHeight="1" x14ac:dyDescent="0.25">
      <c r="A22" s="99" t="s">
        <v>8</v>
      </c>
      <c r="B22" s="99"/>
      <c r="C22" s="62" t="s">
        <v>112</v>
      </c>
      <c r="D22" s="63"/>
      <c r="E22" s="103"/>
      <c r="F22" s="104"/>
      <c r="G22" s="9" t="s">
        <v>79</v>
      </c>
      <c r="H22" s="30"/>
      <c r="I22" s="55"/>
      <c r="J22" s="56"/>
      <c r="K22" s="55"/>
      <c r="L22" s="56"/>
    </row>
    <row r="23" spans="1:12" ht="20.100000000000001" customHeight="1" x14ac:dyDescent="0.25">
      <c r="A23" s="99" t="s">
        <v>150</v>
      </c>
      <c r="B23" s="99"/>
      <c r="C23" s="62" t="s">
        <v>151</v>
      </c>
      <c r="D23" s="63"/>
      <c r="E23" s="103"/>
      <c r="F23" s="104"/>
      <c r="G23" s="9" t="s">
        <v>80</v>
      </c>
      <c r="H23" s="30"/>
      <c r="I23" s="55"/>
      <c r="J23" s="56"/>
      <c r="K23" s="55"/>
      <c r="L23" s="56"/>
    </row>
    <row r="24" spans="1:12" ht="20.100000000000001" customHeight="1" x14ac:dyDescent="0.25">
      <c r="A24" s="48" t="str">
        <f>(IF(E7="NATURAL","",E7))</f>
        <v>WHITE</v>
      </c>
      <c r="B24" s="48"/>
      <c r="C24" s="62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>WH</v>
      </c>
      <c r="D24" s="63"/>
      <c r="E24" s="103">
        <v>0.04</v>
      </c>
      <c r="F24" s="104"/>
      <c r="G24" s="9" t="s">
        <v>81</v>
      </c>
      <c r="H24" s="30"/>
      <c r="I24" s="55"/>
      <c r="J24" s="56"/>
      <c r="K24" s="55"/>
      <c r="L24" s="56"/>
    </row>
    <row r="25" spans="1:12" ht="20.100000000000001" customHeight="1" x14ac:dyDescent="0.25">
      <c r="A25" s="48" t="s">
        <v>167</v>
      </c>
      <c r="B25" s="48"/>
      <c r="C25" s="62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TINT","LT",IF(A25="MAROON TINT","MT",IF(A25="ANTISTATIC","AS",IF(A25="UV","UV",IF(A25="FLAME RETARDANT","FL",IF(A25="CORROSION INHIBITOR","CI",IF(A25="BIO DEGRADABLE","BD",))))))))))))))))))))))))))</f>
        <v>0</v>
      </c>
      <c r="D25" s="63"/>
      <c r="E25" s="103"/>
      <c r="F25" s="104"/>
      <c r="G25" s="9" t="s">
        <v>82</v>
      </c>
      <c r="H25" s="30"/>
      <c r="I25" s="55"/>
      <c r="J25" s="56"/>
      <c r="K25" s="55"/>
      <c r="L25" s="56"/>
    </row>
    <row r="26" spans="1:12" ht="20.100000000000001" customHeight="1" x14ac:dyDescent="0.25">
      <c r="A26" s="100" t="s">
        <v>0</v>
      </c>
      <c r="B26" s="101"/>
      <c r="C26" s="101"/>
      <c r="D26" s="101"/>
      <c r="E26" s="101"/>
      <c r="F26" s="101"/>
      <c r="G26" s="101"/>
      <c r="H26" s="101"/>
      <c r="I26" s="101"/>
      <c r="J26" s="101"/>
      <c r="K26" s="101"/>
      <c r="L26" s="102"/>
    </row>
    <row r="27" spans="1:12" ht="20.100000000000001" customHeight="1" x14ac:dyDescent="0.25">
      <c r="A27" s="14"/>
      <c r="B27" s="15" t="s">
        <v>147</v>
      </c>
      <c r="C27" s="15" t="s">
        <v>86</v>
      </c>
      <c r="D27" s="16" t="s">
        <v>84</v>
      </c>
      <c r="E27" s="16" t="s">
        <v>85</v>
      </c>
      <c r="F27" s="16" t="s">
        <v>87</v>
      </c>
      <c r="G27" s="49" t="s">
        <v>103</v>
      </c>
      <c r="H27" s="49"/>
      <c r="I27" s="49" t="s">
        <v>102</v>
      </c>
      <c r="J27" s="49"/>
      <c r="K27" s="16" t="s">
        <v>88</v>
      </c>
      <c r="L27" s="16" t="s">
        <v>89</v>
      </c>
    </row>
    <row r="28" spans="1:12" ht="20.100000000000001" customHeight="1" x14ac:dyDescent="0.25">
      <c r="A28" s="15" t="s">
        <v>90</v>
      </c>
      <c r="B28" s="6" t="s">
        <v>166</v>
      </c>
      <c r="C28" s="6"/>
      <c r="D28" s="119">
        <v>7.4</v>
      </c>
      <c r="E28" s="120">
        <v>2.2000000000000002</v>
      </c>
      <c r="F28" s="6"/>
      <c r="G28" s="44"/>
      <c r="H28" s="44"/>
      <c r="I28" s="44"/>
      <c r="J28" s="44"/>
      <c r="K28" s="6"/>
      <c r="L28" s="22"/>
    </row>
    <row r="29" spans="1:12" ht="20.100000000000001" customHeight="1" x14ac:dyDescent="0.25">
      <c r="A29" s="15" t="s">
        <v>91</v>
      </c>
      <c r="B29" s="6"/>
      <c r="C29" s="6"/>
      <c r="D29" s="6"/>
      <c r="E29" s="7"/>
      <c r="F29" s="6"/>
      <c r="G29" s="44"/>
      <c r="H29" s="44"/>
      <c r="I29" s="44"/>
      <c r="J29" s="44"/>
      <c r="K29" s="6"/>
      <c r="L29" s="22"/>
    </row>
    <row r="30" spans="1:12" ht="20.100000000000001" customHeight="1" x14ac:dyDescent="0.25">
      <c r="A30" s="105" t="s">
        <v>93</v>
      </c>
      <c r="B30" s="106"/>
      <c r="C30" s="106"/>
      <c r="D30" s="106"/>
      <c r="E30" s="106"/>
      <c r="F30" s="106"/>
      <c r="G30" s="106"/>
      <c r="H30" s="106"/>
      <c r="I30" s="106"/>
      <c r="J30" s="106"/>
      <c r="K30" s="106"/>
      <c r="L30" s="118"/>
    </row>
    <row r="31" spans="1:12" ht="20.100000000000001" customHeight="1" x14ac:dyDescent="0.25">
      <c r="A31" s="18" t="s">
        <v>100</v>
      </c>
      <c r="B31" s="23"/>
      <c r="C31" s="21"/>
      <c r="D31" s="18" t="s">
        <v>86</v>
      </c>
      <c r="E31" s="24"/>
      <c r="F31" s="21"/>
      <c r="G31" s="20" t="s">
        <v>92</v>
      </c>
      <c r="H31" s="25"/>
      <c r="I31" s="25"/>
      <c r="J31" s="26"/>
      <c r="K31" s="25"/>
      <c r="L31" s="27"/>
    </row>
    <row r="32" spans="1:12" ht="20.100000000000001" customHeight="1" x14ac:dyDescent="0.25">
      <c r="A32" s="18" t="s">
        <v>99</v>
      </c>
      <c r="B32" s="23"/>
      <c r="C32" s="21"/>
      <c r="D32" s="18" t="s">
        <v>97</v>
      </c>
      <c r="E32" s="24"/>
      <c r="F32" s="28"/>
      <c r="G32" s="18" t="s">
        <v>92</v>
      </c>
      <c r="H32" s="24"/>
      <c r="I32" s="24"/>
      <c r="J32" s="24"/>
      <c r="K32" s="24"/>
      <c r="L32" s="21"/>
    </row>
    <row r="33" spans="1:12" ht="20.100000000000001" customHeight="1" x14ac:dyDescent="0.25">
      <c r="A33" s="19" t="s">
        <v>98</v>
      </c>
      <c r="B33" s="29"/>
      <c r="C33" s="27"/>
      <c r="D33" s="19" t="s">
        <v>83</v>
      </c>
      <c r="E33" s="25"/>
      <c r="F33" s="27"/>
      <c r="G33" s="19" t="s">
        <v>96</v>
      </c>
      <c r="H33" s="25"/>
      <c r="I33" s="25"/>
      <c r="J33" s="25"/>
      <c r="K33" s="25"/>
      <c r="L33" s="27"/>
    </row>
    <row r="34" spans="1:12" ht="20.100000000000001" customHeight="1" x14ac:dyDescent="0.25">
      <c r="A34" s="109" t="s">
        <v>101</v>
      </c>
      <c r="B34" s="110"/>
      <c r="C34" s="110"/>
      <c r="D34" s="110"/>
      <c r="E34" s="110"/>
      <c r="F34" s="110"/>
      <c r="G34" s="110"/>
      <c r="H34" s="110"/>
      <c r="I34" s="110"/>
      <c r="J34" s="110"/>
      <c r="K34" s="110"/>
      <c r="L34" s="111"/>
    </row>
    <row r="35" spans="1:12" ht="20.100000000000001" customHeight="1" x14ac:dyDescent="0.25">
      <c r="A35" s="112"/>
      <c r="B35" s="113"/>
      <c r="C35" s="113"/>
      <c r="D35" s="113"/>
      <c r="E35" s="113"/>
      <c r="F35" s="113"/>
      <c r="G35" s="113"/>
      <c r="H35" s="113"/>
      <c r="I35" s="113"/>
      <c r="J35" s="113"/>
      <c r="K35" s="113"/>
      <c r="L35" s="114"/>
    </row>
    <row r="36" spans="1:12" ht="20.100000000000001" customHeight="1" x14ac:dyDescent="0.25">
      <c r="A36" s="115"/>
      <c r="B36" s="116"/>
      <c r="C36" s="116"/>
      <c r="D36" s="116"/>
      <c r="E36" s="116"/>
      <c r="F36" s="116"/>
      <c r="G36" s="116"/>
      <c r="H36" s="116"/>
      <c r="I36" s="116"/>
      <c r="J36" s="116"/>
      <c r="K36" s="116"/>
      <c r="L36" s="117"/>
    </row>
    <row r="37" spans="1:12" ht="20.100000000000001" customHeight="1" x14ac:dyDescent="0.25">
      <c r="A37" s="52" t="s">
        <v>106</v>
      </c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4"/>
    </row>
    <row r="38" spans="1:12" ht="20.100000000000001" customHeight="1" x14ac:dyDescent="0.25">
      <c r="A38" s="16" t="s">
        <v>12</v>
      </c>
      <c r="B38" s="1" t="s">
        <v>19</v>
      </c>
      <c r="C38" s="15" t="s">
        <v>27</v>
      </c>
      <c r="D38" s="16" t="s">
        <v>105</v>
      </c>
      <c r="E38" s="16" t="s">
        <v>13</v>
      </c>
      <c r="F38" s="16" t="s">
        <v>14</v>
      </c>
      <c r="G38" s="16" t="s">
        <v>50</v>
      </c>
      <c r="H38" s="17" t="s">
        <v>15</v>
      </c>
      <c r="I38" s="17" t="s">
        <v>16</v>
      </c>
      <c r="J38" s="16" t="s">
        <v>17</v>
      </c>
      <c r="K38" s="16" t="s">
        <v>18</v>
      </c>
      <c r="L38" s="16" t="s">
        <v>20</v>
      </c>
    </row>
    <row r="39" spans="1:12" ht="20.100000000000001" customHeight="1" x14ac:dyDescent="0.25">
      <c r="A39" s="15">
        <v>1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</row>
    <row r="40" spans="1:12" ht="20.100000000000001" customHeight="1" x14ac:dyDescent="0.25">
      <c r="A40" s="15">
        <v>2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</row>
    <row r="41" spans="1:12" ht="20.100000000000001" customHeight="1" x14ac:dyDescent="0.25">
      <c r="A41" s="15">
        <v>3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</row>
    <row r="42" spans="1:12" ht="20.100000000000001" customHeight="1" x14ac:dyDescent="0.25">
      <c r="A42" s="15">
        <v>4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</row>
    <row r="43" spans="1:12" ht="20.100000000000001" customHeight="1" x14ac:dyDescent="0.25">
      <c r="A43" s="31">
        <v>5</v>
      </c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</row>
    <row r="44" spans="1:12" ht="20.100000000000001" customHeight="1" x14ac:dyDescent="0.25"/>
    <row r="45" spans="1:12" ht="20.100000000000001" customHeight="1" x14ac:dyDescent="0.25">
      <c r="A45" s="16" t="s">
        <v>12</v>
      </c>
      <c r="B45" s="15" t="s">
        <v>19</v>
      </c>
      <c r="C45" s="16" t="s">
        <v>105</v>
      </c>
      <c r="D45" s="16" t="s">
        <v>13</v>
      </c>
      <c r="E45" s="16" t="s">
        <v>14</v>
      </c>
      <c r="F45" s="16" t="s">
        <v>50</v>
      </c>
      <c r="G45" s="17" t="s">
        <v>15</v>
      </c>
      <c r="H45" s="17" t="s">
        <v>16</v>
      </c>
      <c r="I45" s="16" t="s">
        <v>27</v>
      </c>
      <c r="J45" s="16" t="s">
        <v>17</v>
      </c>
      <c r="K45" s="16" t="s">
        <v>18</v>
      </c>
      <c r="L45" s="16" t="s">
        <v>20</v>
      </c>
    </row>
    <row r="46" spans="1:12" ht="20.100000000000001" customHeight="1" x14ac:dyDescent="0.25">
      <c r="A46" s="15">
        <v>6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</row>
    <row r="47" spans="1:12" ht="20.100000000000001" customHeight="1" x14ac:dyDescent="0.25">
      <c r="A47" s="15">
        <v>7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</row>
    <row r="48" spans="1:12" ht="20.100000000000001" customHeight="1" x14ac:dyDescent="0.25">
      <c r="A48" s="15">
        <v>8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</row>
    <row r="49" spans="1:12" ht="20.100000000000001" customHeight="1" x14ac:dyDescent="0.25">
      <c r="A49" s="15">
        <v>9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</row>
    <row r="50" spans="1:12" ht="20.100000000000001" customHeight="1" x14ac:dyDescent="0.25">
      <c r="A50" s="31">
        <v>10</v>
      </c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</row>
    <row r="51" spans="1:12" ht="20.100000000000001" customHeight="1" x14ac:dyDescent="0.25">
      <c r="A51" s="15">
        <v>11</v>
      </c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</row>
    <row r="52" spans="1:12" ht="20.100000000000001" customHeight="1" x14ac:dyDescent="0.25">
      <c r="A52" s="15">
        <v>12</v>
      </c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</row>
    <row r="53" spans="1:12" ht="20.100000000000001" customHeight="1" x14ac:dyDescent="0.25">
      <c r="A53" s="15">
        <v>13</v>
      </c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</row>
    <row r="54" spans="1:12" ht="20.100000000000001" customHeight="1" x14ac:dyDescent="0.25">
      <c r="A54" s="15">
        <v>14</v>
      </c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</row>
    <row r="55" spans="1:12" ht="20.100000000000001" customHeight="1" x14ac:dyDescent="0.25">
      <c r="A55" s="31">
        <v>15</v>
      </c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</row>
    <row r="56" spans="1:12" ht="20.100000000000001" customHeight="1" x14ac:dyDescent="0.25">
      <c r="A56" s="15">
        <v>16</v>
      </c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</row>
    <row r="57" spans="1:12" ht="20.100000000000001" customHeight="1" x14ac:dyDescent="0.25">
      <c r="A57" s="15">
        <v>17</v>
      </c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</row>
    <row r="58" spans="1:12" ht="20.100000000000001" customHeight="1" x14ac:dyDescent="0.25">
      <c r="A58" s="15">
        <v>18</v>
      </c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</row>
    <row r="59" spans="1:12" ht="20.100000000000001" customHeight="1" x14ac:dyDescent="0.25">
      <c r="A59" s="15">
        <v>19</v>
      </c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</row>
    <row r="60" spans="1:12" ht="20.100000000000001" customHeight="1" x14ac:dyDescent="0.25">
      <c r="A60" s="31">
        <v>20</v>
      </c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</row>
    <row r="61" spans="1:12" ht="20.100000000000001" customHeight="1" x14ac:dyDescent="0.25">
      <c r="A61" s="15">
        <v>21</v>
      </c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</row>
    <row r="62" spans="1:12" ht="20.100000000000001" customHeight="1" x14ac:dyDescent="0.25">
      <c r="A62" s="15">
        <v>22</v>
      </c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</row>
    <row r="63" spans="1:12" ht="20.100000000000001" customHeight="1" x14ac:dyDescent="0.25">
      <c r="A63" s="15">
        <v>23</v>
      </c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</row>
    <row r="64" spans="1:12" ht="20.100000000000001" customHeight="1" x14ac:dyDescent="0.25">
      <c r="A64" s="15">
        <v>24</v>
      </c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</row>
    <row r="65" spans="1:12" ht="20.100000000000001" customHeight="1" x14ac:dyDescent="0.25">
      <c r="A65" s="31">
        <v>25</v>
      </c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</row>
    <row r="66" spans="1:12" ht="20.100000000000001" customHeight="1" x14ac:dyDescent="0.25">
      <c r="A66" s="15">
        <v>26</v>
      </c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</row>
    <row r="67" spans="1:12" ht="20.100000000000001" customHeight="1" x14ac:dyDescent="0.25">
      <c r="A67" s="15">
        <v>27</v>
      </c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</row>
    <row r="68" spans="1:12" ht="20.100000000000001" customHeight="1" x14ac:dyDescent="0.25">
      <c r="A68" s="15">
        <v>28</v>
      </c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</row>
    <row r="69" spans="1:12" ht="20.100000000000001" customHeight="1" x14ac:dyDescent="0.25">
      <c r="A69" s="15">
        <v>29</v>
      </c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</row>
    <row r="70" spans="1:12" ht="20.100000000000001" customHeight="1" x14ac:dyDescent="0.25">
      <c r="A70" s="31">
        <v>30</v>
      </c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</row>
    <row r="71" spans="1:12" ht="20.100000000000001" customHeight="1" x14ac:dyDescent="0.25">
      <c r="A71" s="15">
        <v>31</v>
      </c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</row>
    <row r="72" spans="1:12" ht="20.100000000000001" customHeight="1" x14ac:dyDescent="0.25">
      <c r="A72" s="15">
        <v>32</v>
      </c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</row>
    <row r="73" spans="1:12" ht="20.100000000000001" customHeight="1" x14ac:dyDescent="0.25">
      <c r="A73" s="15">
        <v>33</v>
      </c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</row>
    <row r="74" spans="1:12" ht="20.100000000000001" customHeight="1" x14ac:dyDescent="0.25">
      <c r="A74" s="15">
        <v>34</v>
      </c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</row>
    <row r="75" spans="1:12" ht="20.100000000000001" customHeight="1" x14ac:dyDescent="0.25">
      <c r="A75" s="31">
        <v>35</v>
      </c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</row>
    <row r="76" spans="1:12" ht="20.100000000000001" customHeight="1" x14ac:dyDescent="0.25">
      <c r="A76" s="15">
        <v>36</v>
      </c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</row>
    <row r="77" spans="1:12" ht="20.100000000000001" customHeight="1" x14ac:dyDescent="0.25">
      <c r="A77" s="15">
        <v>37</v>
      </c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</row>
    <row r="78" spans="1:12" ht="20.100000000000001" customHeight="1" x14ac:dyDescent="0.25">
      <c r="A78" s="15">
        <v>38</v>
      </c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</row>
    <row r="79" spans="1:12" ht="20.100000000000001" customHeight="1" x14ac:dyDescent="0.25">
      <c r="A79" s="15">
        <v>39</v>
      </c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</row>
    <row r="80" spans="1:12" ht="20.100000000000001" customHeight="1" x14ac:dyDescent="0.25">
      <c r="A80" s="31">
        <v>40</v>
      </c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</row>
    <row r="81" spans="1:12" ht="20.100000000000001" customHeight="1" x14ac:dyDescent="0.25">
      <c r="A81" s="15">
        <v>41</v>
      </c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</row>
    <row r="82" spans="1:12" ht="20.100000000000001" customHeight="1" x14ac:dyDescent="0.25">
      <c r="A82" s="15">
        <v>42</v>
      </c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</row>
    <row r="83" spans="1:12" ht="20.100000000000001" customHeight="1" x14ac:dyDescent="0.25">
      <c r="A83" s="15">
        <v>43</v>
      </c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</row>
    <row r="84" spans="1:12" ht="20.100000000000001" customHeight="1" x14ac:dyDescent="0.25">
      <c r="A84" s="15">
        <v>44</v>
      </c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</row>
    <row r="85" spans="1:12" ht="20.100000000000001" customHeight="1" x14ac:dyDescent="0.25">
      <c r="A85" s="31">
        <v>45</v>
      </c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</row>
    <row r="86" spans="1:12" x14ac:dyDescent="0.25">
      <c r="A86" s="15">
        <v>46</v>
      </c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</row>
  </sheetData>
  <sheetProtection sheet="1" objects="1" scenarios="1" formatCells="0" insertHyperlinks="0" selectLockedCells="1" autoFilter="0"/>
  <mergeCells count="88"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  <mergeCell ref="A12:L12"/>
    <mergeCell ref="J13:L13"/>
    <mergeCell ref="B14:L14"/>
    <mergeCell ref="I20:J20"/>
    <mergeCell ref="B13:D13"/>
    <mergeCell ref="F13:H13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B2:D2"/>
    <mergeCell ref="A3:L5"/>
    <mergeCell ref="F1:H1"/>
    <mergeCell ref="F2:H2"/>
    <mergeCell ref="B1:D1"/>
    <mergeCell ref="J1:L1"/>
    <mergeCell ref="J2:L2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</mergeCells>
  <conditionalFormatting sqref="E7 J13">
    <cfRule type="containsText" dxfId="11" priority="5" operator="containsText" text="MAROON">
      <formula>NOT(ISERROR(SEARCH("MAROON",E7)))</formula>
    </cfRule>
    <cfRule type="containsText" dxfId="10" priority="6" operator="containsText" text="ORANGE">
      <formula>NOT(ISERROR(SEARCH("ORANGE",E7)))</formula>
    </cfRule>
    <cfRule type="containsText" dxfId="9" priority="7" operator="containsText" text="GREEN">
      <formula>NOT(ISERROR(SEARCH("GREEN",E7)))</formula>
    </cfRule>
    <cfRule type="containsText" dxfId="8" priority="8" operator="containsText" text="RED">
      <formula>NOT(ISERROR(SEARCH("RED",E7)))</formula>
    </cfRule>
    <cfRule type="containsText" dxfId="7" priority="9" operator="containsText" text="WHITE">
      <formula>NOT(ISERROR(SEARCH("WHITE",E7)))</formula>
    </cfRule>
    <cfRule type="containsText" dxfId="6" priority="10" operator="containsText" text="PURPLE">
      <formula>NOT(ISERROR(SEARCH("PURPLE",E7)))</formula>
    </cfRule>
    <cfRule type="containsText" dxfId="5" priority="11" operator="containsText" text="BLUE">
      <formula>NOT(ISERROR(SEARCH("BLUE",E7)))</formula>
    </cfRule>
    <cfRule type="containsText" dxfId="4" priority="12" operator="containsText" text="YELLOW">
      <formula>NOT(ISERROR(SEARCH("YELLOW",E7)))</formula>
    </cfRule>
  </conditionalFormatting>
  <conditionalFormatting sqref="E7">
    <cfRule type="containsText" dxfId="3" priority="2" operator="containsText" text="BLACK">
      <formula>NOT(ISERROR(SEARCH("BLACK",E7)))</formula>
    </cfRule>
  </conditionalFormatting>
  <conditionalFormatting sqref="J2">
    <cfRule type="containsText" dxfId="2" priority="1" operator="containsText" text="ASAP">
      <formula>NOT(ISERROR(SEARCH("ASAP",J2)))</formula>
    </cfRule>
  </conditionalFormatting>
  <conditionalFormatting sqref="J13 E7">
    <cfRule type="containsText" dxfId="1" priority="4" operator="containsText" text="LILAC">
      <formula>NOT(ISERROR(SEARCH("LILAC",E7)))</formula>
    </cfRule>
  </conditionalFormatting>
  <conditionalFormatting sqref="J13">
    <cfRule type="containsText" dxfId="0" priority="3" operator="containsText" text="BLACK">
      <formula>NOT(ISERROR(SEARCH("BLACK",J13)))</formula>
    </cfRule>
  </conditionalFormatting>
  <dataValidations count="1">
    <dataValidation type="whole" operator="greaterThan" allowBlank="1" showInputMessage="1" showErrorMessage="1" sqref="H8:I8" xr:uid="{00000000-0002-0000-0000-000000000000}">
      <formula1>29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89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showError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workbookViewId="0">
      <selection activeCell="A6" sqref="A6"/>
    </sheetView>
  </sheetViews>
  <sheetFormatPr defaultRowHeight="15" x14ac:dyDescent="0.25"/>
  <cols>
    <col min="1" max="1" width="9.28515625" bestFit="1" customWidth="1"/>
  </cols>
  <sheetData>
    <row r="1" spans="1:22" x14ac:dyDescent="0.25">
      <c r="A1" s="36" t="s">
        <v>37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1"/>
      <c r="P2" s="1"/>
      <c r="Q2" s="1"/>
      <c r="R2" s="1"/>
      <c r="S2" s="1"/>
      <c r="T2" s="1"/>
      <c r="U2" s="1"/>
      <c r="V2" s="1"/>
    </row>
    <row r="3" spans="1:22" x14ac:dyDescent="0.25">
      <c r="A3" s="38" t="s">
        <v>57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8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43">
        <f ca="1">DATE(YEAR(Sheet1!J1),MONTH(Sheet1!J1)+1,DAY(Sheet1!J1))</f>
        <v>45764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43">
        <f ca="1">DATE(YEAR(Sheet1!J1),MONTH(Sheet1!J1),DAY(Sheet1!J1)+21)</f>
        <v>45754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162</v>
      </c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1"/>
      <c r="P7" s="1"/>
      <c r="Q7" s="1"/>
      <c r="R7" s="1"/>
      <c r="S7" s="1"/>
      <c r="T7" s="1"/>
      <c r="U7" s="1"/>
      <c r="V7" s="1"/>
    </row>
    <row r="8" spans="1:22" x14ac:dyDescent="0.25">
      <c r="A8" s="37" t="s">
        <v>47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8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39" t="s">
        <v>131</v>
      </c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39" t="s">
        <v>145</v>
      </c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40" t="s">
        <v>123</v>
      </c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40" t="s">
        <v>116</v>
      </c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7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40" t="s">
        <v>117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40" t="s">
        <v>118</v>
      </c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40" t="s">
        <v>119</v>
      </c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40" t="s">
        <v>120</v>
      </c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7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40" t="s">
        <v>121</v>
      </c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40" t="s">
        <v>143</v>
      </c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40" t="s">
        <v>122</v>
      </c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9"/>
      <c r="N19" s="36" t="s">
        <v>136</v>
      </c>
      <c r="T19" s="1"/>
      <c r="V19" s="1"/>
    </row>
    <row r="20" spans="1:23" x14ac:dyDescent="0.25">
      <c r="A20" s="40" t="s">
        <v>124</v>
      </c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9"/>
      <c r="N20" s="36" t="s">
        <v>134</v>
      </c>
      <c r="T20" s="1"/>
      <c r="V20" s="1"/>
    </row>
    <row r="21" spans="1:23" x14ac:dyDescent="0.25">
      <c r="A21" s="40" t="s">
        <v>125</v>
      </c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9"/>
      <c r="N21" s="36" t="s">
        <v>135</v>
      </c>
      <c r="T21" s="1"/>
      <c r="V21" s="1"/>
      <c r="W21" s="2"/>
    </row>
    <row r="22" spans="1:23" x14ac:dyDescent="0.25">
      <c r="A22" s="40" t="s">
        <v>126</v>
      </c>
      <c r="B22" s="36"/>
      <c r="C22" s="36"/>
      <c r="D22" s="36"/>
      <c r="E22" s="5"/>
      <c r="F22" s="36"/>
      <c r="G22" s="5"/>
      <c r="H22" s="36"/>
      <c r="I22" s="5"/>
      <c r="J22" s="36"/>
      <c r="K22" s="36"/>
      <c r="L22" s="36"/>
      <c r="M22" s="39"/>
      <c r="N22" s="39"/>
      <c r="T22" s="1"/>
      <c r="V22" s="1"/>
      <c r="W22" s="2"/>
    </row>
    <row r="23" spans="1:23" x14ac:dyDescent="0.25">
      <c r="A23" s="40" t="s">
        <v>127</v>
      </c>
      <c r="B23" s="36"/>
      <c r="C23" s="36"/>
      <c r="D23" s="36"/>
      <c r="E23" s="5"/>
      <c r="F23" s="36"/>
      <c r="G23" s="5"/>
      <c r="H23" s="36"/>
      <c r="I23" s="36"/>
      <c r="J23" s="36"/>
      <c r="K23" s="36"/>
      <c r="L23" s="36"/>
      <c r="M23" s="39"/>
      <c r="N23" s="37" t="s">
        <v>110</v>
      </c>
      <c r="T23" s="1"/>
      <c r="V23" s="1"/>
      <c r="W23" s="2"/>
    </row>
    <row r="24" spans="1:23" x14ac:dyDescent="0.25">
      <c r="A24" s="40" t="s">
        <v>128</v>
      </c>
      <c r="B24" s="36"/>
      <c r="C24" s="36"/>
      <c r="D24" s="36"/>
      <c r="E24" s="5"/>
      <c r="F24" s="36"/>
      <c r="G24" s="36"/>
      <c r="H24" s="36"/>
      <c r="I24" s="36"/>
      <c r="J24" s="36"/>
      <c r="K24" s="36"/>
      <c r="L24" s="36"/>
      <c r="M24" s="36"/>
      <c r="N24" s="36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40" t="s">
        <v>129</v>
      </c>
      <c r="B25" s="36"/>
      <c r="C25" s="36"/>
      <c r="D25" s="36"/>
      <c r="E25" s="5"/>
      <c r="F25" s="36"/>
      <c r="G25" s="36"/>
      <c r="H25" s="36"/>
      <c r="I25" s="36"/>
      <c r="J25" s="36"/>
      <c r="K25" s="36"/>
      <c r="L25" s="36"/>
      <c r="M25" s="36"/>
      <c r="N25" s="36" t="s">
        <v>155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40" t="s">
        <v>130</v>
      </c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 t="s">
        <v>156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40" t="s">
        <v>144</v>
      </c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 t="s">
        <v>157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40" t="s">
        <v>152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 t="s">
        <v>109</v>
      </c>
      <c r="U28" s="1"/>
      <c r="V28" s="1"/>
    </row>
    <row r="29" spans="1:23" x14ac:dyDescent="0.25">
      <c r="A29" s="40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9"/>
      <c r="U29" s="1"/>
      <c r="V29" s="1"/>
    </row>
    <row r="30" spans="1:23" x14ac:dyDescent="0.25">
      <c r="A30" s="38" t="s">
        <v>158</v>
      </c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8" t="s">
        <v>26</v>
      </c>
      <c r="U30" s="1"/>
      <c r="V30" s="1"/>
    </row>
    <row r="31" spans="1:23" x14ac:dyDescent="0.25">
      <c r="A31" s="5" t="s">
        <v>159</v>
      </c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5" t="s">
        <v>137</v>
      </c>
      <c r="U31" s="1"/>
      <c r="V31" s="1"/>
    </row>
    <row r="32" spans="1:23" x14ac:dyDescent="0.25">
      <c r="A32" s="5" t="s">
        <v>160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5">
        <v>110</v>
      </c>
      <c r="U32" s="1"/>
      <c r="V32" s="1"/>
    </row>
    <row r="33" spans="1:22" x14ac:dyDescent="0.25">
      <c r="A33" s="5" t="s">
        <v>161</v>
      </c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5">
        <v>130</v>
      </c>
      <c r="U33" s="1"/>
      <c r="V33" s="1"/>
    </row>
    <row r="34" spans="1:22" x14ac:dyDescent="0.25">
      <c r="A34" s="5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5">
        <v>150</v>
      </c>
      <c r="U34" s="1"/>
      <c r="V34" s="1"/>
    </row>
    <row r="35" spans="1:22" x14ac:dyDescent="0.25">
      <c r="A35" s="38" t="s">
        <v>44</v>
      </c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5">
        <v>180</v>
      </c>
      <c r="U35" s="1"/>
      <c r="V35" s="1"/>
    </row>
    <row r="36" spans="1:22" x14ac:dyDescent="0.25">
      <c r="A36" s="5" t="s">
        <v>28</v>
      </c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5" t="s">
        <v>138</v>
      </c>
      <c r="U36" s="1"/>
      <c r="V36" s="1"/>
    </row>
    <row r="37" spans="1:22" x14ac:dyDescent="0.25">
      <c r="A37" s="5" t="s">
        <v>32</v>
      </c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5" t="s">
        <v>139</v>
      </c>
      <c r="U37" s="1"/>
      <c r="V37" s="1"/>
    </row>
    <row r="38" spans="1:22" x14ac:dyDescent="0.25">
      <c r="A38" s="5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5" t="s">
        <v>36</v>
      </c>
      <c r="U38" s="1"/>
      <c r="V38" s="1"/>
    </row>
    <row r="39" spans="1:22" x14ac:dyDescent="0.25">
      <c r="A39" s="38" t="s">
        <v>45</v>
      </c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</row>
    <row r="40" spans="1:22" x14ac:dyDescent="0.25">
      <c r="A40" s="5" t="s">
        <v>42</v>
      </c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8" t="s">
        <v>24</v>
      </c>
    </row>
    <row r="41" spans="1:22" x14ac:dyDescent="0.25">
      <c r="A41" s="5" t="s">
        <v>40</v>
      </c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5" t="s">
        <v>33</v>
      </c>
    </row>
    <row r="42" spans="1:22" x14ac:dyDescent="0.25">
      <c r="A42" s="5" t="s">
        <v>41</v>
      </c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5" t="s">
        <v>35</v>
      </c>
    </row>
    <row r="43" spans="1:22" x14ac:dyDescent="0.25">
      <c r="A43" s="5" t="s">
        <v>43</v>
      </c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5" t="s">
        <v>140</v>
      </c>
    </row>
    <row r="44" spans="1:22" x14ac:dyDescent="0.25">
      <c r="A44" s="36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5"/>
    </row>
    <row r="45" spans="1:22" x14ac:dyDescent="0.25">
      <c r="A45" s="38" t="s">
        <v>62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8" t="s">
        <v>95</v>
      </c>
    </row>
    <row r="46" spans="1:22" x14ac:dyDescent="0.25">
      <c r="A46" s="5" t="s">
        <v>42</v>
      </c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5" t="s">
        <v>36</v>
      </c>
    </row>
    <row r="47" spans="1:22" x14ac:dyDescent="0.25">
      <c r="A47" s="5" t="s">
        <v>64</v>
      </c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5" t="s">
        <v>30</v>
      </c>
    </row>
    <row r="48" spans="1:22" x14ac:dyDescent="0.25">
      <c r="A48" s="5" t="s">
        <v>63</v>
      </c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5" t="s">
        <v>141</v>
      </c>
    </row>
    <row r="49" spans="1:20" x14ac:dyDescent="0.25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5" t="s">
        <v>153</v>
      </c>
    </row>
    <row r="50" spans="1:20" x14ac:dyDescent="0.25">
      <c r="A50" s="38" t="s">
        <v>67</v>
      </c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5" t="s">
        <v>154</v>
      </c>
    </row>
    <row r="51" spans="1:20" x14ac:dyDescent="0.25">
      <c r="A51" s="5" t="s">
        <v>42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</row>
    <row r="52" spans="1:20" x14ac:dyDescent="0.25">
      <c r="A52" s="5" t="s">
        <v>69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7" t="s">
        <v>142</v>
      </c>
    </row>
    <row r="53" spans="1:20" x14ac:dyDescent="0.25">
      <c r="A53" s="5" t="s">
        <v>68</v>
      </c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6" t="s">
        <v>29</v>
      </c>
    </row>
    <row r="54" spans="1:20" x14ac:dyDescent="0.25">
      <c r="A54" s="36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6" t="s">
        <v>21</v>
      </c>
    </row>
    <row r="55" spans="1:20" x14ac:dyDescent="0.25">
      <c r="A55" s="38" t="s">
        <v>60</v>
      </c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</row>
    <row r="56" spans="1:20" x14ac:dyDescent="0.25">
      <c r="A56" s="5" t="s">
        <v>42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8" t="s">
        <v>25</v>
      </c>
    </row>
    <row r="57" spans="1:20" x14ac:dyDescent="0.25">
      <c r="A57" s="5" t="s">
        <v>65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6" t="s">
        <v>34</v>
      </c>
      <c r="O57" s="1"/>
      <c r="P57" s="1"/>
      <c r="Q57" s="1"/>
      <c r="R57" s="1"/>
      <c r="S57" s="1"/>
      <c r="T57" s="1"/>
    </row>
    <row r="58" spans="1:20" x14ac:dyDescent="0.25">
      <c r="A58" s="5" t="s">
        <v>66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6" t="s">
        <v>31</v>
      </c>
    </row>
    <row r="59" spans="1:20" x14ac:dyDescent="0.25">
      <c r="A59" s="36"/>
    </row>
    <row r="60" spans="1:20" x14ac:dyDescent="0.25">
      <c r="A60" s="37" t="s">
        <v>61</v>
      </c>
      <c r="O60" s="1"/>
      <c r="Q60" s="1"/>
      <c r="R60" s="3"/>
      <c r="S60" s="1"/>
    </row>
    <row r="61" spans="1:20" x14ac:dyDescent="0.25">
      <c r="A61" s="36" t="s">
        <v>42</v>
      </c>
      <c r="O61" s="1"/>
      <c r="Q61" s="1"/>
      <c r="R61" s="1"/>
      <c r="S61" s="1"/>
    </row>
    <row r="62" spans="1:20" x14ac:dyDescent="0.25">
      <c r="A62" s="39" t="s">
        <v>145</v>
      </c>
      <c r="O62" s="1"/>
      <c r="Q62" s="1"/>
      <c r="R62" s="1"/>
      <c r="S62" s="1"/>
    </row>
    <row r="63" spans="1:20" x14ac:dyDescent="0.25">
      <c r="A63" s="40" t="s">
        <v>123</v>
      </c>
      <c r="O63" s="1"/>
      <c r="Q63" s="1"/>
      <c r="R63" s="1"/>
      <c r="S63" s="1"/>
      <c r="T63" s="1"/>
    </row>
    <row r="64" spans="1:20" x14ac:dyDescent="0.25">
      <c r="A64" s="40" t="s">
        <v>116</v>
      </c>
      <c r="O64" s="1"/>
      <c r="Q64" s="1"/>
      <c r="R64" s="1"/>
      <c r="S64" s="1"/>
      <c r="T64" s="1"/>
    </row>
    <row r="65" spans="1:20" x14ac:dyDescent="0.25">
      <c r="A65" s="40" t="s">
        <v>117</v>
      </c>
      <c r="N65" s="3"/>
      <c r="O65" s="1"/>
      <c r="P65" s="1"/>
      <c r="Q65" s="1"/>
      <c r="R65" s="1"/>
      <c r="S65" s="1"/>
      <c r="T65" s="1"/>
    </row>
    <row r="66" spans="1:20" x14ac:dyDescent="0.25">
      <c r="A66" s="40" t="s">
        <v>118</v>
      </c>
      <c r="N66" s="4"/>
      <c r="O66" s="1"/>
      <c r="P66" s="1"/>
      <c r="Q66" s="1"/>
      <c r="R66" s="1"/>
      <c r="S66" s="1"/>
      <c r="T66" s="1"/>
    </row>
    <row r="67" spans="1:20" x14ac:dyDescent="0.25">
      <c r="A67" s="40" t="s">
        <v>119</v>
      </c>
      <c r="N67" s="4"/>
      <c r="O67" s="1"/>
      <c r="P67" s="1"/>
      <c r="Q67" s="1"/>
      <c r="R67" s="1"/>
      <c r="S67" s="1"/>
      <c r="T67" s="1"/>
    </row>
    <row r="68" spans="1:20" x14ac:dyDescent="0.25">
      <c r="A68" s="40" t="s">
        <v>120</v>
      </c>
      <c r="N68" s="4"/>
      <c r="O68" s="1"/>
      <c r="P68" s="1"/>
      <c r="Q68" s="1"/>
      <c r="R68" s="1"/>
      <c r="S68" s="1"/>
      <c r="T68" s="1"/>
    </row>
    <row r="69" spans="1:20" x14ac:dyDescent="0.25">
      <c r="A69" s="40" t="s">
        <v>121</v>
      </c>
      <c r="N69" s="4"/>
    </row>
    <row r="70" spans="1:20" x14ac:dyDescent="0.25">
      <c r="A70" s="40" t="s">
        <v>143</v>
      </c>
    </row>
    <row r="71" spans="1:20" x14ac:dyDescent="0.25">
      <c r="A71" s="40" t="s">
        <v>122</v>
      </c>
    </row>
    <row r="72" spans="1:20" x14ac:dyDescent="0.25">
      <c r="A72" s="40" t="s">
        <v>120</v>
      </c>
    </row>
    <row r="73" spans="1:20" x14ac:dyDescent="0.25">
      <c r="A73" s="40" t="s">
        <v>121</v>
      </c>
    </row>
    <row r="74" spans="1:20" x14ac:dyDescent="0.25">
      <c r="A74" s="40" t="s">
        <v>143</v>
      </c>
    </row>
    <row r="75" spans="1:20" x14ac:dyDescent="0.25">
      <c r="A75" s="40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71332CEF-1448-404B-A885-835D1A9E1FB2}"/>
</file>

<file path=customXml/itemProps2.xml><?xml version="1.0" encoding="utf-8"?>
<ds:datastoreItem xmlns:ds="http://schemas.openxmlformats.org/officeDocument/2006/customXml" ds:itemID="{06CDA088-D42D-4E9E-A365-F873BC239EE6}"/>
</file>

<file path=customXml/itemProps3.xml><?xml version="1.0" encoding="utf-8"?>
<ds:datastoreItem xmlns:ds="http://schemas.openxmlformats.org/officeDocument/2006/customXml" ds:itemID="{5859D902-66BF-4997-A5DA-0A4E569DC6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 - Dolphin Plastics</cp:lastModifiedBy>
  <cp:lastPrinted>2024-11-21T01:25:40Z</cp:lastPrinted>
  <dcterms:created xsi:type="dcterms:W3CDTF">2019-11-27T23:28:06Z</dcterms:created>
  <dcterms:modified xsi:type="dcterms:W3CDTF">2025-03-17T04:12:08Z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