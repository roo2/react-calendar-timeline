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CBA45DC-E51C-4378-A421-90C75864F67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<sst xmlns="http://schemas.openxmlformats.org/spreadsheetml/2006/main" count="304" uniqueCount="201">
  <si>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</si>
  <si>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</si>
  <si>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</si>
  <si>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</si>
  <si>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</si>
  <si>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</si>
  <si>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</si>
  <si>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</si>
  <si>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</si>
  <si>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</si>
  <si>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</si>
  <si>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</si>
  <si>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</si>
  <si>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</si>
  <si>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</si>
  <si>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</si>
  <si>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</si>
  <si>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</si>
  <si>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</si>
  <si>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</si>
  <si>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</si>
  <si>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</si>
  <si>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</si>
  <si>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</si>
  <si>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</si>
  <si>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</si>
  <si>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</si>
  <si>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</si>
  <si>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</si>
  <si>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</si>
  <si>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</si>
  <si>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</si>
  <si>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</si>
  <si>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</si>
  <si>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</si>
  <si>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</si>
  <si>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</si>
  <si>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</si>
  <si>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</si>
  <si>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</si>
  <si>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</si>
  <si>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</si>
  <si>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</si>
  <si>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</si>
  <si>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</si>
  <si>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</si>
  <si>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</si>
  <si>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</si>
  <si>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</si>
  <si>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</si>
  <si>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</si>
  <si>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</si>
  <si>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</si>
  <si>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</si>
  <si>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</si>
  <si>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</si>
  <si>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</si>
  <si>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</si>
  <si>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</si>
  <si>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</si>
  <si>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</si>
  <si>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</si>
  <si>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</si>
  <si>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</si>
  <si>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</si>
  <si>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</si>
  <si>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</si>
  <si>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</si>
  <si>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</si>
  <si>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</si>
  <si>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</si>
  <si>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</si>
  <si>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</si>
  <si>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</si>
  <si>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</si>
  <si>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</si>
  <si>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</si>
  <si>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</si>
  <si>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</si>
  <si>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</si>
  <si>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</si>
  <si>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</si>
  <si>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</si>
  <si>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</si>
  <si>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</si>
  <si>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</si>
  <si>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</si>
  <si>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</si>
  <si>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</si>
  <si>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</si>
  <si>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</si>
  <si>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</si>
  <si>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</si>
  <si>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</si>
  <si>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</si>
  <si>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</si>
  <si>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</si>
  <si>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</si>
  <si>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</si>
  <si>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</si>
  <si>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</si>
  <si>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</si>
  <si>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</si>
  <si>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</si>
  <si>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</si>
  <si>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</si>
  <si>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</si>
  <si>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</si>
  <si>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</si>
  <si>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</si>
  <si>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</si>
  <si>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</si>
  <si>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</si>
  <si>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</si>
  <si>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</si>
  <si>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</si>
  <si>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</si>
  <si>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</si>
  <si>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</si>
  <si>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</si>
  <si>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</si>
  <si>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</si>
  <si>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</si>
  <si>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</si>
  <si>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</si>
  <si>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</si>
  <si>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</si>
  <si>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</si>
  <si>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</si>
  <si>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</si>
  <si>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</si>
  <si>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</si>
  <si>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</si>
  <si>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</si>
  <si>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</si>
  <si>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</si>
  <si>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</si>
  <si>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</si>
  <si>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</si>
  <si>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</si>
  <si>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</si>
  <si>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</si>
  <si>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</si>
  <si>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</si>
  <si>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</si>
  <si>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</si>
  <si>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</si>
  <si>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</si>
  <si>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</si>
  <si>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</si>
  <si>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</si>
  <si>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</si>
  <si>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</si>
  <si>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</si>
  <si>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</si>
  <si>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</si>
  <si>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</si>
  <si>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</si>
  <si>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</si>
  <si>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</si>
  <si>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</si>
  <si>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</si>
  <si>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</si>
  <si>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</si>
  <si>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</si>
  <si>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</si>
  <si>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</si>
  <si>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</si>
  <si>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</si>
  <si>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</si>
  <si>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</si>
  <si>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</si>
  <si>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</si>
  <si>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</si>
  <si>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</si>
  <si>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</si>
  <si>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</si>
  <si>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</si>
  <si>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</si>
  <si>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</si>
  <si>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</si>
  <si>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</si>
  <si>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</si>
  <si>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</si>
  <si>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</si>
  <si>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</si>
  <si>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</si>
  <si>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</si>
  <si>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</si>
  <si>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</si>
  <si>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</si>
  <si>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</si>
  <si>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</si>
  <si>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</si>
  <si>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(410+310)</t>
  </si>
  <si>
    <t xml:space="preserve"> +/- 10mm</t>
  </si>
  <si>
    <t>NO CUTS IN ROLL. MUST HAVE STRONG SEALS. NEAT TIGHT ROLLS. MARK JOINS CLEARLY. NO GAUGE BANDS, STRONG FILM - NO SPLITTING</t>
  </si>
  <si>
    <t>NQIQF</t>
  </si>
  <si>
    <t>ANTISTATIC</t>
  </si>
  <si>
    <t>NOT UNDER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</si>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</sst>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5" borderId="7" xfId="0" applyFont="1" applyFill="1" applyBorder="1" applyAlignment="1" applyProtection="1">
      <alignment horizontal="center" vertical="center" wrapText="1"/>
      <protection locked="0"/>
    </xf>
    <xf numFmtId="0" fontId="13" fillId="5" borderId="3" xfId="0" applyFont="1" applyFill="1" applyBorder="1" applyAlignment="1" applyProtection="1">
      <alignment horizontal="center" vertical="center" wrapText="1"/>
      <protection locked="0"/>
    </xf>
    <xf numFmtId="0" fontId="13" fillId="5" borderId="8" xfId="0" applyFont="1" applyFill="1" applyBorder="1" applyAlignment="1" applyProtection="1">
      <alignment horizontal="center" vertical="center" wrapText="1"/>
      <protection locked="0"/>
    </xf>
    <xf numFmtId="0" fontId="13" fillId="5" borderId="9" xfId="0" applyFont="1" applyFill="1" applyBorder="1" applyAlignment="1" applyProtection="1">
      <alignment horizontal="center" vertical="center" wrapText="1"/>
      <protection locked="0"/>
    </xf>
    <xf numFmtId="0" fontId="13" fillId="5" borderId="0" xfId="0" applyFont="1" applyFill="1" applyAlignment="1" applyProtection="1">
      <alignment horizontal="center" vertical="center" wrapText="1"/>
      <protection locked="0"/>
    </xf>
    <xf numFmtId="0" fontId="13" fillId="5" borderId="10" xfId="0" applyFont="1" applyFill="1" applyBorder="1" applyAlignment="1" applyProtection="1">
      <alignment horizontal="center" vertical="center" wrapText="1"/>
      <protection locked="0"/>
    </xf>
    <xf numFmtId="0" fontId="13" fillId="5" borderId="11" xfId="0" applyFont="1" applyFill="1" applyBorder="1" applyAlignment="1" applyProtection="1">
      <alignment horizontal="center" vertical="center" wrapText="1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13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113" t="str">
        <f>O9&amp;R9&amp;IF(X8="G","G","")&amp;IF(O8="Centrefold Roll","("&amp;E8&amp;")","")&amp;T9&amp;V9&amp;C22&amp;C23&amp;C24&amp;O11&amp;R11</f>
        <v>PBR720G71025BTAS0</v>
      </c>
      <c r="C1" s="113"/>
      <c r="D1" s="114"/>
      <c r="E1" s="15" t="s">
        <v>56</v>
      </c>
      <c r="F1" s="94" t="s">
        <v>197</v>
      </c>
      <c r="G1" s="94"/>
      <c r="H1" s="95"/>
      <c r="I1" s="15" t="s">
        <v>180</v>
      </c>
      <c r="J1" s="134">
        <f ca="1">TODAY()</f>
        <v>45905</v>
      </c>
      <c r="K1" s="134"/>
      <c r="L1" s="135"/>
      <c r="M1" s="29"/>
      <c r="N1" s="15" t="s">
        <v>55</v>
      </c>
      <c r="O1" s="113" t="str">
        <f>B1</f>
        <v>PBR720G71025BTAS0</v>
      </c>
      <c r="P1" s="113"/>
      <c r="Q1" s="114"/>
      <c r="R1" s="15" t="s">
        <v>56</v>
      </c>
      <c r="S1" s="113" t="str">
        <f>F1</f>
        <v>NQIQF</v>
      </c>
      <c r="T1" s="113"/>
      <c r="U1" s="114"/>
      <c r="V1" s="15" t="s">
        <v>180</v>
      </c>
      <c r="W1" s="134">
        <f ca="1">J1</f>
        <v>45905</v>
      </c>
      <c r="X1" s="134"/>
      <c r="Y1" s="135"/>
    </row>
    <row r="2" spans="1:25" ht="20.149999999999999" customHeight="1" x14ac:dyDescent="0.8">
      <c r="A2" s="15" t="s">
        <v>99</v>
      </c>
      <c r="B2" s="113" t="str">
        <f>IF(U10="","",U10)</f>
        <v/>
      </c>
      <c r="C2" s="113"/>
      <c r="D2" s="114"/>
      <c r="E2" s="15" t="s">
        <v>57</v>
      </c>
      <c r="F2" s="94">
        <v>950080</v>
      </c>
      <c r="G2" s="94"/>
      <c r="H2" s="95"/>
      <c r="I2" s="15" t="s">
        <v>58</v>
      </c>
      <c r="J2" s="93" t="s">
        <v>192</v>
      </c>
      <c r="K2" s="94"/>
      <c r="L2" s="95"/>
      <c r="M2" s="29"/>
      <c r="N2" s="15" t="s">
        <v>99</v>
      </c>
      <c r="O2" s="113" t="str">
        <f>IF(B2="","",B2)</f>
        <v/>
      </c>
      <c r="P2" s="113"/>
      <c r="Q2" s="114"/>
      <c r="R2" s="15" t="s">
        <v>57</v>
      </c>
      <c r="S2" s="113">
        <f>IF(F2="","",F2)</f>
        <v>950080</v>
      </c>
      <c r="T2" s="113"/>
      <c r="U2" s="114"/>
      <c r="V2" s="15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29"/>
      <c r="N3" s="125" t="str">
        <f>A3</f>
        <v>NO CUTS IN ROLL. MUST HAVE STRONG SEALS. NEAT TIGHT ROLLS. MARK JOINS CLEARLY. NO GAUGE BANDS, STRONG FILM - NO SPLITTING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29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29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5" t="s">
        <v>48</v>
      </c>
      <c r="B7" s="123" t="s">
        <v>158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50</v>
      </c>
      <c r="P7" s="95"/>
      <c r="Q7" s="15" t="str">
        <f>IF(ISNUMBER(SEARCH("roll",O8,1)),"Per Roll","Per Carton")</f>
        <v>Per Roll</v>
      </c>
      <c r="R7" s="94">
        <v>500</v>
      </c>
      <c r="S7" s="95"/>
      <c r="T7" s="15" t="str">
        <f>IF(ISNUMBER(SEARCH("bag",O8,1)),"Total Bags","Total Sheets")</f>
        <v>Total Bags</v>
      </c>
      <c r="U7" s="113">
        <f>R7*O7</f>
        <v>25000</v>
      </c>
      <c r="V7" s="114"/>
      <c r="W7" s="15" t="s">
        <v>101</v>
      </c>
      <c r="X7" s="94" t="s">
        <v>30</v>
      </c>
      <c r="Y7" s="95"/>
    </row>
    <row r="8" spans="1:25" ht="20.149999999999999" customHeight="1" x14ac:dyDescent="0.8">
      <c r="A8" s="16" t="s">
        <v>15</v>
      </c>
      <c r="B8" s="103">
        <f>R9</f>
        <v>720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(410+310)</v>
      </c>
      <c r="F8" s="106"/>
      <c r="G8" s="16" t="s">
        <v>51</v>
      </c>
      <c r="H8" s="103" t="str">
        <f>(IF(V9&lt;30,"30",V9))</f>
        <v>30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49999999999999" customHeight="1" x14ac:dyDescent="0.9">
      <c r="A9" s="20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199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720</v>
      </c>
      <c r="S9" s="22" t="s">
        <v>77</v>
      </c>
      <c r="T9" s="30">
        <v>710</v>
      </c>
      <c r="U9" s="22" t="s">
        <v>77</v>
      </c>
      <c r="V9" s="30">
        <v>25</v>
      </c>
      <c r="W9" s="21"/>
      <c r="X9" s="100" t="s">
        <v>194</v>
      </c>
      <c r="Y9" s="101"/>
    </row>
    <row r="10" spans="1:25" ht="20.149999999999999" customHeight="1" x14ac:dyDescent="0.8">
      <c r="A10" s="15" t="s">
        <v>50</v>
      </c>
      <c r="B10" s="94">
        <v>50</v>
      </c>
      <c r="C10" s="95"/>
      <c r="D10" s="48" t="s">
        <v>133</v>
      </c>
      <c r="E10" s="115">
        <f>IF(ISNUMBER(SEARCH("sheet",O8,1)),((R9*T9*H8/540000)*U7/2000*1.3),((R9*T9*H8/540000)*U7/1000*1.08))</f>
        <v>766.80000000000007</v>
      </c>
      <c r="F10" s="116"/>
      <c r="G10" s="15" t="s">
        <v>52</v>
      </c>
      <c r="H10" s="119">
        <f>IF(ISNUMBER(SEARCH("sheet",O8,1)),(U7*T9/2000*1.08),(U7*T9/1000*1.08))</f>
        <v>19170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None</v>
      </c>
      <c r="S10" s="102"/>
      <c r="T10" s="17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15.336000000000002</v>
      </c>
      <c r="F11" s="118"/>
      <c r="G11" s="15" t="s">
        <v>14</v>
      </c>
      <c r="H11" s="117">
        <f>H10/B10</f>
        <v>383.4</v>
      </c>
      <c r="I11" s="118"/>
      <c r="J11" s="15" t="s">
        <v>49</v>
      </c>
      <c r="K11" s="94" t="s">
        <v>43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/>
      </c>
      <c r="S11" s="103"/>
      <c r="T11" s="16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5" t="s">
        <v>67</v>
      </c>
      <c r="B13" s="94" t="s">
        <v>43</v>
      </c>
      <c r="C13" s="94"/>
      <c r="D13" s="95"/>
      <c r="E13" s="23" t="s">
        <v>60</v>
      </c>
      <c r="F13" s="94" t="s">
        <v>43</v>
      </c>
      <c r="G13" s="94"/>
      <c r="H13" s="95"/>
      <c r="I13" s="15" t="s">
        <v>61</v>
      </c>
      <c r="J13" s="94" t="s">
        <v>43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50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49999999999999" customHeight="1" x14ac:dyDescent="0.9">
      <c r="A14" s="16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111" t="s">
        <v>30</v>
      </c>
      <c r="S16" s="112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22</v>
      </c>
      <c r="V17" s="95"/>
      <c r="W17" s="15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>BLUE TINT</v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198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1"/>
      <c r="E23" s="85"/>
      <c r="F23" s="86"/>
      <c r="G23" s="33" t="s">
        <v>86</v>
      </c>
      <c r="H23" s="34"/>
      <c r="I23" s="62"/>
      <c r="J23" s="63"/>
      <c r="K23" s="62"/>
      <c r="L23" s="63"/>
      <c r="M23" s="29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 t="s">
        <v>200</v>
      </c>
      <c r="B24" s="84"/>
      <c r="C24" s="80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5" t="s">
        <v>131</v>
      </c>
      <c r="H26" s="145"/>
      <c r="I26" s="145" t="s">
        <v>130</v>
      </c>
      <c r="J26" s="145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3" t="s">
        <v>95</v>
      </c>
      <c r="B27" s="7">
        <v>55</v>
      </c>
      <c r="C27" s="7"/>
      <c r="D27" s="9">
        <v>15</v>
      </c>
      <c r="E27" s="60">
        <v>8.6</v>
      </c>
      <c r="F27" s="7"/>
      <c r="G27" s="61"/>
      <c r="H27" s="61"/>
      <c r="I27" s="61"/>
      <c r="J27" s="61"/>
      <c r="K27" s="9">
        <v>240</v>
      </c>
      <c r="L27" s="9">
        <v>2800</v>
      </c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45935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45926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EF00488-657D-48F6-A234-05058BFBE2D4}"/>
</file>

<file path=customXml/itemProps2.xml><?xml version="1.0" encoding="utf-8"?>
<ds:datastoreItem xmlns:ds="http://schemas.openxmlformats.org/officeDocument/2006/customXml" ds:itemID="{E2EC047F-ACF8-439D-8E64-ED74AB8F03CE}"/>
</file>

<file path=customXml/itemProps3.xml><?xml version="1.0" encoding="utf-8"?>
<ds:datastoreItem xmlns:ds="http://schemas.openxmlformats.org/officeDocument/2006/customXml" ds:itemID="{7A46FC6D-CBAB-4061-B216-6A7CD488E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2025-09-05T00:48:30Z</cp:lastPrinted>
  <dcterms:created xsi:type="dcterms:W3CDTF">2019-11-27T23:28:06Z</dcterms:created>
  <dcterms:modified xsi:type="dcterms:W3CDTF">2025-09-08T23:52:43Z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