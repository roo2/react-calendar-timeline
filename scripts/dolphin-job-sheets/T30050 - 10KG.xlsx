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3343F92-7CCC-4003-9A5F-2AB8A8314A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<sst xmlns="http://schemas.openxmlformats.org/spreadsheetml/2006/main" count="227" uniqueCount="168">
  <si>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</si>
  <si>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</si>
  <si>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</si>
  <si>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</si>
  <si>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</si>
  <si>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</si>
  <si>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</si>
  <si>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</si>
  <si>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</si>
  <si>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</si>
  <si>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</si>
  <si>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</si>
  <si>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</si>
  <si>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</si>
  <si>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</si>
  <si>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</si>
  <si>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</si>
  <si>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</si>
  <si>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</si>
  <si>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</si>
  <si>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</si>
  <si>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</si>
  <si>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</si>
  <si>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</si>
  <si>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</si>
  <si>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</si>
  <si>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</si>
  <si>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</si>
  <si>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</si>
  <si>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</si>
  <si>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</si>
  <si>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</si>
  <si>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</si>
  <si>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</si>
  <si>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</si>
  <si>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</si>
  <si>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</si>
  <si>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</si>
  <si>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</si>
  <si>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</si>
  <si>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</si>
  <si>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</si>
  <si>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</si>
  <si>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</si>
  <si>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</si>
  <si>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</si>
  <si>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</si>
  <si>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</si>
  <si>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</si>
  <si>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</si>
  <si>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</si>
  <si>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</si>
  <si>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</si>
  <si>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</si>
  <si>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</si>
  <si>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</si>
  <si>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</si>
  <si>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</si>
  <si>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</si>
  <si>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</si>
  <si>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</si>
  <si>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</si>
  <si>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</si>
  <si>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</si>
  <si>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</si>
  <si>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</si>
  <si>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</si>
  <si>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</si>
  <si>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</si>
  <si>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</si>
  <si>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</si>
  <si>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</si>
  <si>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</si>
  <si>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</si>
  <si>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</si>
  <si>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</si>
  <si>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</si>
  <si>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</si>
  <si>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</si>
  <si>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</si>
  <si>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</si>
  <si>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</si>
  <si>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</si>
  <si>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</si>
  <si>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</si>
  <si>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</si>
  <si>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</si>
  <si>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</si>
  <si>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</si>
  <si>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</si>
  <si>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</si>
  <si>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</si>
  <si>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</si>
  <si>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</si>
  <si>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</si>
  <si>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</si>
  <si>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</si>
  <si>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</si>
  <si>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</si>
  <si>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</si>
  <si>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</si>
  <si>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</si>
  <si>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</si>
  <si>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</si>
  <si>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</si>
  <si>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</si>
  <si>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</si>
  <si>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</si>
  <si>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</si>
  <si>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</si>
  <si>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</si>
  <si>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</si>
  <si>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</si>
  <si>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</si>
  <si>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</si>
  <si>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</si>
  <si>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</si>
  <si>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</si>
  <si>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</si>
  <si>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</si>
  <si>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</si>
  <si>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</si>
  <si>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</si>
  <si>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</si>
  <si>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</si>
  <si>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</si>
  <si>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</si>
  <si>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</si>
  <si>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</si>
  <si>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</si>
  <si>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</si>
  <si>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</si>
  <si>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</si>
  <si>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</si>
  <si>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</si>
  <si>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</si>
  <si>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</si>
  <si>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</si>
  <si>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</si>
  <si>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</si>
  <si>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</si>
  <si>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</si>
  <si>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</si>
  <si>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</si>
  <si>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</si>
  <si>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</si>
  <si>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</si>
  <si>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</si>
  <si>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</si>
  <si>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</si>
  <si>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</si>
  <si>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</si>
  <si>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</si>
  <si>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</si>
  <si>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</si>
  <si>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</si>
  <si>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</si>
  <si>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</si>
  <si>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</si>
  <si>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</si>
  <si>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</si>
  <si>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</si>
  <si>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</si>
  <si>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</si>
  <si>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SEDL </t>
  </si>
  <si>
    <t>951462/951473/951510</t>
  </si>
  <si>
    <t>ANTIBLOCK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</si>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</sst>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5" sqref="E25:F2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T30050</v>
      </c>
      <c r="C1" s="61"/>
      <c r="D1" s="62"/>
      <c r="E1" s="11" t="s">
        <v>55</v>
      </c>
      <c r="F1" s="51" t="s">
        <v>164</v>
      </c>
      <c r="G1" s="51"/>
      <c r="H1" s="52"/>
      <c r="I1" s="11" t="s">
        <v>148</v>
      </c>
      <c r="J1" s="76">
        <f ca="1">TODAY()</f>
        <v>46101</v>
      </c>
      <c r="K1" s="76"/>
      <c r="L1" s="77"/>
    </row>
    <row r="2" spans="1:14" ht="20.100000000000001" customHeight="1" x14ac:dyDescent="0.25">
      <c r="A2" s="11" t="s">
        <v>94</v>
      </c>
      <c r="B2" s="65" t="str">
        <f>IF(B7="Tube",(ROUNDUP(E11,0)&amp;"KG"),(ROUNDUP(H11,0)&amp;"M"))</f>
        <v>10KG</v>
      </c>
      <c r="C2" s="65"/>
      <c r="D2" s="66"/>
      <c r="E2" s="11" t="s">
        <v>56</v>
      </c>
      <c r="F2" s="51" t="s">
        <v>165</v>
      </c>
      <c r="G2" s="51"/>
      <c r="H2" s="52"/>
      <c r="I2" s="11" t="s">
        <v>57</v>
      </c>
      <c r="J2" s="78">
        <v>46114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158</v>
      </c>
      <c r="B7" s="51" t="s">
        <v>159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2" t="s">
        <v>14</v>
      </c>
      <c r="B8" s="97">
        <v>300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50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146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10</v>
      </c>
      <c r="C10" s="52"/>
      <c r="D10" s="36" t="s">
        <v>104</v>
      </c>
      <c r="E10" s="85">
        <f>E11*B10</f>
        <v>100</v>
      </c>
      <c r="F10" s="86"/>
      <c r="G10" s="11" t="s">
        <v>51</v>
      </c>
      <c r="H10" s="65">
        <f>H11*B10</f>
        <v>3600</v>
      </c>
      <c r="I10" s="66"/>
      <c r="J10" s="11" t="s">
        <v>39</v>
      </c>
      <c r="K10" s="51" t="s">
        <v>42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10</v>
      </c>
      <c r="F11" s="88"/>
      <c r="G11" s="42" t="s">
        <v>13</v>
      </c>
      <c r="H11" s="89">
        <f>E11*540000/B8/H8</f>
        <v>360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10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 t="s">
        <v>166</v>
      </c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 t="s">
        <v>167</v>
      </c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46132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46122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4AAD0A0-24D3-419A-9DAB-5D6CA6E5FC91}"/>
</file>

<file path=customXml/itemProps2.xml><?xml version="1.0" encoding="utf-8"?>
<ds:datastoreItem xmlns:ds="http://schemas.openxmlformats.org/officeDocument/2006/customXml" ds:itemID="{62D7AD0C-004F-4488-A727-04B596A5C106}"/>
</file>

<file path=customXml/itemProps3.xml><?xml version="1.0" encoding="utf-8"?>
<ds:datastoreItem xmlns:ds="http://schemas.openxmlformats.org/officeDocument/2006/customXml" ds:itemID="{49F8FFB5-1463-4B4E-B491-53B96CA402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2026-03-12T01:08:23Z</cp:lastPrinted>
  <dcterms:created xsi:type="dcterms:W3CDTF">2019-11-27T23:28:06Z</dcterms:created>
  <dcterms:modified xsi:type="dcterms:W3CDTF">2026-03-19T22:58:17Z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