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3ACB65E-98B6-494C-80EB-F79ECDD353E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<sst xmlns="http://schemas.openxmlformats.org/spreadsheetml/2006/main" count="306" uniqueCount="201">
  <si>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</si>
  <si>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</si>
  <si>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</si>
  <si>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</si>
  <si>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</si>
  <si>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</si>
  <si>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</si>
  <si>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</si>
  <si>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</si>
  <si>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</si>
  <si>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</si>
  <si>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</si>
  <si>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</si>
  <si>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</si>
  <si>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</si>
  <si>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</si>
  <si>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</si>
  <si>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</si>
  <si>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</si>
  <si>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</si>
  <si>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</si>
  <si>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</si>
  <si>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</si>
  <si>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</si>
  <si>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</si>
  <si>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</si>
  <si>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</si>
  <si>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</si>
  <si>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</si>
  <si>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</si>
  <si>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</si>
  <si>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</si>
  <si>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</si>
  <si>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</si>
  <si>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</si>
  <si>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</si>
  <si>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</si>
  <si>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</si>
  <si>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</si>
  <si>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</si>
  <si>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</si>
  <si>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</si>
  <si>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</si>
  <si>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</si>
  <si>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</si>
  <si>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</si>
  <si>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</si>
  <si>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</si>
  <si>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</si>
  <si>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</si>
  <si>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</si>
  <si>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</si>
  <si>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</si>
  <si>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</si>
  <si>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</si>
  <si>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</si>
  <si>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</si>
  <si>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</si>
  <si>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</si>
  <si>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</si>
  <si>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</si>
  <si>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</si>
  <si>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</si>
  <si>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</si>
  <si>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</si>
  <si>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</si>
  <si>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</si>
  <si>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</si>
  <si>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</si>
  <si>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</si>
  <si>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</si>
  <si>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</si>
  <si>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</si>
  <si>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</si>
  <si>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</si>
  <si>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</si>
  <si>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</si>
  <si>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</si>
  <si>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</si>
  <si>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</si>
  <si>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</si>
  <si>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</si>
  <si>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</si>
  <si>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</si>
  <si>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</si>
  <si>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</si>
  <si>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</si>
  <si>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</si>
  <si>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</si>
  <si>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</si>
  <si>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</si>
  <si>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</si>
  <si>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</si>
  <si>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</si>
  <si>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</si>
  <si>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</si>
  <si>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</si>
  <si>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</si>
  <si>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</si>
  <si>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</si>
  <si>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</si>
  <si>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</si>
  <si>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</si>
  <si>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</si>
  <si>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</si>
  <si>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</si>
  <si>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</si>
  <si>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</si>
  <si>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</si>
  <si>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</si>
  <si>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</si>
  <si>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</si>
  <si>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</si>
  <si>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</si>
  <si>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</si>
  <si>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</si>
  <si>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</si>
  <si>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</si>
  <si>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</si>
  <si>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</si>
  <si>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</si>
  <si>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</si>
  <si>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</si>
  <si>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</si>
  <si>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</si>
  <si>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</si>
  <si>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</si>
  <si>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</si>
  <si>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</si>
  <si>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</si>
  <si>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</si>
  <si>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</si>
  <si>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</si>
  <si>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</si>
  <si>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</si>
  <si>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</si>
  <si>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</si>
  <si>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</si>
  <si>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</si>
  <si>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</si>
  <si>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</si>
  <si>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</si>
  <si>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</si>
  <si>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</si>
  <si>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</si>
  <si>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</si>
  <si>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</si>
  <si>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</si>
  <si>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</si>
  <si>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</si>
  <si>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</si>
  <si>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</si>
  <si>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</si>
  <si>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</si>
  <si>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</si>
  <si>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</si>
  <si>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</si>
  <si>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</si>
  <si>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</si>
  <si>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</si>
  <si>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</si>
  <si>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</si>
  <si>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</si>
  <si>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</si>
  <si>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</si>
  <si>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</si>
  <si>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</si>
  <si>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</si>
  <si>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</si>
  <si>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</si>
  <si>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</si>
  <si>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</si>
  <si>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</si>
  <si>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</si>
  <si>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</si>
  <si>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</si>
  <si>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</si>
  <si>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</si>
  <si>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</si>
  <si>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</si>
  <si>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</si>
  <si>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</si>
  <si>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</si>
  <si>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</si>
  <si>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</si>
  <si>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</si>
  <si>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</si>
  <si>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</si>
  <si>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</si>
  <si>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</si>
  <si>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</si>
  <si>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</si>
  <si>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</si>
  <si>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</si>
  <si>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(320+320)</t>
  </si>
  <si>
    <t xml:space="preserve"> +/- 10mm</t>
  </si>
  <si>
    <t xml:space="preserve"> +/- 5mm</t>
  </si>
  <si>
    <t>ESSSA</t>
  </si>
  <si>
    <t>MUST BE EXCELLENT PRESENTATION 
BAGS MUST NOT BE BLOCKED!! CUSTOMER WILL REJECT</t>
  </si>
  <si>
    <t xml:space="preserve">LIMAX 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</si>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</sst>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4" sqref="AC1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PB640G90075Y0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46093</v>
      </c>
      <c r="K1" s="84"/>
      <c r="L1" s="85"/>
      <c r="M1" s="29"/>
      <c r="N1" s="11" t="s">
        <v>56</v>
      </c>
      <c r="O1" s="111" t="str">
        <f>B1</f>
        <v>PB640G90075Y0</v>
      </c>
      <c r="P1" s="111"/>
      <c r="Q1" s="112"/>
      <c r="R1" s="11" t="s">
        <v>57</v>
      </c>
      <c r="S1" s="111" t="str">
        <f>F1</f>
        <v>ESSSA</v>
      </c>
      <c r="T1" s="111"/>
      <c r="U1" s="112"/>
      <c r="V1" s="11" t="s">
        <v>181</v>
      </c>
      <c r="W1" s="84">
        <f ca="1">J1</f>
        <v>46093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951640</v>
      </c>
      <c r="G2" s="87"/>
      <c r="H2" s="88"/>
      <c r="I2" s="11" t="s">
        <v>59</v>
      </c>
      <c r="J2" s="86">
        <v>46154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951640</v>
      </c>
      <c r="T2" s="111"/>
      <c r="U2" s="112"/>
      <c r="V2" s="11" t="s">
        <v>59</v>
      </c>
      <c r="W2" s="130">
        <f>J2</f>
        <v>46154</v>
      </c>
      <c r="X2" s="111"/>
      <c r="Y2" s="112"/>
    </row>
    <row r="3" spans="1:25" ht="20.100000000000001" customHeight="1" x14ac:dyDescent="0.2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BE EXCELLENT PRESENTATION 
BAGS MUST NOT BE BLOCKED!! CUSTOMER WILL REJECT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148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1500</v>
      </c>
      <c r="V7" s="112"/>
      <c r="W7" s="11" t="s">
        <v>102</v>
      </c>
      <c r="X7" s="87" t="s">
        <v>31</v>
      </c>
      <c r="Y7" s="88"/>
    </row>
    <row r="8" spans="1:25" ht="20.100000000000001" customHeight="1" x14ac:dyDescent="0.25">
      <c r="A8" s="13" t="s">
        <v>16</v>
      </c>
      <c r="B8" s="89">
        <f>R9</f>
        <v>640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(320+320)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33" t="s">
        <v>164</v>
      </c>
      <c r="P8" s="134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31" t="str">
        <f>IF(AND(W8="Gusset",X9=""), "None",IF(AND(W8="Centrefold",X9=""),"None",IF(W8="Gusset","G",IF(W8="Centrefold","CF"))))</f>
        <v>G</v>
      </c>
      <c r="Y8" s="132"/>
    </row>
    <row r="9" spans="1:25" ht="20.100000000000001" customHeight="1" x14ac:dyDescent="0.3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35" t="str">
        <f>IF(O8="Poly Bag","PB",IF(O8="Poly Bag Roll","PBR",IF(O8="Centrefold Roll","CFR",IF(O8="Sheet","S",IF(O8="Sheet Roll","SR")))))</f>
        <v>PB</v>
      </c>
      <c r="P9" s="136"/>
      <c r="Q9" s="17"/>
      <c r="R9" s="30">
        <v>640</v>
      </c>
      <c r="S9" s="18" t="s">
        <v>78</v>
      </c>
      <c r="T9" s="30">
        <v>900</v>
      </c>
      <c r="U9" s="18" t="s">
        <v>78</v>
      </c>
      <c r="V9" s="30">
        <v>75</v>
      </c>
      <c r="W9" s="17"/>
      <c r="X9" s="144" t="s">
        <v>194</v>
      </c>
      <c r="Y9" s="145"/>
    </row>
    <row r="10" spans="1:25" ht="20.100000000000001" customHeight="1" x14ac:dyDescent="0.25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129.60000000000002</v>
      </c>
      <c r="F10" s="102"/>
      <c r="G10" s="11" t="s">
        <v>53</v>
      </c>
      <c r="H10" s="105">
        <f>IF(ISNUMBER(SEARCH("sheet",O8,1)),(U7*T9/2000*1.08),(U7*T9/1000*1.08))</f>
        <v>1458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33" t="s">
        <v>44</v>
      </c>
      <c r="P10" s="134"/>
      <c r="Q10" s="14" t="s">
        <v>50</v>
      </c>
      <c r="R10" s="131" t="str">
        <f>IF(K11="NONE","None",IF(K11="INLINE","Yes",IF(K11="OUT OF LINE","Yes")))</f>
        <v>None</v>
      </c>
      <c r="S10" s="131"/>
      <c r="T10" s="14" t="s">
        <v>100</v>
      </c>
      <c r="U10" s="138"/>
      <c r="V10" s="138"/>
      <c r="W10" s="138"/>
      <c r="X10" s="138"/>
      <c r="Y10" s="139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32.400000000000006</v>
      </c>
      <c r="F11" s="104"/>
      <c r="G11" s="11" t="s">
        <v>15</v>
      </c>
      <c r="H11" s="103">
        <f>H10/B10</f>
        <v>364.5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40"/>
      <c r="V11" s="140"/>
      <c r="W11" s="140"/>
      <c r="X11" s="140"/>
      <c r="Y11" s="141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7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2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7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169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9"/>
      <c r="Y16" s="15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9"/>
      <c r="Y17" s="15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9"/>
      <c r="Y18" s="15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YELLOW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200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146">
        <v>0.02</v>
      </c>
      <c r="F23" s="147"/>
      <c r="G23" s="48" t="s">
        <v>87</v>
      </c>
      <c r="H23" s="32"/>
      <c r="I23" s="82"/>
      <c r="J23" s="83"/>
      <c r="K23" s="82"/>
      <c r="L23" s="83"/>
      <c r="M23" s="29"/>
      <c r="N23" s="137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24</v>
      </c>
      <c r="R25" s="10"/>
      <c r="S25" s="10"/>
      <c r="T25" s="10"/>
      <c r="U25" s="10"/>
      <c r="V25" s="10"/>
      <c r="W25" s="10">
        <v>20</v>
      </c>
      <c r="X25" s="10">
        <v>15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8" t="s">
        <v>132</v>
      </c>
      <c r="H26" s="148"/>
      <c r="I26" s="148" t="s">
        <v>131</v>
      </c>
      <c r="J26" s="14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42"/>
      <c r="G29" s="142"/>
      <c r="H29" s="142"/>
      <c r="I29" s="142"/>
      <c r="J29" s="142"/>
      <c r="K29" s="92"/>
      <c r="L29" s="143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46114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76AC84-1E6B-4EA3-81A6-F4F35A9465F1}"/>
</file>

<file path=customXml/itemProps2.xml><?xml version="1.0" encoding="utf-8"?>
<ds:datastoreItem xmlns:ds="http://schemas.openxmlformats.org/officeDocument/2006/customXml" ds:itemID="{E92D6677-C0FB-4C88-8DAF-4214FEF11032}"/>
</file>

<file path=customXml/itemProps3.xml><?xml version="1.0" encoding="utf-8"?>
<ds:datastoreItem xmlns:ds="http://schemas.openxmlformats.org/officeDocument/2006/customXml" ds:itemID="{9DB9ED0E-B2CD-4FB6-9E34-C75FAAD4C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2023-11-23T23:17:05Z</cp:lastPrinted>
  <dcterms:created xsi:type="dcterms:W3CDTF">2019-11-27T23:28:06Z</dcterms:created>
  <dcterms:modified xsi:type="dcterms:W3CDTF">2026-03-12T01:12:38Z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