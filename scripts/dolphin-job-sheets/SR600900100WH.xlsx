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F309949-782A-4931-AD28-A0B557A6B81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<sst xmlns="http://schemas.openxmlformats.org/spreadsheetml/2006/main" count="305" uniqueCount="199">
  <si>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</si>
  <si>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</si>
  <si>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</si>
  <si>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</si>
  <si>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</si>
  <si>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</si>
  <si>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</si>
  <si>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</si>
  <si>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</si>
  <si>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</si>
  <si>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</si>
  <si>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</si>
  <si>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</si>
  <si>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</si>
  <si>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</si>
  <si>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</si>
  <si>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</si>
  <si>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</si>
  <si>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</si>
  <si>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</si>
  <si>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</si>
  <si>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</si>
  <si>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</si>
  <si>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</si>
  <si>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</si>
  <si>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</si>
  <si>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</si>
  <si>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</si>
  <si>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</si>
  <si>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</si>
  <si>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</si>
  <si>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</si>
  <si>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</si>
  <si>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</si>
  <si>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</si>
  <si>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</si>
  <si>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</si>
  <si>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</si>
  <si>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</si>
  <si>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</si>
  <si>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</si>
  <si>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</si>
  <si>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</si>
  <si>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</si>
  <si>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</si>
  <si>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</si>
  <si>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</si>
  <si>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</si>
  <si>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</si>
  <si>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</si>
  <si>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</si>
  <si>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</si>
  <si>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</si>
  <si>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</si>
  <si>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</si>
  <si>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</si>
  <si>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</si>
  <si>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</si>
  <si>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</si>
  <si>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</si>
  <si>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</si>
  <si>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</si>
  <si>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</si>
  <si>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</si>
  <si>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</si>
  <si>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</si>
  <si>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</si>
  <si>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</si>
  <si>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</si>
  <si>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</si>
  <si>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</si>
  <si>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</si>
  <si>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</si>
  <si>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</si>
  <si>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</si>
  <si>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</si>
  <si>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</si>
  <si>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</si>
  <si>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</si>
  <si>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</si>
  <si>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</si>
  <si>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</si>
  <si>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</si>
  <si>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</si>
  <si>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</si>
  <si>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</si>
  <si>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</si>
  <si>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</si>
  <si>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</si>
  <si>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</si>
  <si>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</si>
  <si>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</si>
  <si>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</si>
  <si>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</si>
  <si>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</si>
  <si>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</si>
  <si>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</si>
  <si>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</si>
  <si>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</si>
  <si>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</si>
  <si>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</si>
  <si>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</si>
  <si>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</si>
  <si>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</si>
  <si>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</si>
  <si>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</si>
  <si>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</si>
  <si>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</si>
  <si>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</si>
  <si>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</si>
  <si>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</si>
  <si>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</si>
  <si>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</si>
  <si>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</si>
  <si>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</si>
  <si>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</si>
  <si>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</si>
  <si>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</si>
  <si>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</si>
  <si>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</si>
  <si>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</si>
  <si>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</si>
  <si>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</si>
  <si>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</si>
  <si>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</si>
  <si>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</si>
  <si>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</si>
  <si>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</si>
  <si>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</si>
  <si>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</si>
  <si>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</si>
  <si>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</si>
  <si>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</si>
  <si>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</si>
  <si>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</si>
  <si>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</si>
  <si>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</si>
  <si>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</si>
  <si>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</si>
  <si>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</si>
  <si>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</si>
  <si>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</si>
  <si>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</si>
  <si>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</si>
  <si>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</si>
  <si>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</si>
  <si>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</si>
  <si>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</si>
  <si>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</si>
  <si>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</si>
  <si>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</si>
  <si>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</si>
  <si>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</si>
  <si>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</si>
  <si>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</si>
  <si>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</si>
  <si>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</si>
  <si>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</si>
  <si>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</si>
  <si>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</si>
  <si>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</si>
  <si>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</si>
  <si>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</si>
  <si>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</si>
  <si>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</si>
  <si>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</si>
  <si>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</si>
  <si>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</si>
  <si>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</si>
  <si>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</si>
  <si>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</si>
  <si>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</si>
  <si>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</si>
  <si>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</si>
  <si>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</si>
  <si>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</si>
  <si>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</si>
  <si>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</si>
  <si>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</si>
  <si>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</si>
  <si>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</si>
  <si>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</si>
  <si>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</si>
  <si>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</si>
  <si>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</si>
  <si>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</si>
  <si>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</si>
  <si>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</si>
  <si>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</si>
  <si>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</si>
  <si>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</si>
  <si>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</si>
  <si>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</si>
  <si>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</si>
  <si>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</si>
  <si>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95UM</t>
  </si>
  <si>
    <t>NEW ITEM - MUST KEEP CLEAN</t>
  </si>
  <si>
    <t>WILLIAM SEAFOOD</t>
  </si>
  <si>
    <t>18.02.2025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</si>
</sst>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B1" zoomScale="80" zoomScaleNormal="80" zoomScaleSheetLayoutView="40" workbookViewId="0">
      <selection activeCell="A3" sqref="A3:L5"/>
    </sheetView>
  </sheetViews>
  <sheetFormatPr defaultRowHeight="14.75" x14ac:dyDescent="0.75"/>
  <sheetData>
    <row r="1" spans="1:25" ht="20.100000000000001" customHeight="1" x14ac:dyDescent="0.8">
      <c r="A1" s="27" t="s">
        <v>55</v>
      </c>
      <c r="B1" s="88" t="str">
        <f>O9&amp;R9&amp;IF(X8="G","G","")&amp;IF(O8="Centrefold Roll","("&amp;E8&amp;")","")&amp;T9&amp;V9&amp;C22&amp;C23&amp;C24&amp;O11&amp;R11</f>
        <v>SR60060050WH</v>
      </c>
      <c r="C1" s="88"/>
      <c r="D1" s="89"/>
      <c r="E1" s="27" t="s">
        <v>56</v>
      </c>
      <c r="F1" s="86" t="s">
        <v>197</v>
      </c>
      <c r="G1" s="86"/>
      <c r="H1" s="87"/>
      <c r="I1" s="27" t="s">
        <v>181</v>
      </c>
      <c r="J1" s="101">
        <f ca="1">TODAY()</f>
        <v>45691</v>
      </c>
      <c r="K1" s="101"/>
      <c r="L1" s="102"/>
      <c r="M1" s="11"/>
      <c r="N1" s="27" t="s">
        <v>55</v>
      </c>
      <c r="O1" s="88" t="str">
        <f>B1</f>
        <v>SR60060050WH</v>
      </c>
      <c r="P1" s="88"/>
      <c r="Q1" s="89"/>
      <c r="R1" s="27" t="s">
        <v>56</v>
      </c>
      <c r="S1" s="88" t="str">
        <f>F1</f>
        <v>WILLIAM SEAFOOD</v>
      </c>
      <c r="T1" s="88"/>
      <c r="U1" s="89"/>
      <c r="V1" s="27" t="s">
        <v>181</v>
      </c>
      <c r="W1" s="101">
        <f ca="1">J1</f>
        <v>45691</v>
      </c>
      <c r="X1" s="101"/>
      <c r="Y1" s="102"/>
    </row>
    <row r="2" spans="1:25" ht="20.100000000000001" customHeight="1" x14ac:dyDescent="0.8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949303</v>
      </c>
      <c r="G2" s="86"/>
      <c r="H2" s="87"/>
      <c r="I2" s="27" t="s">
        <v>58</v>
      </c>
      <c r="J2" s="106" t="s">
        <v>198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949303</v>
      </c>
      <c r="T2" s="88"/>
      <c r="U2" s="89"/>
      <c r="V2" s="27" t="s">
        <v>58</v>
      </c>
      <c r="W2" s="103" t="str">
        <f>J2</f>
        <v>18.02.2025</v>
      </c>
      <c r="X2" s="88"/>
      <c r="Y2" s="89"/>
    </row>
    <row r="3" spans="1:25" ht="20.100000000000001" customHeight="1" x14ac:dyDescent="0.75">
      <c r="A3" s="92" t="s">
        <v>196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NEW ITEM - MUST KEEP CLEAN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7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7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9">
      <c r="A7" s="27" t="s">
        <v>48</v>
      </c>
      <c r="B7" s="90" t="s">
        <v>154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10</v>
      </c>
      <c r="P7" s="87"/>
      <c r="Q7" s="27" t="str">
        <f>IF(ISNUMBER(SEARCH("roll",O8,1)),"Per Roll","Per Carton")</f>
        <v>Per Roll</v>
      </c>
      <c r="R7" s="86">
        <v>500</v>
      </c>
      <c r="S7" s="87"/>
      <c r="T7" s="27" t="str">
        <f>IF(ISNUMBER(SEARCH("bag",O8,1)),"Total Bags","Total Sheets")</f>
        <v>Total Sheets</v>
      </c>
      <c r="U7" s="88">
        <f>R7*O7</f>
        <v>5000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8">
      <c r="A8" s="30" t="s">
        <v>15</v>
      </c>
      <c r="B8" s="104">
        <f>R9</f>
        <v>600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50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9">
      <c r="A9" s="42" t="s">
        <v>47</v>
      </c>
      <c r="B9" s="111" t="s">
        <v>179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195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600</v>
      </c>
      <c r="S9" s="33" t="s">
        <v>77</v>
      </c>
      <c r="T9" s="12">
        <v>600</v>
      </c>
      <c r="U9" s="33" t="s">
        <v>77</v>
      </c>
      <c r="V9" s="12">
        <v>50</v>
      </c>
      <c r="W9" s="29"/>
      <c r="X9" s="128"/>
      <c r="Y9" s="129"/>
    </row>
    <row r="10" spans="1:25" ht="20.100000000000001" customHeight="1" x14ac:dyDescent="0.8">
      <c r="A10" s="27" t="s">
        <v>50</v>
      </c>
      <c r="B10" s="86">
        <v>4</v>
      </c>
      <c r="C10" s="87"/>
      <c r="D10" s="48" t="s">
        <v>133</v>
      </c>
      <c r="E10" s="113">
        <f>IF(ISNUMBER(SEARCH("sheet",O8,1)),((R9*T9*H8/540000)*U7/2000*1.3),((R9*T9*H8/540000)*U7/1000*1.08))</f>
        <v>108.33333333333334</v>
      </c>
      <c r="F10" s="114"/>
      <c r="G10" s="27" t="s">
        <v>52</v>
      </c>
      <c r="H10" s="117">
        <f>IF(ISNUMBER(SEARCH("sheet",O8,1)),(U7*T9/2000*1.08),(U7*T9/1000*1.08))</f>
        <v>1620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8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8</v>
      </c>
      <c r="C11" s="89"/>
      <c r="D11" s="27" t="s">
        <v>134</v>
      </c>
      <c r="E11" s="115">
        <f>E10/B10</f>
        <v>27.083333333333336</v>
      </c>
      <c r="F11" s="116"/>
      <c r="G11" s="27" t="s">
        <v>14</v>
      </c>
      <c r="H11" s="115">
        <f>H10/B10</f>
        <v>405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7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8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10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50</v>
      </c>
      <c r="X13" s="27" t="s">
        <v>75</v>
      </c>
      <c r="Y13" s="14"/>
    </row>
    <row r="14" spans="1:25" ht="20.100000000000001" customHeight="1" x14ac:dyDescent="0.9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7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75">
      <c r="A22" s="77" t="str">
        <f>(IF(B7="NATURAL","",B7))</f>
        <v>WHITE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0"/>
      <c r="E22" s="84">
        <v>0.04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7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7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00000000000001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75">
      <c r="N43" s="53"/>
    </row>
    <row r="44" spans="1:25" ht="20.100000000000001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00000000000001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45719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45712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2DBC7BF-2B0A-4219-B356-01041246E839}"/>
</file>

<file path=customXml/itemProps2.xml><?xml version="1.0" encoding="utf-8"?>
<ds:datastoreItem xmlns:ds="http://schemas.openxmlformats.org/officeDocument/2006/customXml" ds:itemID="{FFF1DCA0-3169-46FC-AE5B-C7C1A437826D}"/>
</file>

<file path=customXml/itemProps3.xml><?xml version="1.0" encoding="utf-8"?>
<ds:datastoreItem xmlns:ds="http://schemas.openxmlformats.org/officeDocument/2006/customXml" ds:itemID="{E87E88B2-004F-4AA9-950A-9D6299D99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2025-02-03T01:00:39Z</cp:lastPrinted>
  <dcterms:created xsi:type="dcterms:W3CDTF">2019-11-27T23:28:06Z</dcterms:created>
  <dcterms:modified xsi:type="dcterms:W3CDTF">2025-02-03T01:37:18Z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