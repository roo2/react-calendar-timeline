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3" documentId="13_ncr:1_{41BD4ED8-0F61-4F8C-934D-05484A927DD7}" xr6:coauthVersionLast="47" xr6:coauthVersionMax="47" xr10:uidLastSave="{9EF03670-5784-4940-BEAC-4EE73FEBD0E5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B1" i="1" l="1"/>
  <c r="F16" i="1" l="1"/>
  <c r="J1" i="1" l="1"/>
  <c r="A4" i="2" l="1"/>
  <c r="A5" i="2"/>
</calcChain>
</file>

<file path=xl/sharedStrings.xml><?xml version="1.0" encoding="utf-8"?>
<sst xmlns="http://schemas.openxmlformats.org/spreadsheetml/2006/main" count="230" uniqueCount="172">
  <si>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</si>
  <si>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</si>
  <si>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</si>
  <si>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</si>
  <si>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</si>
  <si>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</si>
  <si>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</si>
  <si>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</si>
  <si>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</si>
  <si>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</si>
  <si>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</si>
  <si>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</si>
  <si>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</si>
  <si>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</si>
  <si>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</si>
  <si>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</si>
  <si>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</si>
  <si>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</si>
  <si>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</si>
  <si>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</si>
  <si>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</si>
  <si>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</si>
  <si>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</si>
  <si>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</si>
  <si>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</si>
  <si>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</si>
  <si>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</si>
  <si>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</si>
  <si>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</si>
  <si>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</si>
  <si>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</si>
  <si>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</si>
  <si>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</si>
  <si>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</si>
  <si>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</si>
  <si>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</si>
  <si>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</si>
  <si>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</si>
  <si>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</si>
  <si>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</si>
  <si>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</si>
  <si>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</si>
  <si>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</si>
  <si>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</si>
  <si>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</si>
  <si>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</si>
  <si>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</si>
  <si>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</si>
  <si>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</si>
  <si>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</si>
  <si>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</si>
  <si>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</si>
  <si>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</si>
  <si>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</si>
  <si>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</si>
  <si>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</si>
  <si>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</si>
  <si>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</si>
  <si>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</si>
  <si>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</si>
  <si>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</si>
  <si>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</si>
  <si>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</si>
  <si>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</si>
  <si>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</si>
  <si>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</si>
  <si>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</si>
  <si>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</si>
  <si>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</si>
  <si>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</si>
  <si>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</si>
  <si>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</si>
  <si>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</si>
  <si>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</si>
  <si>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</si>
  <si>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</si>
  <si>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</si>
  <si>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</si>
  <si>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</si>
  <si>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</si>
  <si>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</si>
  <si>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</si>
  <si>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</si>
  <si>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</si>
  <si>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</si>
  <si>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</si>
  <si>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</si>
  <si>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</si>
  <si>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</si>
  <si>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</si>
  <si>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</si>
  <si>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</si>
  <si>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</si>
  <si>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</si>
  <si>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</si>
  <si>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</si>
  <si>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</si>
  <si>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</si>
  <si>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</si>
  <si>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</si>
  <si>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</si>
  <si>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</si>
  <si>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</si>
  <si>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</si>
  <si>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</si>
  <si>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</si>
  <si>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</si>
  <si>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</si>
  <si>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</si>
  <si>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</si>
  <si>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</si>
  <si>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</si>
  <si>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</si>
  <si>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</si>
  <si>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</si>
  <si>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</si>
  <si>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</si>
  <si>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</si>
  <si>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</si>
  <si>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</si>
  <si>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</si>
  <si>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</si>
  <si>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</si>
  <si>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</si>
  <si>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</si>
  <si>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</si>
  <si>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</si>
  <si>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</si>
  <si>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</si>
  <si>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</si>
  <si>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</si>
  <si>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</si>
  <si>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</si>
  <si>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</si>
  <si>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</si>
  <si>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</si>
  <si>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</si>
  <si>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</si>
  <si>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</si>
  <si>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</si>
  <si>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</si>
  <si>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</si>
  <si>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</si>
  <si>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</si>
  <si>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</si>
  <si>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</si>
  <si>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</si>
  <si>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</si>
  <si>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</si>
  <si>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</si>
  <si>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</si>
  <si>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</si>
  <si>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</si>
  <si>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</si>
  <si>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</si>
  <si>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</si>
  <si>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</si>
  <si>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</si>
  <si>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</si>
  <si>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</si>
  <si>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</si>
  <si>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</si>
  <si>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</si>
  <si>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</si>
  <si>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NOT OVER</t>
  </si>
  <si>
    <t>TRIPLE M</t>
  </si>
  <si>
    <t>ANTIBLOCK</t>
  </si>
  <si>
    <t>ANTISLIP</t>
  </si>
  <si>
    <t>L4</t>
  </si>
  <si>
    <t>#4/L4</t>
  </si>
  <si>
    <t>37/39</t>
  </si>
  <si>
    <t>2.4/2.3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</si>
</sst>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6" fillId="5" borderId="6" xfId="0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16" fillId="5" borderId="4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8" xfId="0" applyFill="1" applyBorder="1" applyAlignment="1">
      <alignment horizontal="center"/>
    </xf>
    <xf numFmtId="9" fontId="16" fillId="5" borderId="4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T350100</v>
      </c>
      <c r="C1" s="61"/>
      <c r="D1" s="62"/>
      <c r="E1" s="10" t="s">
        <v>55</v>
      </c>
      <c r="F1" s="51" t="s">
        <v>165</v>
      </c>
      <c r="G1" s="51"/>
      <c r="H1" s="52"/>
      <c r="I1" s="10" t="s">
        <v>147</v>
      </c>
      <c r="J1" s="76">
        <f ca="1">TODAY()</f>
        <v>46132</v>
      </c>
      <c r="K1" s="76"/>
      <c r="L1" s="77"/>
    </row>
    <row r="2" spans="1:14" ht="20.100000000000001" customHeight="1" x14ac:dyDescent="0.25">
      <c r="A2" s="10" t="s">
        <v>94</v>
      </c>
      <c r="B2" s="65" t="str">
        <f>IF(B7="Tube",(ROUNDUP(E11,0)&amp;"KG"),(ROUNDUP(H11,0)&amp;"M"))</f>
        <v>20KG</v>
      </c>
      <c r="C2" s="65"/>
      <c r="D2" s="66"/>
      <c r="E2" s="10" t="s">
        <v>56</v>
      </c>
      <c r="F2" s="51">
        <v>951760</v>
      </c>
      <c r="G2" s="51"/>
      <c r="H2" s="52"/>
      <c r="I2" s="10" t="s">
        <v>57</v>
      </c>
      <c r="J2" s="78">
        <v>46111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0" t="s">
        <v>157</v>
      </c>
      <c r="B7" s="51" t="s">
        <v>158</v>
      </c>
      <c r="C7" s="52"/>
      <c r="D7" s="10" t="s">
        <v>47</v>
      </c>
      <c r="E7" s="108" t="s">
        <v>131</v>
      </c>
      <c r="F7" s="108"/>
      <c r="G7" s="108"/>
      <c r="H7" s="108"/>
      <c r="I7" s="108"/>
      <c r="J7" s="91" t="s">
        <v>145</v>
      </c>
      <c r="K7" s="91"/>
      <c r="L7" s="92"/>
    </row>
    <row r="8" spans="1:14" ht="20.100000000000001" customHeight="1" x14ac:dyDescent="0.25">
      <c r="A8" s="11" t="s">
        <v>14</v>
      </c>
      <c r="B8" s="97">
        <v>350</v>
      </c>
      <c r="C8" s="98"/>
      <c r="D8" s="11" t="str">
        <f>IF(B7="Tube","Gusset","Centrefold")</f>
        <v>Gusset</v>
      </c>
      <c r="E8" s="93" t="str">
        <f>IF(B7="Cont Centrefold",B8*2,"")</f>
        <v/>
      </c>
      <c r="F8" s="94"/>
      <c r="G8" s="11" t="s">
        <v>50</v>
      </c>
      <c r="H8" s="97">
        <v>100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2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164</v>
      </c>
      <c r="I9" s="82"/>
      <c r="J9" s="10" t="s">
        <v>53</v>
      </c>
      <c r="K9" s="51" t="s">
        <v>28</v>
      </c>
      <c r="L9" s="52"/>
    </row>
    <row r="10" spans="1:14" ht="20.100000000000001" customHeight="1" x14ac:dyDescent="0.25">
      <c r="A10" s="10" t="s">
        <v>49</v>
      </c>
      <c r="B10" s="51">
        <v>6</v>
      </c>
      <c r="C10" s="52"/>
      <c r="D10" s="35" t="s">
        <v>104</v>
      </c>
      <c r="E10" s="85">
        <f>E11*B10</f>
        <v>120</v>
      </c>
      <c r="F10" s="86"/>
      <c r="G10" s="10" t="s">
        <v>51</v>
      </c>
      <c r="H10" s="65">
        <f>H11*B10</f>
        <v>1851.4285714285716</v>
      </c>
      <c r="I10" s="66"/>
      <c r="J10" s="10" t="s">
        <v>39</v>
      </c>
      <c r="K10" s="51" t="s">
        <v>42</v>
      </c>
      <c r="L10" s="52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1" t="s">
        <v>105</v>
      </c>
      <c r="E11" s="87">
        <v>20</v>
      </c>
      <c r="F11" s="88"/>
      <c r="G11" s="41" t="s">
        <v>13</v>
      </c>
      <c r="H11" s="89">
        <f>E11*540000/B8/H8</f>
        <v>308.57142857142861</v>
      </c>
      <c r="I11" s="90"/>
      <c r="J11" s="41" t="s">
        <v>48</v>
      </c>
      <c r="K11" s="95" t="s">
        <v>42</v>
      </c>
      <c r="L11" s="96"/>
      <c r="N11"/>
    </row>
    <row r="12" spans="1:14" ht="20.100000000000001" customHeight="1" x14ac:dyDescent="0.25">
      <c r="A12" s="106" t="s">
        <v>11</v>
      </c>
      <c r="B12" s="107"/>
      <c r="C12" s="107"/>
      <c r="D12" s="107"/>
      <c r="E12" s="102"/>
      <c r="F12" s="102"/>
      <c r="G12" s="102"/>
      <c r="H12" s="102"/>
      <c r="I12" s="102"/>
      <c r="J12" s="102"/>
      <c r="K12" s="102"/>
      <c r="L12" s="103"/>
    </row>
    <row r="13" spans="1:14" ht="20.100000000000001" customHeight="1" x14ac:dyDescent="0.25">
      <c r="A13" s="10" t="s">
        <v>59</v>
      </c>
      <c r="B13" s="51" t="s">
        <v>42</v>
      </c>
      <c r="C13" s="51"/>
      <c r="D13" s="52"/>
      <c r="E13" s="13" t="s">
        <v>60</v>
      </c>
      <c r="F13" s="51" t="s">
        <v>42</v>
      </c>
      <c r="G13" s="51"/>
      <c r="H13" s="52"/>
      <c r="I13" s="10" t="s">
        <v>61</v>
      </c>
      <c r="J13" s="51" t="s">
        <v>42</v>
      </c>
      <c r="K13" s="51"/>
      <c r="L13" s="52"/>
    </row>
    <row r="14" spans="1:14" ht="20.100000000000001" customHeight="1" x14ac:dyDescent="0.3">
      <c r="A14" s="11" t="s">
        <v>58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6</v>
      </c>
      <c r="G16" s="61"/>
      <c r="H16" s="62"/>
      <c r="I16" s="10" t="s">
        <v>74</v>
      </c>
      <c r="J16" s="51"/>
      <c r="K16" s="51"/>
      <c r="L16" s="52"/>
    </row>
    <row r="17" spans="1:12" ht="20.100000000000001" customHeight="1" x14ac:dyDescent="0.2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100" t="s">
        <v>5</v>
      </c>
      <c r="B19" s="100"/>
      <c r="C19" s="63" t="s">
        <v>115</v>
      </c>
      <c r="D19" s="64"/>
      <c r="E19" s="121"/>
      <c r="F19" s="122"/>
      <c r="G19" s="9" t="s">
        <v>76</v>
      </c>
      <c r="H19" s="30"/>
      <c r="I19" s="56"/>
      <c r="J19" s="57"/>
      <c r="K19" s="56"/>
      <c r="L19" s="57"/>
    </row>
    <row r="20" spans="1:12" ht="20.100000000000001" customHeight="1" x14ac:dyDescent="0.25">
      <c r="A20" s="100" t="s">
        <v>6</v>
      </c>
      <c r="B20" s="100"/>
      <c r="C20" s="63" t="s">
        <v>114</v>
      </c>
      <c r="D20" s="64"/>
      <c r="E20" s="121"/>
      <c r="F20" s="122"/>
      <c r="G20" s="9" t="s">
        <v>77</v>
      </c>
      <c r="H20" s="30"/>
      <c r="I20" s="56"/>
      <c r="J20" s="57"/>
      <c r="K20" s="56"/>
      <c r="L20" s="57"/>
    </row>
    <row r="21" spans="1:12" ht="20.100000000000001" customHeight="1" x14ac:dyDescent="0.25">
      <c r="A21" s="100" t="s">
        <v>7</v>
      </c>
      <c r="B21" s="100"/>
      <c r="C21" s="63" t="s">
        <v>113</v>
      </c>
      <c r="D21" s="64"/>
      <c r="E21" s="121"/>
      <c r="F21" s="122"/>
      <c r="G21" s="9" t="s">
        <v>78</v>
      </c>
      <c r="H21" s="30"/>
      <c r="I21" s="56"/>
      <c r="J21" s="57"/>
      <c r="K21" s="56"/>
      <c r="L21" s="57"/>
    </row>
    <row r="22" spans="1:12" ht="20.100000000000001" customHeight="1" x14ac:dyDescent="0.25">
      <c r="A22" s="100" t="s">
        <v>8</v>
      </c>
      <c r="B22" s="100"/>
      <c r="C22" s="63" t="s">
        <v>112</v>
      </c>
      <c r="D22" s="64"/>
      <c r="E22" s="121"/>
      <c r="F22" s="122"/>
      <c r="G22" s="9" t="s">
        <v>79</v>
      </c>
      <c r="H22" s="30"/>
      <c r="I22" s="56"/>
      <c r="J22" s="57"/>
      <c r="K22" s="56"/>
      <c r="L22" s="57"/>
    </row>
    <row r="23" spans="1:12" ht="20.100000000000001" customHeight="1" x14ac:dyDescent="0.25">
      <c r="A23" s="100" t="s">
        <v>149</v>
      </c>
      <c r="B23" s="100"/>
      <c r="C23" s="63" t="s">
        <v>150</v>
      </c>
      <c r="D23" s="64"/>
      <c r="E23" s="121"/>
      <c r="F23" s="122"/>
      <c r="G23" s="9" t="s">
        <v>80</v>
      </c>
      <c r="H23" s="30"/>
      <c r="I23" s="56"/>
      <c r="J23" s="57"/>
      <c r="K23" s="56"/>
      <c r="L23" s="57"/>
    </row>
    <row r="24" spans="1:12" ht="20.100000000000001" customHeight="1" x14ac:dyDescent="0.3">
      <c r="A24" s="49" t="s">
        <v>167</v>
      </c>
      <c r="B24" s="49"/>
      <c r="C24" s="124"/>
      <c r="D24" s="120"/>
      <c r="E24" s="104"/>
      <c r="F24" s="105"/>
      <c r="G24" s="9" t="s">
        <v>81</v>
      </c>
      <c r="H24" s="30"/>
      <c r="I24" s="56"/>
      <c r="J24" s="57"/>
      <c r="K24" s="56"/>
      <c r="L24" s="57"/>
    </row>
    <row r="25" spans="1:12" ht="20.100000000000001" customHeight="1" x14ac:dyDescent="0.3">
      <c r="A25" s="49" t="s">
        <v>166</v>
      </c>
      <c r="B25" s="49"/>
      <c r="C25" s="119"/>
      <c r="D25" s="120"/>
      <c r="E25" s="104"/>
      <c r="F25" s="105"/>
      <c r="G25" s="9" t="s">
        <v>82</v>
      </c>
      <c r="H25" s="30"/>
      <c r="I25" s="56"/>
      <c r="J25" s="57"/>
      <c r="K25" s="56"/>
      <c r="L25" s="57"/>
    </row>
    <row r="26" spans="1:12" ht="20.100000000000001" customHeight="1" x14ac:dyDescent="0.25">
      <c r="A26" s="101" t="s">
        <v>0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169</v>
      </c>
      <c r="C28" s="6"/>
      <c r="D28" s="22" t="s">
        <v>170</v>
      </c>
      <c r="E28" s="44" t="s">
        <v>171</v>
      </c>
      <c r="F28" s="6"/>
      <c r="G28" s="45"/>
      <c r="H28" s="45"/>
      <c r="I28" s="45"/>
      <c r="J28" s="45"/>
      <c r="K28" s="6"/>
      <c r="L28" s="22"/>
    </row>
    <row r="29" spans="1:12" ht="20.100000000000001" customHeight="1" x14ac:dyDescent="0.25">
      <c r="A29" s="15" t="s">
        <v>91</v>
      </c>
      <c r="B29" s="6" t="s">
        <v>168</v>
      </c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00000000000001" customHeight="1" x14ac:dyDescent="0.25">
      <c r="A30" s="106" t="s">
        <v>93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23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00000000000001" customHeight="1" x14ac:dyDescent="0.2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00000000000001" customHeight="1" x14ac:dyDescent="0.2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46162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46153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A08743E-C433-4EF3-BBCA-39C69DF52E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DD915D-546A-4403-8EA3-A14A15CBF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29E1B6-969F-4816-8A6C-F803E01D6BA7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2026-01-05T04:14:27Z</cp:lastPrinted>
  <dcterms:created xsi:type="dcterms:W3CDTF">2019-11-27T23:28:06Z</dcterms:created>
  <dcterms:modified xsi:type="dcterms:W3CDTF">2026-04-20T03:14:22Z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