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codeName="ThisWorkbook"/>
  <mc:AlternateContent xmlns:mc="http://schemas.openxmlformats.org/markup-compatibility/2006">
    <mc:Choice Requires="x15">
      <x15ac:absPath xmlns:x15ac="http://schemas.microsoft.com/office/spreadsheetml/2010/11/ac" url="K:\EXCELL WORK SHEETS\NEW PRODUCTION SHEETS 2020\"/>
    </mc:Choice>
  </mc:AlternateContent>
  <xr:revisionPtr revIDLastSave="0" documentId="13_ncr:1_{534FA3EA-5262-4980-97A8-4FE81D22F8A6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9" i="1" l="1"/>
  <c r="E11" i="1" s="1"/>
  <c r="B2" i="1" l="1"/>
  <c r="B11" i="1" l="1"/>
  <c r="C25" i="1"/>
  <c r="A11" i="1" l="1"/>
  <c r="D8" i="1" l="1"/>
  <c r="K8" i="1" l="1"/>
  <c r="A24" i="1" l="1"/>
  <c r="C24" i="1" s="1"/>
  <c r="B1" i="1" s="1"/>
  <c r="F16" i="1" l="1"/>
  <c r="J1" i="1" l="1"/>
  <c r="A4" i="2" l="1"/>
  <c r="A5" i="2"/>
  <c r="H10" i="1" l="1"/>
  <c r="E10" i="1"/>
</calcChain>
</file>

<file path=xl/sharedStrings.xml><?xml version="1.0" encoding="utf-8"?>
<sst xmlns="http://schemas.openxmlformats.org/spreadsheetml/2006/main" count="224" uniqueCount="166">
  <si>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</si>
  <si>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</si>
  <si>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</si>
  <si>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</si>
  <si>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</si>
  <si>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</si>
  <si>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</si>
  <si>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</si>
  <si>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</si>
  <si>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</si>
  <si>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</si>
  <si>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</si>
  <si>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</si>
  <si>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</si>
  <si>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</si>
  <si>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</si>
  <si>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</si>
  <si>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</si>
  <si>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</si>
  <si>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</si>
  <si>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</si>
  <si>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</si>
  <si>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</si>
  <si>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</si>
  <si>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</si>
  <si>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</si>
  <si>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</si>
  <si>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</si>
  <si>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</si>
  <si>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</si>
  <si>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</si>
  <si>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</si>
  <si>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</si>
  <si>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</si>
  <si>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</si>
  <si>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</si>
  <si>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</si>
  <si>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</si>
  <si>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</si>
  <si>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</si>
  <si>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</si>
  <si>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</si>
  <si>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</si>
  <si>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</si>
  <si>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</si>
  <si>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</si>
  <si>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</si>
  <si>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</si>
  <si>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</si>
  <si>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</si>
  <si>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</si>
  <si>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</si>
  <si>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</si>
  <si>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</si>
  <si>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</si>
  <si>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</si>
  <si>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</si>
  <si>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</si>
  <si>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</si>
  <si>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</si>
  <si>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</si>
  <si>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</si>
  <si>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</si>
  <si>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</si>
  <si>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</si>
  <si>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</si>
  <si>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</si>
  <si>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</si>
  <si>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</si>
  <si>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</si>
  <si>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</si>
  <si>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</si>
  <si>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</si>
  <si>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</si>
  <si>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</si>
  <si>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</si>
  <si>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</si>
  <si>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</si>
  <si>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</si>
  <si>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</si>
  <si>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</si>
  <si>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</si>
  <si>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</si>
  <si>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</si>
  <si>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</si>
  <si>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</si>
  <si>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</si>
  <si>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</si>
  <si>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</si>
  <si>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</si>
  <si>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</si>
  <si>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</si>
  <si>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</si>
  <si>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</si>
  <si>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</si>
  <si>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</si>
  <si>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</si>
  <si>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</si>
  <si>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</si>
  <si>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</si>
  <si>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</si>
  <si>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</si>
  <si>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</si>
  <si>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</si>
  <si>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</si>
  <si>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</si>
  <si>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</si>
  <si>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</si>
  <si>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</si>
  <si>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</si>
  <si>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</si>
  <si>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</si>
  <si>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</si>
  <si>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</si>
  <si>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</si>
  <si>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</si>
  <si>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</si>
  <si>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</si>
  <si>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</si>
  <si>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</si>
  <si>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</si>
  <si>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</si>
  <si>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</si>
  <si>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</si>
  <si>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</si>
  <si>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</si>
  <si>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</si>
  <si>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</si>
  <si>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</si>
  <si>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</si>
  <si>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</si>
  <si>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</si>
  <si>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</si>
  <si>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</si>
  <si>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</si>
  <si>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</si>
  <si>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Centre Fold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</si>
  <si>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</si>
  <si>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</si>
  <si>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</si>
  <si>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</si>
  <si>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</si>
  <si>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</si>
  <si>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</si>
  <si>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</si>
  <si>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</si>
  <si>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</si>
  <si>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</si>
  <si>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</si>
  <si>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</si>
  <si>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</si>
  <si>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</si>
  <si>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</si>
  <si>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</si>
  <si>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</si>
  <si>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</si>
  <si>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</si>
  <si>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</si>
  <si>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</si>
  <si>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</si>
  <si>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</si>
  <si>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</si>
  <si>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</si>
  <si>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RUN AT 70UM</t>
  </si>
  <si>
    <t xml:space="preserve"> +/- 10mm</t>
  </si>
  <si>
    <t>HYQUAL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</si>
</sst>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6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0" fontId="9" fillId="0" borderId="4" xfId="0" applyNumberFormat="1" applyFont="1" applyBorder="1" applyAlignment="1" applyProtection="1">
      <alignment horizontal="center"/>
      <protection locked="0"/>
    </xf>
    <xf numFmtId="10" fontId="9" fillId="0" borderId="5" xfId="0" applyNumberFormat="1" applyFont="1" applyBorder="1" applyAlignment="1" applyProtection="1">
      <alignment horizontal="center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0" fillId="2" borderId="4" xfId="0" applyFill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0" fontId="3" fillId="4" borderId="2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center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J2" sqref="J2:L2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111" t="str">
        <f>IF(B7="Tube","T",IF(B7="Cont Sheet Roll","SR",IF(B7="Cont Centrefold","CFR")))&amp;B8&amp;IF(E8="","",E8)&amp;H8&amp;(IF(K11="INLINE","P",IF(K11="OUT OF LINE","P",IF(K11="NONE",""))))&amp;C24&amp;C25</f>
        <v>CFR915(1830)150</v>
      </c>
      <c r="C1" s="111"/>
      <c r="D1" s="112"/>
      <c r="E1" s="12" t="s">
        <v>55</v>
      </c>
      <c r="F1" s="122" t="s">
        <v>165</v>
      </c>
      <c r="G1" s="122"/>
      <c r="H1" s="123"/>
      <c r="I1" s="12" t="s">
        <v>148</v>
      </c>
      <c r="J1" s="124">
        <f ca="1">TODAY()</f>
        <v>44126</v>
      </c>
      <c r="K1" s="124"/>
      <c r="L1" s="125"/>
    </row>
    <row r="2" spans="1:14" ht="20.100000000000001" customHeight="1" x14ac:dyDescent="0.25">
      <c r="A2" s="12" t="s">
        <v>94</v>
      </c>
      <c r="B2" s="102" t="str">
        <f>IF(B7="Tube",(ROUNDUP(E11,0)&amp;"KG"),(ROUNDUP(H11,0)&amp;"M"))</f>
        <v>343M</v>
      </c>
      <c r="C2" s="102"/>
      <c r="D2" s="103"/>
      <c r="E2" s="12" t="s">
        <v>56</v>
      </c>
      <c r="F2" s="55">
        <v>936939</v>
      </c>
      <c r="G2" s="55"/>
      <c r="H2" s="56"/>
      <c r="I2" s="12" t="s">
        <v>57</v>
      </c>
      <c r="J2" s="126">
        <v>43945</v>
      </c>
      <c r="K2" s="55"/>
      <c r="L2" s="56"/>
    </row>
    <row r="3" spans="1:14" ht="20.100000000000001" customHeight="1" x14ac:dyDescent="0.25">
      <c r="A3" s="113"/>
      <c r="B3" s="114"/>
      <c r="C3" s="114"/>
      <c r="D3" s="114"/>
      <c r="E3" s="114"/>
      <c r="F3" s="114"/>
      <c r="G3" s="114"/>
      <c r="H3" s="114"/>
      <c r="I3" s="114"/>
      <c r="J3" s="114"/>
      <c r="K3" s="114"/>
      <c r="L3" s="115"/>
    </row>
    <row r="4" spans="1:14" ht="20.100000000000001" customHeight="1" x14ac:dyDescent="0.25">
      <c r="A4" s="116"/>
      <c r="B4" s="117"/>
      <c r="C4" s="117"/>
      <c r="D4" s="117"/>
      <c r="E4" s="117"/>
      <c r="F4" s="117"/>
      <c r="G4" s="117"/>
      <c r="H4" s="117"/>
      <c r="I4" s="117"/>
      <c r="J4" s="117"/>
      <c r="K4" s="117"/>
      <c r="L4" s="118"/>
    </row>
    <row r="5" spans="1:14" ht="20.100000000000001" customHeight="1" x14ac:dyDescent="0.25">
      <c r="A5" s="119"/>
      <c r="B5" s="120"/>
      <c r="C5" s="120"/>
      <c r="D5" s="120"/>
      <c r="E5" s="120"/>
      <c r="F5" s="120"/>
      <c r="G5" s="120"/>
      <c r="H5" s="120"/>
      <c r="I5" s="120"/>
      <c r="J5" s="120"/>
      <c r="K5" s="120"/>
      <c r="L5" s="121"/>
    </row>
    <row r="6" spans="1:14" ht="20.100000000000001" customHeight="1" x14ac:dyDescent="0.25">
      <c r="A6" s="90" t="s">
        <v>1</v>
      </c>
      <c r="B6" s="91"/>
      <c r="C6" s="91"/>
      <c r="D6" s="91"/>
      <c r="E6" s="91"/>
      <c r="F6" s="91"/>
      <c r="G6" s="91"/>
      <c r="H6" s="91"/>
      <c r="I6" s="91"/>
      <c r="J6" s="92"/>
      <c r="K6" s="92"/>
      <c r="L6" s="93"/>
    </row>
    <row r="7" spans="1:14" ht="20.100000000000001" customHeight="1" x14ac:dyDescent="0.3">
      <c r="A7" s="12" t="s">
        <v>158</v>
      </c>
      <c r="B7" s="55" t="s">
        <v>161</v>
      </c>
      <c r="C7" s="56"/>
      <c r="D7" s="12" t="s">
        <v>47</v>
      </c>
      <c r="E7" s="54" t="s">
        <v>131</v>
      </c>
      <c r="F7" s="54"/>
      <c r="G7" s="54"/>
      <c r="H7" s="54"/>
      <c r="I7" s="54"/>
      <c r="J7" s="106" t="s">
        <v>146</v>
      </c>
      <c r="K7" s="106"/>
      <c r="L7" s="86"/>
    </row>
    <row r="8" spans="1:14" ht="20.100000000000001" customHeight="1" x14ac:dyDescent="0.25">
      <c r="A8" s="13" t="s">
        <v>14</v>
      </c>
      <c r="B8" s="75">
        <v>915</v>
      </c>
      <c r="C8" s="76"/>
      <c r="D8" s="13" t="str">
        <f>IF(B7="Tube","Gusset","Centrefold")</f>
        <v>Centrefold</v>
      </c>
      <c r="E8" s="107" t="str">
        <f>IF(B7="Cont Centrefold","("&amp;B8*2&amp;")","")</f>
        <v>(1830)</v>
      </c>
      <c r="F8" s="108"/>
      <c r="G8" s="13" t="s">
        <v>50</v>
      </c>
      <c r="H8" s="75">
        <v>150</v>
      </c>
      <c r="I8" s="76"/>
      <c r="J8" s="12" t="s">
        <v>52</v>
      </c>
      <c r="K8" s="111" t="str">
        <f>IF(ISNUMBER(SEARCH("+",E8,1)),"Gusset Tube","Layflat Tube")</f>
        <v>Layflat Tube</v>
      </c>
      <c r="L8" s="112"/>
    </row>
    <row r="9" spans="1:14" ht="20.100000000000001" customHeight="1" x14ac:dyDescent="0.3">
      <c r="A9" s="14" t="s">
        <v>46</v>
      </c>
      <c r="B9" s="94" t="s">
        <v>164</v>
      </c>
      <c r="C9" s="95"/>
      <c r="D9" s="128" t="str">
        <f>IF(K10="Middle","RUN 2 UP",IF(AND(B7="Cont Centrefold",B8=380),"RUN 2 UP",""))</f>
        <v>RUN 2 UP</v>
      </c>
      <c r="E9" s="129"/>
      <c r="F9" s="130"/>
      <c r="G9" s="14" t="s">
        <v>46</v>
      </c>
      <c r="H9" s="94" t="s">
        <v>163</v>
      </c>
      <c r="I9" s="95"/>
      <c r="J9" s="12" t="s">
        <v>53</v>
      </c>
      <c r="K9" s="55" t="s">
        <v>28</v>
      </c>
      <c r="L9" s="56"/>
    </row>
    <row r="10" spans="1:14" ht="20.100000000000001" customHeight="1" x14ac:dyDescent="0.25">
      <c r="A10" s="12" t="s">
        <v>49</v>
      </c>
      <c r="B10" s="55">
        <v>28</v>
      </c>
      <c r="C10" s="56"/>
      <c r="D10" s="42" t="s">
        <v>104</v>
      </c>
      <c r="E10" s="98">
        <f>E11*B10</f>
        <v>4882.0333333333328</v>
      </c>
      <c r="F10" s="99"/>
      <c r="G10" s="12" t="s">
        <v>51</v>
      </c>
      <c r="H10" s="102">
        <f>H11*B10</f>
        <v>9604</v>
      </c>
      <c r="I10" s="103"/>
      <c r="J10" s="12" t="s">
        <v>39</v>
      </c>
      <c r="K10" s="55" t="s">
        <v>43</v>
      </c>
      <c r="L10" s="56"/>
    </row>
    <row r="11" spans="1:14" s="52" customFormat="1" ht="20.100000000000001" customHeight="1" x14ac:dyDescent="0.25">
      <c r="A11" s="51" t="str">
        <f>IF(B7="Cont Sheet Roll","Sheet Rolls",IF(B7="Cont Centrefold","CF Rolls",""))</f>
        <v>CF Rolls</v>
      </c>
      <c r="B11" s="96">
        <f>IF(AND(B7="Cont Centrefold",D9="RUN 2 UP"),B10*2,IF(B7="Cont Centrefold",B10,IF(B7="Cont Sheet Roll",B10*2,"")))</f>
        <v>56</v>
      </c>
      <c r="C11" s="97"/>
      <c r="D11" s="51" t="s">
        <v>105</v>
      </c>
      <c r="E11" s="100">
        <f>IF(D9="RUN 2 UP",(B8*H8*H11/540000)*2,(B8*H8*H11/540000))</f>
        <v>174.35833333333332</v>
      </c>
      <c r="F11" s="101"/>
      <c r="G11" s="51" t="s">
        <v>13</v>
      </c>
      <c r="H11" s="104">
        <v>343</v>
      </c>
      <c r="I11" s="105"/>
      <c r="J11" s="51" t="s">
        <v>48</v>
      </c>
      <c r="K11" s="109" t="s">
        <v>42</v>
      </c>
      <c r="L11" s="110"/>
      <c r="N11"/>
    </row>
    <row r="12" spans="1:14" ht="20.100000000000001" customHeight="1" x14ac:dyDescent="0.25">
      <c r="A12" s="77" t="s">
        <v>11</v>
      </c>
      <c r="B12" s="78"/>
      <c r="C12" s="78"/>
      <c r="D12" s="78"/>
      <c r="E12" s="79"/>
      <c r="F12" s="79"/>
      <c r="G12" s="79"/>
      <c r="H12" s="79"/>
      <c r="I12" s="79"/>
      <c r="J12" s="79"/>
      <c r="K12" s="79"/>
      <c r="L12" s="80"/>
    </row>
    <row r="13" spans="1:14" ht="20.100000000000001" customHeight="1" x14ac:dyDescent="0.25">
      <c r="A13" s="12" t="s">
        <v>59</v>
      </c>
      <c r="B13" s="55" t="s">
        <v>42</v>
      </c>
      <c r="C13" s="55"/>
      <c r="D13" s="56"/>
      <c r="E13" s="16" t="s">
        <v>60</v>
      </c>
      <c r="F13" s="55" t="s">
        <v>42</v>
      </c>
      <c r="G13" s="55"/>
      <c r="H13" s="56"/>
      <c r="I13" s="17" t="s">
        <v>61</v>
      </c>
      <c r="J13" s="55" t="s">
        <v>42</v>
      </c>
      <c r="K13" s="55"/>
      <c r="L13" s="56"/>
    </row>
    <row r="14" spans="1:14" ht="20.100000000000001" customHeight="1" x14ac:dyDescent="0.3">
      <c r="A14" s="13" t="s">
        <v>58</v>
      </c>
      <c r="B14" s="54"/>
      <c r="C14" s="54"/>
      <c r="D14" s="54"/>
      <c r="E14" s="54"/>
      <c r="F14" s="54"/>
      <c r="G14" s="54"/>
      <c r="H14" s="54"/>
      <c r="I14" s="54"/>
      <c r="J14" s="54"/>
      <c r="K14" s="54"/>
      <c r="L14" s="81"/>
    </row>
    <row r="15" spans="1:14" ht="20.100000000000001" customHeight="1" x14ac:dyDescent="0.25">
      <c r="A15" s="90" t="s">
        <v>70</v>
      </c>
      <c r="B15" s="91"/>
      <c r="C15" s="91"/>
      <c r="D15" s="91"/>
      <c r="E15" s="91"/>
      <c r="F15" s="91"/>
      <c r="G15" s="91"/>
      <c r="H15" s="91"/>
      <c r="I15" s="91"/>
      <c r="J15" s="91"/>
      <c r="K15" s="91"/>
      <c r="L15" s="135"/>
    </row>
    <row r="16" spans="1:14" ht="20.100000000000001" customHeight="1" x14ac:dyDescent="0.25">
      <c r="A16" s="12" t="s">
        <v>71</v>
      </c>
      <c r="B16" s="55" t="s">
        <v>75</v>
      </c>
      <c r="C16" s="55"/>
      <c r="D16" s="56"/>
      <c r="E16" s="12" t="s">
        <v>72</v>
      </c>
      <c r="F16" s="111">
        <f>B10</f>
        <v>28</v>
      </c>
      <c r="G16" s="111"/>
      <c r="H16" s="112"/>
      <c r="I16" s="12" t="s">
        <v>74</v>
      </c>
      <c r="J16" s="55"/>
      <c r="K16" s="55"/>
      <c r="L16" s="56"/>
    </row>
    <row r="17" spans="1:12" ht="20.100000000000001" customHeight="1" x14ac:dyDescent="0.25">
      <c r="A17" s="132" t="s">
        <v>149</v>
      </c>
      <c r="B17" s="133"/>
      <c r="C17" s="133"/>
      <c r="D17" s="133"/>
      <c r="E17" s="133"/>
      <c r="F17" s="133"/>
      <c r="G17" s="133"/>
      <c r="H17" s="133"/>
      <c r="I17" s="133"/>
      <c r="J17" s="133"/>
      <c r="K17" s="133"/>
      <c r="L17" s="134"/>
    </row>
    <row r="18" spans="1:12" ht="20.100000000000001" customHeight="1" x14ac:dyDescent="0.25">
      <c r="A18" s="85" t="s">
        <v>2</v>
      </c>
      <c r="B18" s="86"/>
      <c r="C18" s="85" t="s">
        <v>111</v>
      </c>
      <c r="D18" s="86"/>
      <c r="E18" s="85" t="s">
        <v>3</v>
      </c>
      <c r="F18" s="86"/>
      <c r="G18" s="85" t="s">
        <v>4</v>
      </c>
      <c r="H18" s="86"/>
      <c r="I18" s="85" t="s">
        <v>9</v>
      </c>
      <c r="J18" s="86"/>
      <c r="K18" s="85" t="s">
        <v>10</v>
      </c>
      <c r="L18" s="86"/>
    </row>
    <row r="19" spans="1:12" ht="20.100000000000001" customHeight="1" x14ac:dyDescent="0.25">
      <c r="A19" s="87" t="s">
        <v>5</v>
      </c>
      <c r="B19" s="87"/>
      <c r="C19" s="66" t="s">
        <v>115</v>
      </c>
      <c r="D19" s="67"/>
      <c r="E19" s="68"/>
      <c r="F19" s="69"/>
      <c r="G19" s="11" t="s">
        <v>76</v>
      </c>
      <c r="H19" s="35"/>
      <c r="I19" s="73"/>
      <c r="J19" s="74"/>
      <c r="K19" s="73"/>
      <c r="L19" s="74"/>
    </row>
    <row r="20" spans="1:12" ht="20.100000000000001" customHeight="1" x14ac:dyDescent="0.25">
      <c r="A20" s="87" t="s">
        <v>6</v>
      </c>
      <c r="B20" s="87"/>
      <c r="C20" s="66" t="s">
        <v>114</v>
      </c>
      <c r="D20" s="67"/>
      <c r="E20" s="68"/>
      <c r="F20" s="69"/>
      <c r="G20" s="11" t="s">
        <v>77</v>
      </c>
      <c r="H20" s="35"/>
      <c r="I20" s="73"/>
      <c r="J20" s="74"/>
      <c r="K20" s="73"/>
      <c r="L20" s="74"/>
    </row>
    <row r="21" spans="1:12" ht="20.100000000000001" customHeight="1" x14ac:dyDescent="0.25">
      <c r="A21" s="87" t="s">
        <v>7</v>
      </c>
      <c r="B21" s="87"/>
      <c r="C21" s="66" t="s">
        <v>113</v>
      </c>
      <c r="D21" s="67"/>
      <c r="E21" s="68"/>
      <c r="F21" s="69"/>
      <c r="G21" s="11" t="s">
        <v>78</v>
      </c>
      <c r="H21" s="35"/>
      <c r="I21" s="73"/>
      <c r="J21" s="74"/>
      <c r="K21" s="73"/>
      <c r="L21" s="74"/>
    </row>
    <row r="22" spans="1:12" ht="20.100000000000001" customHeight="1" x14ac:dyDescent="0.25">
      <c r="A22" s="87" t="s">
        <v>8</v>
      </c>
      <c r="B22" s="87"/>
      <c r="C22" s="66" t="s">
        <v>112</v>
      </c>
      <c r="D22" s="67"/>
      <c r="E22" s="68"/>
      <c r="F22" s="69"/>
      <c r="G22" s="11" t="s">
        <v>79</v>
      </c>
      <c r="H22" s="35"/>
      <c r="I22" s="73"/>
      <c r="J22" s="74"/>
      <c r="K22" s="73"/>
      <c r="L22" s="74"/>
    </row>
    <row r="23" spans="1:12" ht="20.100000000000001" customHeight="1" x14ac:dyDescent="0.25">
      <c r="A23" s="87" t="s">
        <v>150</v>
      </c>
      <c r="B23" s="87"/>
      <c r="C23" s="66" t="s">
        <v>151</v>
      </c>
      <c r="D23" s="67"/>
      <c r="E23" s="68"/>
      <c r="F23" s="69"/>
      <c r="G23" s="11" t="s">
        <v>80</v>
      </c>
      <c r="H23" s="35"/>
      <c r="I23" s="73"/>
      <c r="J23" s="74"/>
      <c r="K23" s="73"/>
      <c r="L23" s="74"/>
    </row>
    <row r="24" spans="1:12" ht="20.100000000000001" customHeight="1" x14ac:dyDescent="0.25">
      <c r="A24" s="89" t="str">
        <f>(IF(E7="NATURAL","",E7))</f>
        <v/>
      </c>
      <c r="B24" s="89"/>
      <c r="C24" s="66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TINT","LT",IF(A24="MAROON TINT","MT",IF(A24="ANTISTATIC","AS",IF(A24="UV","UV",IF(A24="FLAME RETARDANT","FL",IF(A24="CORROSION INHIBITOR","CI",IF(A24="BIO DEGRADABLE","BD",))))))))))))))))))))))))))</f>
        <v/>
      </c>
      <c r="D24" s="67"/>
      <c r="E24" s="68"/>
      <c r="F24" s="69"/>
      <c r="G24" s="11" t="s">
        <v>81</v>
      </c>
      <c r="H24" s="35"/>
      <c r="I24" s="73"/>
      <c r="J24" s="74"/>
      <c r="K24" s="73"/>
      <c r="L24" s="74"/>
    </row>
    <row r="25" spans="1:12" ht="20.100000000000001" customHeight="1" x14ac:dyDescent="0.25">
      <c r="A25" s="89"/>
      <c r="B25" s="89"/>
      <c r="C25" s="66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TINT","LT",IF(A25="MAROON TINT","MT",IF(A25="ANTISTATIC","AS",IF(A25="UV","UV",IF(A25="FLAME RETARDANT","FL",IF(A25="CORROSION INHIBITOR","CI",IF(A25="BIO DEGRADABLE","BD",))))))))))))))))))))))))))</f>
        <v/>
      </c>
      <c r="D25" s="67"/>
      <c r="E25" s="68"/>
      <c r="F25" s="69"/>
      <c r="G25" s="11" t="s">
        <v>82</v>
      </c>
      <c r="H25" s="35"/>
      <c r="I25" s="73"/>
      <c r="J25" s="74"/>
      <c r="K25" s="73"/>
      <c r="L25" s="74"/>
    </row>
    <row r="26" spans="1:12" ht="20.100000000000001" customHeight="1" x14ac:dyDescent="0.25">
      <c r="A26" s="88" t="s">
        <v>0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80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131" t="s">
        <v>103</v>
      </c>
      <c r="H27" s="131"/>
      <c r="I27" s="131" t="s">
        <v>102</v>
      </c>
      <c r="J27" s="131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127"/>
      <c r="H28" s="127"/>
      <c r="I28" s="127"/>
      <c r="J28" s="127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127"/>
      <c r="H29" s="127"/>
      <c r="I29" s="127"/>
      <c r="J29" s="127"/>
      <c r="K29" s="6"/>
      <c r="L29" s="27"/>
    </row>
    <row r="30" spans="1:12" ht="20.100000000000001" customHeight="1" x14ac:dyDescent="0.25">
      <c r="A30" s="70" t="s">
        <v>93</v>
      </c>
      <c r="B30" s="71"/>
      <c r="C30" s="71"/>
      <c r="D30" s="71"/>
      <c r="E30" s="71"/>
      <c r="F30" s="71"/>
      <c r="G30" s="71"/>
      <c r="H30" s="71"/>
      <c r="I30" s="71"/>
      <c r="J30" s="71"/>
      <c r="K30" s="71"/>
      <c r="L30" s="72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57" t="s">
        <v>101</v>
      </c>
      <c r="B34" s="58"/>
      <c r="C34" s="58"/>
      <c r="D34" s="58"/>
      <c r="E34" s="58"/>
      <c r="F34" s="58"/>
      <c r="G34" s="58"/>
      <c r="H34" s="58"/>
      <c r="I34" s="58"/>
      <c r="J34" s="58"/>
      <c r="K34" s="58"/>
      <c r="L34" s="59"/>
    </row>
    <row r="35" spans="1:12" ht="20.100000000000001" customHeight="1" x14ac:dyDescent="0.25">
      <c r="A35" s="60"/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2"/>
    </row>
    <row r="36" spans="1:12" ht="20.100000000000001" customHeight="1" x14ac:dyDescent="0.25">
      <c r="A36" s="63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5"/>
    </row>
    <row r="37" spans="1:12" ht="20.100000000000001" customHeight="1" x14ac:dyDescent="0.25">
      <c r="A37" s="82" t="s">
        <v>106</v>
      </c>
      <c r="B37" s="83"/>
      <c r="C37" s="83"/>
      <c r="D37" s="83"/>
      <c r="E37" s="83"/>
      <c r="F37" s="83"/>
      <c r="G37" s="83"/>
      <c r="H37" s="83"/>
      <c r="I37" s="83"/>
      <c r="J37" s="83"/>
      <c r="K37" s="83"/>
      <c r="L37" s="84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29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A6" sqref="A6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44157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44147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145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143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136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144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137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138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139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140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141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142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145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143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143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BCBE4176-9F13-4496-B86A-3D3ED6D5E1B0}"/>
</file>

<file path=customXml/itemProps2.xml><?xml version="1.0" encoding="utf-8"?>
<ds:datastoreItem xmlns:ds="http://schemas.openxmlformats.org/officeDocument/2006/customXml" ds:itemID="{EA4A07BE-17FD-46F1-BC84-47A58BDF01FC}"/>
</file>

<file path=customXml/itemProps3.xml><?xml version="1.0" encoding="utf-8"?>
<ds:datastoreItem xmlns:ds="http://schemas.openxmlformats.org/officeDocument/2006/customXml" ds:itemID="{86D1047D-F084-469E-905E-CAA07010F32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</cp:lastModifiedBy>
  <cp:lastPrinted>2020-10-22T01:08:01Z</cp:lastPrinted>
  <dcterms:created xsi:type="dcterms:W3CDTF">2019-11-27T23:28:06Z</dcterms:created>
  <dcterms:modified xsi:type="dcterms:W3CDTF">2020-10-22T01:08:05Z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