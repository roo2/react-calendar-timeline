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A752ABD-318A-4CF1-899B-D4E8DFA617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<sst xmlns="http://schemas.openxmlformats.org/spreadsheetml/2006/main" count="305" uniqueCount="200">
  <si>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</si>
  <si>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</si>
  <si>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</si>
  <si>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</si>
  <si>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</si>
  <si>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</si>
  <si>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</si>
  <si>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</si>
  <si>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</si>
  <si>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</si>
  <si>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</si>
  <si>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</si>
  <si>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</si>
  <si>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</si>
  <si>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</si>
  <si>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</si>
  <si>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</si>
  <si>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</si>
  <si>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</si>
  <si>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</si>
  <si>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</si>
  <si>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</si>
  <si>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</si>
  <si>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</si>
  <si>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</si>
  <si>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</si>
  <si>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</si>
  <si>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</si>
  <si>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</si>
  <si>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</si>
  <si>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</si>
  <si>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</si>
  <si>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</si>
  <si>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</si>
  <si>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</si>
  <si>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</si>
  <si>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</si>
  <si>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</si>
  <si>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</si>
  <si>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</si>
  <si>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</si>
  <si>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</si>
  <si>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</si>
  <si>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</si>
  <si>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</si>
  <si>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</si>
  <si>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</si>
  <si>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</si>
  <si>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</si>
  <si>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</si>
  <si>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</si>
  <si>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</si>
  <si>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</si>
  <si>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</si>
  <si>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</si>
  <si>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</si>
  <si>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</si>
  <si>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</si>
  <si>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</si>
  <si>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</si>
  <si>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</si>
  <si>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</si>
  <si>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</si>
  <si>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</si>
  <si>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</si>
  <si>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</si>
  <si>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</si>
  <si>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</si>
  <si>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</si>
  <si>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</si>
  <si>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</si>
  <si>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</si>
  <si>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</si>
  <si>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</si>
  <si>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</si>
  <si>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</si>
  <si>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</si>
  <si>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</si>
  <si>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</si>
  <si>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</si>
  <si>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</si>
  <si>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</si>
  <si>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</si>
  <si>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</si>
  <si>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</si>
  <si>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</si>
  <si>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</si>
  <si>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</si>
  <si>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</si>
  <si>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</si>
  <si>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</si>
  <si>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</si>
  <si>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</si>
  <si>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</si>
  <si>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</si>
  <si>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</si>
  <si>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</si>
  <si>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</si>
  <si>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</si>
  <si>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</si>
  <si>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</si>
  <si>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</si>
  <si>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</si>
  <si>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</si>
  <si>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</si>
  <si>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</si>
  <si>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</si>
  <si>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</si>
  <si>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</si>
  <si>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</si>
  <si>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</si>
  <si>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</si>
  <si>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</si>
  <si>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</si>
  <si>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</si>
  <si>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</si>
  <si>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</si>
  <si>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</si>
  <si>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</si>
  <si>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</si>
  <si>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</si>
  <si>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</si>
  <si>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</si>
  <si>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</si>
  <si>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</si>
  <si>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</si>
  <si>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</si>
  <si>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</si>
  <si>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</si>
  <si>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</si>
  <si>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</si>
  <si>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</si>
  <si>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</si>
  <si>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</si>
  <si>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</si>
  <si>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</si>
  <si>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</si>
  <si>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</si>
  <si>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</si>
  <si>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</si>
  <si>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</si>
  <si>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</si>
  <si>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</si>
  <si>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</si>
  <si>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</si>
  <si>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</si>
  <si>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</si>
  <si>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</si>
  <si>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</si>
  <si>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</si>
  <si>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</si>
  <si>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</si>
  <si>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</si>
  <si>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</si>
  <si>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</si>
  <si>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</si>
  <si>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</si>
  <si>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</si>
  <si>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</si>
  <si>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</si>
  <si>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</si>
  <si>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</si>
  <si>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</si>
  <si>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</si>
  <si>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</si>
  <si>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</si>
  <si>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</si>
  <si>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</si>
  <si>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</si>
  <si>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</si>
  <si>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</si>
  <si>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</si>
  <si>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</si>
  <si>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</si>
  <si>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</si>
  <si>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</si>
  <si>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</si>
  <si>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</si>
  <si>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</si>
  <si>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</si>
  <si>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</si>
  <si>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</si>
  <si>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</si>
  <si>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</si>
  <si>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</si>
  <si>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</si>
  <si>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</si>
  <si>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</si>
  <si>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</si>
  <si>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</si>
  <si>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</si>
  <si>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</si>
  <si>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</si>
  <si>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</si>
  <si>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</si>
  <si>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 xml:space="preserve"> NEW ITEM - MUST HAVE WATER TIGHT SEALS - PLEASE CHECK FREQUENTLY</t>
  </si>
  <si>
    <t>RUN AT 50um</t>
  </si>
  <si>
    <t>LIMAX</t>
  </si>
  <si>
    <t>BURWELL TECH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</si>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</sst>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16" sqref="O16:P16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1" t="str">
        <f>O9&amp;R9&amp;IF(X8="G","G","")&amp;IF(O8="Centrefold Roll","("&amp;E8&amp;")","")&amp;T9&amp;V9&amp;C22&amp;C23&amp;C24&amp;O11&amp;R11</f>
        <v>PB4559851500</v>
      </c>
      <c r="C1" s="111"/>
      <c r="D1" s="112"/>
      <c r="E1" s="11" t="s">
        <v>57</v>
      </c>
      <c r="F1" s="87" t="s">
        <v>198</v>
      </c>
      <c r="G1" s="87"/>
      <c r="H1" s="88"/>
      <c r="I1" s="12" t="s">
        <v>181</v>
      </c>
      <c r="J1" s="84">
        <f ca="1">TODAY()</f>
        <v>45826</v>
      </c>
      <c r="K1" s="84"/>
      <c r="L1" s="85"/>
      <c r="M1" s="29"/>
      <c r="N1" s="11" t="s">
        <v>56</v>
      </c>
      <c r="O1" s="111" t="str">
        <f>B1</f>
        <v>PB4559851500</v>
      </c>
      <c r="P1" s="111"/>
      <c r="Q1" s="112"/>
      <c r="R1" s="11" t="s">
        <v>57</v>
      </c>
      <c r="S1" s="111" t="str">
        <f>F1</f>
        <v>BURWELL TECH</v>
      </c>
      <c r="T1" s="111"/>
      <c r="U1" s="112"/>
      <c r="V1" s="11" t="s">
        <v>181</v>
      </c>
      <c r="W1" s="84">
        <f ca="1">J1</f>
        <v>45826</v>
      </c>
      <c r="X1" s="84"/>
      <c r="Y1" s="85"/>
    </row>
    <row r="2" spans="1:25" ht="20.100000000000001" customHeight="1" x14ac:dyDescent="0.25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949990</v>
      </c>
      <c r="G2" s="87"/>
      <c r="H2" s="88"/>
      <c r="I2" s="11" t="s">
        <v>59</v>
      </c>
      <c r="J2" s="86">
        <v>45814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949990</v>
      </c>
      <c r="T2" s="111"/>
      <c r="U2" s="112"/>
      <c r="V2" s="11" t="s">
        <v>59</v>
      </c>
      <c r="W2" s="122">
        <f>J2</f>
        <v>45814</v>
      </c>
      <c r="X2" s="111"/>
      <c r="Y2" s="112"/>
    </row>
    <row r="3" spans="1:25" ht="20.100000000000001" customHeight="1" x14ac:dyDescent="0.25">
      <c r="A3" s="113" t="s">
        <v>195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 xml:space="preserve"> NEW ITEM - MUST HAVE WATER TIGHT SEALS - PLEASE CHECK FREQUENTLY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3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4</v>
      </c>
      <c r="P7" s="88"/>
      <c r="Q7" s="11" t="str">
        <f>IF(ISNUMBER(SEARCH("roll",O8,1)),"Per Roll","Per Carton")</f>
        <v>Per Carton</v>
      </c>
      <c r="R7" s="87">
        <v>200</v>
      </c>
      <c r="S7" s="88"/>
      <c r="T7" s="11" t="str">
        <f>IF(ISNUMBER(SEARCH("bag",O8,1)),"Total Bags","Total Sheets")</f>
        <v>Total Bags</v>
      </c>
      <c r="U7" s="111">
        <f>R7*O7</f>
        <v>800</v>
      </c>
      <c r="V7" s="112"/>
      <c r="W7" s="11" t="s">
        <v>102</v>
      </c>
      <c r="X7" s="87" t="s">
        <v>23</v>
      </c>
      <c r="Y7" s="88"/>
    </row>
    <row r="8" spans="1:25" ht="20.100000000000001" customHeight="1" x14ac:dyDescent="0.25">
      <c r="A8" s="13" t="s">
        <v>16</v>
      </c>
      <c r="B8" s="89">
        <f>R9</f>
        <v>455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150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00000000000001" customHeight="1" x14ac:dyDescent="0.3">
      <c r="A9" s="16" t="s">
        <v>48</v>
      </c>
      <c r="B9" s="99" t="s">
        <v>193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196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455</v>
      </c>
      <c r="S9" s="18" t="s">
        <v>78</v>
      </c>
      <c r="T9" s="30">
        <v>985</v>
      </c>
      <c r="U9" s="18" t="s">
        <v>78</v>
      </c>
      <c r="V9" s="30">
        <v>150</v>
      </c>
      <c r="W9" s="17"/>
      <c r="X9" s="136"/>
      <c r="Y9" s="137"/>
    </row>
    <row r="10" spans="1:25" ht="20.100000000000001" customHeight="1" x14ac:dyDescent="0.25">
      <c r="A10" s="11" t="s">
        <v>51</v>
      </c>
      <c r="B10" s="87">
        <v>3</v>
      </c>
      <c r="C10" s="88"/>
      <c r="D10" s="47" t="s">
        <v>134</v>
      </c>
      <c r="E10" s="101">
        <f>IF(ISNUMBER(SEARCH("sheet",O8,1)),((R9*T9*H8/540000)*U7/2000*1.3),((R9*T9*H8/540000)*U7/1000*1.08))</f>
        <v>107.56200000000001</v>
      </c>
      <c r="F10" s="102"/>
      <c r="G10" s="11" t="s">
        <v>53</v>
      </c>
      <c r="H10" s="105">
        <f>IF(ISNUMBER(SEARCH("sheet",O8,1)),(U7*T9/2000*1.08),(U7*T9/1000*1.08))</f>
        <v>851.04000000000008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/>
      <c r="V10" s="130"/>
      <c r="W10" s="130"/>
      <c r="X10" s="130"/>
      <c r="Y10" s="131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35.854000000000006</v>
      </c>
      <c r="F11" s="104"/>
      <c r="G11" s="11" t="s">
        <v>15</v>
      </c>
      <c r="H11" s="103">
        <f>H10/B10</f>
        <v>283.68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00000000000001" customHeight="1" x14ac:dyDescent="0.2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25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4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2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 t="s">
        <v>38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00000000000001" customHeight="1" x14ac:dyDescent="0.25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00000000000001" customHeight="1" x14ac:dyDescent="0.25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00000000000001" customHeight="1" x14ac:dyDescent="0.2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00000000000001" customHeight="1" x14ac:dyDescent="0.2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00000000000001" customHeight="1" x14ac:dyDescent="0.2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00000000000001" customHeight="1" x14ac:dyDescent="0.2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00000000000001" customHeight="1" x14ac:dyDescent="0.25">
      <c r="A23" s="79" t="s">
        <v>199</v>
      </c>
      <c r="B23" s="79"/>
      <c r="C23" s="77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2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197</v>
      </c>
      <c r="P25" s="34"/>
      <c r="Q25" s="10">
        <v>26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45856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45847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194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1D97633-5A6E-43E3-99C9-E13F9021A647}"/>
</file>

<file path=customXml/itemProps2.xml><?xml version="1.0" encoding="utf-8"?>
<ds:datastoreItem xmlns:ds="http://schemas.openxmlformats.org/officeDocument/2006/customXml" ds:itemID="{8E0790F2-A561-42DD-8DFA-5896242858AE}"/>
</file>

<file path=customXml/itemProps3.xml><?xml version="1.0" encoding="utf-8"?>
<ds:datastoreItem xmlns:ds="http://schemas.openxmlformats.org/officeDocument/2006/customXml" ds:itemID="{FD57A648-F13F-4393-B748-22E1CD8DDA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2025-05-16T02:22:00Z</cp:lastPrinted>
  <dcterms:created xsi:type="dcterms:W3CDTF">2019-11-27T23:28:06Z</dcterms:created>
  <dcterms:modified xsi:type="dcterms:W3CDTF">2025-06-18T05:19:04Z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