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6C8DF03-5885-493E-BCA4-1D0FB57ADCB8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<sst xmlns="http://schemas.openxmlformats.org/spreadsheetml/2006/main" count="303" uniqueCount="199">
  <si>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</si>
  <si>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</si>
  <si>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</si>
  <si>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</si>
  <si>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</si>
  <si>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</si>
  <si>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</si>
  <si>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</si>
  <si>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</si>
  <si>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</si>
  <si>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</si>
  <si>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</si>
  <si>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</si>
  <si>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</si>
  <si>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</si>
  <si>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</si>
  <si>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</si>
  <si>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</si>
  <si>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</si>
  <si>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</si>
  <si>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</si>
  <si>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</si>
  <si>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</si>
  <si>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</si>
  <si>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</si>
  <si>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</si>
  <si>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</si>
  <si>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</si>
  <si>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</si>
  <si>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</si>
  <si>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</si>
  <si>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</si>
  <si>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</si>
  <si>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</si>
  <si>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</si>
  <si>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</si>
  <si>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</si>
  <si>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</si>
  <si>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</si>
  <si>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</si>
  <si>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</si>
  <si>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</si>
  <si>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</si>
  <si>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</si>
  <si>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</si>
  <si>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</si>
  <si>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</si>
  <si>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</si>
  <si>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</si>
  <si>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</si>
  <si>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</si>
  <si>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</si>
  <si>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</si>
  <si>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</si>
  <si>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</si>
  <si>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</si>
  <si>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</si>
  <si>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</si>
  <si>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</si>
  <si>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</si>
  <si>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</si>
  <si>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</si>
  <si>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</si>
  <si>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</si>
  <si>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</si>
  <si>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</si>
  <si>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</si>
  <si>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</si>
  <si>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</si>
  <si>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</si>
  <si>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</si>
  <si>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</si>
  <si>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</si>
  <si>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</si>
  <si>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</si>
  <si>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</si>
  <si>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</si>
  <si>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</si>
  <si>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</si>
  <si>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</si>
  <si>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</si>
  <si>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</si>
  <si>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</si>
  <si>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</si>
  <si>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</si>
  <si>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</si>
  <si>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</si>
  <si>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</si>
  <si>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</si>
  <si>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</si>
  <si>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</si>
  <si>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</si>
  <si>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</si>
  <si>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</si>
  <si>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</si>
  <si>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</si>
  <si>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</si>
  <si>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</si>
  <si>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</si>
  <si>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</si>
  <si>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</si>
  <si>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</si>
  <si>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</si>
  <si>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</si>
  <si>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</si>
  <si>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</si>
  <si>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</si>
  <si>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</si>
  <si>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</si>
  <si>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</si>
  <si>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</si>
  <si>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</si>
  <si>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</si>
  <si>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</si>
  <si>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</si>
  <si>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</si>
  <si>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</si>
  <si>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</si>
  <si>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</si>
  <si>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</si>
  <si>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</si>
  <si>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</si>
  <si>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</si>
  <si>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</si>
  <si>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</si>
  <si>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</si>
  <si>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</si>
  <si>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</si>
  <si>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</si>
  <si>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</si>
  <si>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</si>
  <si>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</si>
  <si>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</si>
  <si>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</si>
  <si>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</si>
  <si>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</si>
  <si>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</si>
  <si>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</si>
  <si>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</si>
  <si>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</si>
  <si>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</si>
  <si>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</si>
  <si>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</si>
  <si>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</si>
  <si>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</si>
  <si>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</si>
  <si>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</si>
  <si>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</si>
  <si>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</si>
  <si>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</si>
  <si>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</si>
  <si>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</si>
  <si>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</si>
  <si>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</si>
  <si>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</si>
  <si>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</si>
  <si>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</si>
  <si>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</si>
  <si>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</si>
  <si>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</si>
  <si>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</si>
  <si>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</si>
  <si>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</si>
  <si>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</si>
  <si>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</si>
  <si>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</si>
  <si>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</si>
  <si>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</si>
  <si>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</si>
  <si>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</si>
  <si>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</si>
  <si>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</si>
  <si>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</si>
  <si>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</si>
  <si>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</si>
  <si>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</si>
  <si>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</si>
  <si>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</si>
  <si>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</si>
  <si>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</si>
  <si>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</si>
  <si>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</si>
  <si>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</si>
  <si>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</si>
  <si>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</si>
  <si>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</si>
  <si>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</si>
  <si>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</si>
  <si>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</si>
  <si>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</si>
  <si>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</si>
  <si>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</si>
  <si>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</si>
  <si>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</si>
  <si>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</si>
  <si>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LIMAX</t>
  </si>
  <si>
    <t>NOT OVER</t>
  </si>
  <si>
    <t>COASTAL FLOW</t>
  </si>
  <si>
    <t>NEW CUSTOMER - NEW ITEM - PLEASE ENSURE NO CREASING -  WATER TIGHT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</si>
</sst>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J2" sqref="J2:L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PB510550150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181</v>
      </c>
      <c r="J1" s="84">
        <f ca="1">TODAY()</f>
        <v>45072</v>
      </c>
      <c r="K1" s="84"/>
      <c r="L1" s="85"/>
      <c r="M1" s="29"/>
      <c r="N1" s="11" t="s">
        <v>56</v>
      </c>
      <c r="O1" s="111" t="str">
        <f>B1</f>
        <v>PB510550150</v>
      </c>
      <c r="P1" s="111"/>
      <c r="Q1" s="112"/>
      <c r="R1" s="11" t="s">
        <v>57</v>
      </c>
      <c r="S1" s="111" t="str">
        <f>F1</f>
        <v>COASTAL FLOW</v>
      </c>
      <c r="T1" s="111"/>
      <c r="U1" s="112"/>
      <c r="V1" s="11" t="s">
        <v>181</v>
      </c>
      <c r="W1" s="84">
        <f ca="1">J1</f>
        <v>45072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945774</v>
      </c>
      <c r="G2" s="87"/>
      <c r="H2" s="88"/>
      <c r="I2" s="11" t="s">
        <v>59</v>
      </c>
      <c r="J2" s="86">
        <v>45103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945774</v>
      </c>
      <c r="T2" s="111"/>
      <c r="U2" s="112"/>
      <c r="V2" s="11" t="s">
        <v>59</v>
      </c>
      <c r="W2" s="122">
        <f>J2</f>
        <v>45103</v>
      </c>
      <c r="X2" s="111"/>
      <c r="Y2" s="112"/>
    </row>
    <row r="3" spans="1:25" ht="20.149999999999999" customHeight="1" x14ac:dyDescent="0.7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NEW CUSTOMER - NEW ITEM - PLEASE ENSURE NO CREASING -  WATER TIGHT SEALS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</v>
      </c>
      <c r="P7" s="88"/>
      <c r="Q7" s="11" t="str">
        <f>IF(ISNUMBER(SEARCH("roll",O8,1)),"Per Roll","Per Carton")</f>
        <v>Per Carton</v>
      </c>
      <c r="R7" s="87">
        <v>200</v>
      </c>
      <c r="S7" s="88"/>
      <c r="T7" s="11" t="str">
        <f>IF(ISNUMBER(SEARCH("bag",O8,1)),"Total Bags","Total Sheets")</f>
        <v>Total Bags</v>
      </c>
      <c r="U7" s="111">
        <f>R7*O7</f>
        <v>1000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510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510</v>
      </c>
      <c r="S9" s="18" t="s">
        <v>78</v>
      </c>
      <c r="T9" s="30">
        <v>550</v>
      </c>
      <c r="U9" s="18" t="s">
        <v>78</v>
      </c>
      <c r="V9" s="30">
        <v>150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3</v>
      </c>
      <c r="C10" s="88"/>
      <c r="D10" s="47" t="s">
        <v>134</v>
      </c>
      <c r="E10" s="101">
        <f>IF(ISNUMBER(SEARCH("sheet",O8,1)),((R9*T9*H8/540000)*U7/2000*1.3),((R9*T9*H8/540000)*U7/1000*1.08))</f>
        <v>84.15</v>
      </c>
      <c r="F10" s="102"/>
      <c r="G10" s="11" t="s">
        <v>53</v>
      </c>
      <c r="H10" s="105">
        <f>IF(ISNUMBER(SEARCH("sheet",O8,1)),(U7*T9/2000*1.08),(U7*T9/1000*1.08))</f>
        <v>594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28.05</v>
      </c>
      <c r="F11" s="104"/>
      <c r="G11" s="11" t="s">
        <v>15</v>
      </c>
      <c r="H11" s="103">
        <f>H10/B10</f>
        <v>198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99" t="s">
        <v>31</v>
      </c>
      <c r="S16" s="100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195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45103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45093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2EB0BC2-AC5F-4A42-8B8B-444A09379A86}"/>
</file>

<file path=customXml/itemProps2.xml><?xml version="1.0" encoding="utf-8"?>
<ds:datastoreItem xmlns:ds="http://schemas.openxmlformats.org/officeDocument/2006/customXml" ds:itemID="{7491EB13-C914-45C9-9817-211A8B93CA91}"/>
</file>

<file path=customXml/itemProps3.xml><?xml version="1.0" encoding="utf-8"?>
<ds:datastoreItem xmlns:ds="http://schemas.openxmlformats.org/officeDocument/2006/customXml" ds:itemID="{8BFD415F-93AE-4277-8E35-775AF2058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2023-05-26T00:48:27Z</cp:lastPrinted>
  <dcterms:created xsi:type="dcterms:W3CDTF">2019-11-27T23:28:06Z</dcterms:created>
  <dcterms:modified xsi:type="dcterms:W3CDTF">2023-05-26T00:48:37Z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