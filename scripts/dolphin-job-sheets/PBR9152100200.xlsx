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4038D05-9373-428F-A7EF-23246C530FE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<sst xmlns="http://schemas.openxmlformats.org/spreadsheetml/2006/main" count="300" uniqueCount="198">
  <si>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</si>
  <si>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</si>
  <si>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</si>
  <si>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</si>
  <si>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</si>
  <si>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</si>
  <si>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</si>
  <si>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</si>
  <si>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</si>
  <si>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</si>
  <si>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</si>
  <si>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</si>
  <si>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</si>
  <si>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</si>
  <si>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</si>
  <si>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</si>
  <si>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</si>
  <si>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</si>
  <si>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</si>
  <si>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</si>
  <si>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</si>
  <si>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</si>
  <si>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</si>
  <si>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</si>
  <si>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</si>
  <si>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</si>
  <si>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</si>
  <si>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</si>
  <si>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</si>
  <si>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</si>
  <si>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</si>
  <si>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</si>
  <si>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</si>
  <si>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</si>
  <si>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</si>
  <si>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</si>
  <si>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</si>
  <si>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</si>
  <si>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</si>
  <si>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</si>
  <si>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</si>
  <si>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</si>
  <si>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</si>
  <si>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</si>
  <si>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</si>
  <si>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</si>
  <si>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</si>
  <si>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</si>
  <si>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</si>
  <si>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</si>
  <si>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</si>
  <si>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</si>
  <si>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</si>
  <si>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</si>
  <si>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</si>
  <si>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</si>
  <si>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</si>
  <si>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</si>
  <si>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</si>
  <si>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</si>
  <si>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</si>
  <si>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</si>
  <si>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</si>
  <si>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</si>
  <si>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</si>
  <si>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</si>
  <si>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</si>
  <si>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</si>
  <si>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</si>
  <si>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</si>
  <si>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</si>
  <si>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</si>
  <si>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</si>
  <si>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</si>
  <si>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</si>
  <si>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</si>
  <si>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</si>
  <si>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</si>
  <si>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</si>
  <si>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</si>
  <si>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</si>
  <si>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</si>
  <si>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</si>
  <si>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</si>
  <si>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</si>
  <si>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</si>
  <si>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</si>
  <si>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</si>
  <si>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</si>
  <si>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</si>
  <si>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</si>
  <si>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</si>
  <si>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</si>
  <si>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</si>
  <si>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</si>
  <si>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</si>
  <si>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</si>
  <si>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</si>
  <si>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</si>
  <si>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</si>
  <si>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</si>
  <si>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</si>
  <si>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</si>
  <si>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</si>
  <si>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</si>
  <si>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</si>
  <si>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</si>
  <si>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</si>
  <si>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</si>
  <si>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</si>
  <si>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</si>
  <si>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</si>
  <si>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</si>
  <si>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</si>
  <si>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</si>
  <si>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</si>
  <si>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</si>
  <si>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</si>
  <si>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</si>
  <si>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</si>
  <si>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</si>
  <si>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</si>
  <si>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</si>
  <si>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</si>
  <si>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</si>
  <si>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</si>
  <si>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</si>
  <si>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</si>
  <si>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</si>
  <si>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</si>
  <si>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</si>
  <si>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</si>
  <si>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</si>
  <si>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</si>
  <si>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</si>
  <si>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</si>
  <si>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</si>
  <si>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</si>
  <si>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</si>
  <si>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</si>
  <si>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</si>
  <si>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</si>
  <si>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</si>
  <si>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</si>
  <si>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</si>
  <si>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</si>
  <si>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</si>
  <si>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</si>
  <si>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</si>
  <si>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</si>
  <si>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</si>
  <si>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</si>
  <si>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</si>
  <si>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</si>
  <si>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</si>
  <si>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</si>
  <si>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</si>
  <si>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</si>
  <si>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</si>
  <si>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</si>
  <si>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</si>
  <si>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</si>
  <si>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</si>
  <si>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</si>
  <si>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</si>
  <si>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</si>
  <si>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</si>
  <si>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</si>
  <si>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</si>
  <si>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</si>
  <si>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</si>
  <si>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</si>
  <si>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</si>
  <si>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</si>
  <si>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</si>
  <si>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</si>
  <si>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</si>
  <si>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</si>
  <si>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</si>
  <si>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</si>
  <si>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</si>
  <si>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</si>
  <si>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</si>
  <si>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</si>
  <si>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</si>
  <si>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</si>
  <si>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</si>
  <si>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</si>
  <si>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</si>
  <si>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</si>
  <si>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</si>
  <si>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</si>
  <si>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</si>
  <si>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</si>
  <si>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AQUA FARMS</t>
  </si>
  <si>
    <t>MUST HAVE GOOD STRONG SEALS - NO LEAKS. NO CUTS IN ROLLS. TOLLERANCE IS NOT UNDER WIDTH - MUST BE MIN 900WIDE- REJECT IF UNDER</t>
  </si>
  <si>
    <t>RUN AT 190um</t>
  </si>
  <si>
    <t xml:space="preserve"> +10mm/- 0MM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</si>
</sst>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PBR9002100200</v>
      </c>
      <c r="C1" s="125"/>
      <c r="D1" s="126"/>
      <c r="E1" s="18" t="s">
        <v>56</v>
      </c>
      <c r="F1" s="140" t="s">
        <v>194</v>
      </c>
      <c r="G1" s="140"/>
      <c r="H1" s="141"/>
      <c r="I1" s="18" t="s">
        <v>180</v>
      </c>
      <c r="J1" s="137">
        <f ca="1">TODAY()</f>
        <v>44327</v>
      </c>
      <c r="K1" s="137"/>
      <c r="L1" s="138"/>
      <c r="M1" s="35"/>
      <c r="N1" s="18" t="s">
        <v>55</v>
      </c>
      <c r="O1" s="125" t="str">
        <f>B1</f>
        <v>PBR9002100200</v>
      </c>
      <c r="P1" s="125"/>
      <c r="Q1" s="126"/>
      <c r="R1" s="18" t="s">
        <v>56</v>
      </c>
      <c r="S1" s="125" t="str">
        <f>F1</f>
        <v>AQUA FARMS</v>
      </c>
      <c r="T1" s="125"/>
      <c r="U1" s="126"/>
      <c r="V1" s="18" t="s">
        <v>180</v>
      </c>
      <c r="W1" s="137">
        <f ca="1">J1</f>
        <v>44327</v>
      </c>
      <c r="X1" s="137"/>
      <c r="Y1" s="138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940274</v>
      </c>
      <c r="G2" s="104"/>
      <c r="H2" s="105"/>
      <c r="I2" s="18" t="s">
        <v>58</v>
      </c>
      <c r="J2" s="103">
        <v>44358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940274</v>
      </c>
      <c r="T2" s="125"/>
      <c r="U2" s="126"/>
      <c r="V2" s="18" t="s">
        <v>58</v>
      </c>
      <c r="W2" s="139">
        <f>J2</f>
        <v>44358</v>
      </c>
      <c r="X2" s="125"/>
      <c r="Y2" s="126"/>
    </row>
    <row r="3" spans="1:25" ht="20.100000000000001" customHeight="1" x14ac:dyDescent="0.25">
      <c r="A3" s="157" t="s">
        <v>195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9"/>
      <c r="M3" s="35"/>
      <c r="N3" s="157" t="str">
        <f>A3</f>
        <v>MUST HAVE GOOD STRONG SEALS - NO LEAKS. NO CUTS IN ROLLS. TOLLERANCE IS NOT UNDER WIDTH - MUST BE MIN 900WIDE- REJECT IF UNDER</v>
      </c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7"/>
    </row>
    <row r="4" spans="1:25" ht="20.100000000000001" customHeight="1" x14ac:dyDescent="0.25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2"/>
      <c r="M4" s="35"/>
      <c r="N4" s="16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70"/>
    </row>
    <row r="5" spans="1:25" ht="20.100000000000001" customHeight="1" x14ac:dyDescent="0.2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5"/>
      <c r="M5" s="35"/>
      <c r="N5" s="171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3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3" t="s">
        <v>1</v>
      </c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5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10</v>
      </c>
      <c r="P7" s="105"/>
      <c r="Q7" s="18" t="str">
        <f>IF(ISNUMBER(SEARCH("roll",O8,1)),"Per Roll","Per Carton")</f>
        <v>Per Roll</v>
      </c>
      <c r="R7" s="104">
        <v>25</v>
      </c>
      <c r="S7" s="105"/>
      <c r="T7" s="18" t="str">
        <f>IF(ISNUMBER(SEARCH("bag",O8,1)),"Total Bags","Total Sheets")</f>
        <v>Total Bags</v>
      </c>
      <c r="U7" s="125">
        <f>R7*O7</f>
        <v>250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900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200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42"/>
    </row>
    <row r="9" spans="1:25" ht="20.100000000000001" customHeight="1" x14ac:dyDescent="0.3">
      <c r="A9" s="23" t="s">
        <v>47</v>
      </c>
      <c r="B9" s="123" t="s">
        <v>197</v>
      </c>
      <c r="C9" s="124"/>
      <c r="D9" s="149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196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900</v>
      </c>
      <c r="S9" s="25" t="s">
        <v>77</v>
      </c>
      <c r="T9" s="36">
        <v>2100</v>
      </c>
      <c r="U9" s="25" t="s">
        <v>77</v>
      </c>
      <c r="V9" s="36">
        <v>200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10</v>
      </c>
      <c r="C10" s="105"/>
      <c r="D10" s="56" t="s">
        <v>133</v>
      </c>
      <c r="E10" s="127">
        <f>IF(ISNUMBER(SEARCH("sheet",O8,1)),((R9*T9*H8/540000)*U7/2000*1.3),((R9*T9*H8/540000)*U7/1000*1.08))</f>
        <v>189</v>
      </c>
      <c r="F10" s="128"/>
      <c r="G10" s="18" t="s">
        <v>52</v>
      </c>
      <c r="H10" s="131">
        <f>IF(ISNUMBER(SEARCH("sheet",O8,1)),(U7*T9/2000*1.08),(U7*T9/1000*1.08))</f>
        <v>567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18.899999999999999</v>
      </c>
      <c r="F11" s="130"/>
      <c r="G11" s="18" t="s">
        <v>14</v>
      </c>
      <c r="H11" s="129">
        <f>H10/B10</f>
        <v>56.7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46" t="s">
        <v>70</v>
      </c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8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55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0"/>
      <c r="Y16" s="151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0"/>
      <c r="Y17" s="151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22</v>
      </c>
      <c r="S18" s="105"/>
      <c r="T18" s="27" t="s">
        <v>26</v>
      </c>
      <c r="U18" s="104" t="s">
        <v>35</v>
      </c>
      <c r="V18" s="105"/>
      <c r="W18" s="18" t="s">
        <v>108</v>
      </c>
      <c r="X18" s="150"/>
      <c r="Y18" s="151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55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56" t="s">
        <v>131</v>
      </c>
      <c r="H26" s="156"/>
      <c r="I26" s="156" t="s">
        <v>130</v>
      </c>
      <c r="J26" s="156"/>
      <c r="K26" s="12" t="s">
        <v>93</v>
      </c>
      <c r="L26" s="12" t="s">
        <v>94</v>
      </c>
      <c r="M26" s="35"/>
      <c r="N26" s="152" t="s">
        <v>136</v>
      </c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4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44358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44348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33167A8-C3F8-41A8-AB27-0A5C44BE0526}"/>
</file>

<file path=customXml/itemProps2.xml><?xml version="1.0" encoding="utf-8"?>
<ds:datastoreItem xmlns:ds="http://schemas.openxmlformats.org/officeDocument/2006/customXml" ds:itemID="{D0DB55AD-0BF0-4E0A-BD4A-316299F0C4E8}"/>
</file>

<file path=customXml/itemProps3.xml><?xml version="1.0" encoding="utf-8"?>
<ds:datastoreItem xmlns:ds="http://schemas.openxmlformats.org/officeDocument/2006/customXml" ds:itemID="{3DCCE49A-AB46-4054-9E90-81C3D4651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2021-05-11T00:57:15Z</cp:lastPrinted>
  <dcterms:created xsi:type="dcterms:W3CDTF">2019-11-27T23:28:06Z</dcterms:created>
  <dcterms:modified xsi:type="dcterms:W3CDTF">2021-05-11T00:57:55Z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