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6977CDE-9A05-4A23-B1DA-584F8CDD8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<sst xmlns="http://schemas.openxmlformats.org/spreadsheetml/2006/main" count="308" uniqueCount="203">
  <si>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</si>
  <si>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</si>
  <si>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</si>
  <si>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</si>
  <si>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</si>
  <si>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</si>
  <si>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</si>
  <si>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</si>
  <si>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</si>
  <si>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</si>
  <si>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</si>
  <si>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</si>
  <si>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</si>
  <si>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</si>
  <si>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</si>
  <si>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</si>
  <si>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</si>
  <si>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</si>
  <si>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</si>
  <si>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</si>
  <si>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</si>
  <si>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</si>
  <si>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</si>
  <si>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</si>
  <si>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</si>
  <si>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</si>
  <si>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</si>
  <si>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</si>
  <si>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</si>
  <si>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</si>
  <si>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</si>
  <si>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</si>
  <si>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</si>
  <si>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</si>
  <si>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</si>
  <si>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</si>
  <si>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</si>
  <si>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</si>
  <si>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</si>
  <si>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</si>
  <si>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</si>
  <si>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</si>
  <si>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</si>
  <si>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</si>
  <si>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</si>
  <si>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</si>
  <si>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</si>
  <si>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</si>
  <si>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</si>
  <si>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</si>
  <si>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</si>
  <si>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</si>
  <si>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</si>
  <si>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</si>
  <si>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</si>
  <si>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</si>
  <si>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</si>
  <si>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</si>
  <si>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</si>
  <si>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</si>
  <si>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</si>
  <si>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</si>
  <si>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</si>
  <si>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</si>
  <si>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</si>
  <si>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</si>
  <si>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</si>
  <si>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</si>
  <si>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</si>
  <si>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</si>
  <si>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</si>
  <si>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</si>
  <si>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</si>
  <si>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</si>
  <si>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</si>
  <si>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</si>
  <si>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</si>
  <si>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</si>
  <si>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</si>
  <si>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</si>
  <si>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</si>
  <si>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</si>
  <si>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</si>
  <si>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</si>
  <si>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</si>
  <si>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</si>
  <si>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</si>
  <si>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</si>
  <si>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</si>
  <si>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</si>
  <si>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</si>
  <si>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</si>
  <si>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</si>
  <si>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</si>
  <si>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</si>
  <si>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</si>
  <si>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</si>
  <si>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</si>
  <si>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</si>
  <si>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</si>
  <si>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</si>
  <si>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</si>
  <si>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</si>
  <si>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</si>
  <si>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</si>
  <si>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</si>
  <si>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</si>
  <si>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</si>
  <si>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</si>
  <si>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</si>
  <si>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</si>
  <si>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</si>
  <si>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</si>
  <si>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</si>
  <si>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</si>
  <si>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</si>
  <si>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</si>
  <si>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</si>
  <si>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</si>
  <si>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</si>
  <si>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</si>
  <si>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</si>
  <si>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</si>
  <si>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</si>
  <si>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</si>
  <si>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</si>
  <si>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</si>
  <si>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</si>
  <si>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</si>
  <si>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</si>
  <si>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</si>
  <si>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</si>
  <si>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</si>
  <si>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</si>
  <si>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</si>
  <si>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</si>
  <si>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</si>
  <si>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</si>
  <si>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</si>
  <si>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</si>
  <si>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</si>
  <si>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</si>
  <si>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</si>
  <si>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</si>
  <si>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</si>
  <si>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</si>
  <si>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</si>
  <si>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</si>
  <si>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</si>
  <si>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</si>
  <si>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</si>
  <si>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</si>
  <si>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</si>
  <si>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</si>
  <si>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</si>
  <si>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</si>
  <si>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</si>
  <si>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</si>
  <si>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</si>
  <si>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</si>
  <si>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</si>
  <si>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</si>
  <si>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</si>
  <si>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</si>
  <si>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</si>
  <si>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</si>
  <si>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</si>
  <si>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</si>
  <si>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</si>
  <si>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</si>
  <si>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</si>
  <si>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</si>
  <si>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</si>
  <si>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</si>
  <si>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</si>
  <si>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</si>
  <si>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</si>
  <si>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</si>
  <si>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</si>
  <si>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</si>
  <si>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</si>
  <si>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</si>
  <si>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</si>
  <si>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</si>
  <si>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</si>
  <si>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</si>
  <si>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</si>
  <si>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</si>
  <si>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</si>
  <si>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</si>
  <si>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</si>
  <si>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</si>
  <si>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</si>
  <si>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</si>
  <si>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</si>
  <si>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PRO-PAC</t>
  </si>
  <si>
    <t>PINK TINT</t>
  </si>
  <si>
    <t>PT</t>
  </si>
  <si>
    <t>LIMAX</t>
  </si>
  <si>
    <t xml:space="preserve"> MUST BE DEFINETLY PINK AND ONLY A TINT</t>
  </si>
  <si>
    <t>ANTISTATIC</t>
  </si>
  <si>
    <t>ANTI 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</si>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</sst>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5" fillId="7" borderId="6" xfId="0" applyFont="1" applyFill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16" fillId="7" borderId="4" xfId="0" applyNumberFormat="1" applyFont="1" applyFill="1" applyBorder="1" applyAlignment="1" applyProtection="1">
      <alignment horizontal="center"/>
      <protection locked="0"/>
    </xf>
    <xf numFmtId="0" fontId="16" fillId="7" borderId="5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3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3" t="str">
        <f>O9&amp;R9&amp;IF(X8="G","G","")&amp;IF(O8="Centrefold Roll","("&amp;E8&amp;")","")&amp;T9&amp;V9&amp;C22&amp;C23&amp;C24&amp;O11&amp;R11</f>
        <v>PB50060050PTAS0</v>
      </c>
      <c r="C1" s="113"/>
      <c r="D1" s="114"/>
      <c r="E1" s="10" t="s">
        <v>57</v>
      </c>
      <c r="F1" s="62" t="s">
        <v>195</v>
      </c>
      <c r="G1" s="62"/>
      <c r="H1" s="63"/>
      <c r="I1" s="11" t="s">
        <v>181</v>
      </c>
      <c r="J1" s="126">
        <f ca="1">TODAY()</f>
        <v>45838</v>
      </c>
      <c r="K1" s="126"/>
      <c r="L1" s="127"/>
      <c r="M1" s="28"/>
      <c r="N1" s="10" t="s">
        <v>56</v>
      </c>
      <c r="O1" s="113" t="str">
        <f>B1</f>
        <v>PB50060050PTAS0</v>
      </c>
      <c r="P1" s="113"/>
      <c r="Q1" s="114"/>
      <c r="R1" s="10" t="s">
        <v>57</v>
      </c>
      <c r="S1" s="113" t="str">
        <f>F1</f>
        <v>PRO-PAC</v>
      </c>
      <c r="T1" s="113"/>
      <c r="U1" s="114"/>
      <c r="V1" s="10" t="s">
        <v>181</v>
      </c>
      <c r="W1" s="126">
        <f ca="1">J1</f>
        <v>45838</v>
      </c>
      <c r="X1" s="126"/>
      <c r="Y1" s="127"/>
    </row>
    <row r="2" spans="1:25" ht="20.100000000000001" customHeight="1" x14ac:dyDescent="0.25">
      <c r="A2" s="10" t="s">
        <v>100</v>
      </c>
      <c r="B2" s="113" t="str">
        <f>IF(U10="","",U10)</f>
        <v/>
      </c>
      <c r="C2" s="113"/>
      <c r="D2" s="114"/>
      <c r="E2" s="10" t="s">
        <v>58</v>
      </c>
      <c r="F2" s="62">
        <v>948967</v>
      </c>
      <c r="G2" s="62"/>
      <c r="H2" s="63"/>
      <c r="I2" s="10" t="s">
        <v>59</v>
      </c>
      <c r="J2" s="129">
        <v>45628</v>
      </c>
      <c r="K2" s="62"/>
      <c r="L2" s="63"/>
      <c r="M2" s="28"/>
      <c r="N2" s="10" t="s">
        <v>100</v>
      </c>
      <c r="O2" s="113" t="str">
        <f>IF(B2="","",B2)</f>
        <v/>
      </c>
      <c r="P2" s="113"/>
      <c r="Q2" s="114"/>
      <c r="R2" s="10" t="s">
        <v>58</v>
      </c>
      <c r="S2" s="113">
        <f>IF(F2="","",F2)</f>
        <v>948967</v>
      </c>
      <c r="T2" s="113"/>
      <c r="U2" s="114"/>
      <c r="V2" s="10" t="s">
        <v>59</v>
      </c>
      <c r="W2" s="128">
        <f>J2</f>
        <v>45628</v>
      </c>
      <c r="X2" s="113"/>
      <c r="Y2" s="114"/>
    </row>
    <row r="3" spans="1:25" ht="20.100000000000001" customHeight="1" x14ac:dyDescent="0.25">
      <c r="A3" s="115" t="s">
        <v>199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8"/>
      <c r="N3" s="115" t="str">
        <f>A3</f>
        <v xml:space="preserve"> MUST BE DEFINETLY PINK AND ONLY A TINT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28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28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00000000000001" customHeight="1" x14ac:dyDescent="0.25">
      <c r="A6" s="130" t="s">
        <v>2</v>
      </c>
      <c r="B6" s="131"/>
      <c r="C6" s="131"/>
      <c r="D6" s="131"/>
      <c r="E6" s="131"/>
      <c r="F6" s="131"/>
      <c r="G6" s="131"/>
      <c r="H6" s="131"/>
      <c r="I6" s="131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24" t="s">
        <v>196</v>
      </c>
      <c r="C7" s="124"/>
      <c r="D7" s="124"/>
      <c r="E7" s="124"/>
      <c r="F7" s="124"/>
      <c r="G7" s="124"/>
      <c r="H7" s="124"/>
      <c r="I7" s="125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10</v>
      </c>
      <c r="P7" s="63"/>
      <c r="Q7" s="10" t="str">
        <f>IF(ISNUMBER(SEARCH("roll",O8,1)),"Per Roll","Per Carton")</f>
        <v>Per Carton</v>
      </c>
      <c r="R7" s="62">
        <v>500</v>
      </c>
      <c r="S7" s="63"/>
      <c r="T7" s="10" t="str">
        <f>IF(ISNUMBER(SEARCH("bag",O8,1)),"Total Bags","Total Sheets")</f>
        <v>Total Bags</v>
      </c>
      <c r="U7" s="113">
        <f>R7*O7</f>
        <v>5000</v>
      </c>
      <c r="V7" s="114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101">
        <f>R9</f>
        <v>500</v>
      </c>
      <c r="C8" s="102"/>
      <c r="D8" s="26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2" t="s">
        <v>52</v>
      </c>
      <c r="H8" s="101">
        <f>(IF(V9&lt;30,"30",V9))</f>
        <v>50</v>
      </c>
      <c r="I8" s="102"/>
      <c r="J8" s="10" t="s">
        <v>54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8"/>
      <c r="N8" s="13" t="s">
        <v>54</v>
      </c>
      <c r="O8" s="103" t="s">
        <v>164</v>
      </c>
      <c r="P8" s="104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9" t="str">
        <f>IF(AND(W8="Gusset",X9=""), "None",IF(AND(W8="Centrefold",X9=""),"None",IF(W8="Gusset","G",IF(W8="Centrefold","CF"))))</f>
        <v>None</v>
      </c>
      <c r="Y8" s="100"/>
    </row>
    <row r="9" spans="1:25" ht="20.100000000000001" customHeight="1" x14ac:dyDescent="0.3">
      <c r="A9" s="15" t="s">
        <v>48</v>
      </c>
      <c r="B9" s="132" t="s">
        <v>194</v>
      </c>
      <c r="C9" s="133"/>
      <c r="D9" s="140" t="str">
        <f>IF(K10="Middle","RUN 2 UP",IF(AND(O8="Centrefold Roll",B8=380),"RUN 2 UP",""))</f>
        <v/>
      </c>
      <c r="E9" s="105"/>
      <c r="F9" s="106"/>
      <c r="G9" s="15" t="s">
        <v>48</v>
      </c>
      <c r="H9" s="132" t="s">
        <v>194</v>
      </c>
      <c r="I9" s="133"/>
      <c r="J9" s="10" t="s">
        <v>55</v>
      </c>
      <c r="K9" s="62" t="s">
        <v>30</v>
      </c>
      <c r="L9" s="63"/>
      <c r="M9" s="28"/>
      <c r="N9" s="16"/>
      <c r="O9" s="107" t="str">
        <f>IF(O8="Poly Bag","PB",IF(O8="Poly Bag Roll","PBR",IF(O8="Centrefold Roll","CFR",IF(O8="Sheet","S",IF(O8="Sheet Roll","SR")))))</f>
        <v>PB</v>
      </c>
      <c r="P9" s="108"/>
      <c r="Q9" s="16"/>
      <c r="R9" s="29">
        <v>500</v>
      </c>
      <c r="S9" s="17" t="s">
        <v>78</v>
      </c>
      <c r="T9" s="29">
        <v>600</v>
      </c>
      <c r="U9" s="17" t="s">
        <v>78</v>
      </c>
      <c r="V9" s="29">
        <v>50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4</v>
      </c>
      <c r="C10" s="63"/>
      <c r="D10" s="46" t="s">
        <v>134</v>
      </c>
      <c r="E10" s="134">
        <f>IF(ISNUMBER(SEARCH("sheet",O8,1)),((R9*T9*H8/540000)*U7/2000*1.3),((R9*T9*H8/540000)*U7/1000*1.08))</f>
        <v>150.00000000000003</v>
      </c>
      <c r="F10" s="135"/>
      <c r="G10" s="10" t="s">
        <v>53</v>
      </c>
      <c r="H10" s="138">
        <f>IF(ISNUMBER(SEARCH("sheet",O8,1)),(U7*T9/2000*1.08),(U7*T9/1000*1.08))</f>
        <v>3240</v>
      </c>
      <c r="I10" s="139"/>
      <c r="J10" s="10" t="s">
        <v>41</v>
      </c>
      <c r="K10" s="62" t="s">
        <v>44</v>
      </c>
      <c r="L10" s="63"/>
      <c r="M10" s="28"/>
      <c r="N10" s="13" t="s">
        <v>141</v>
      </c>
      <c r="O10" s="103" t="s">
        <v>44</v>
      </c>
      <c r="P10" s="104"/>
      <c r="Q10" s="13" t="s">
        <v>50</v>
      </c>
      <c r="R10" s="99" t="str">
        <f>IF(K11="NONE","None",IF(K11="INLINE","Yes",IF(K11="OUT OF LINE","Yes")))</f>
        <v>None</v>
      </c>
      <c r="S10" s="99"/>
      <c r="T10" s="13" t="s">
        <v>100</v>
      </c>
      <c r="U10" s="109"/>
      <c r="V10" s="109"/>
      <c r="W10" s="109"/>
      <c r="X10" s="109"/>
      <c r="Y10" s="11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0" t="s">
        <v>135</v>
      </c>
      <c r="E11" s="136">
        <f>E10/B10</f>
        <v>37.500000000000007</v>
      </c>
      <c r="F11" s="137"/>
      <c r="G11" s="10" t="s">
        <v>15</v>
      </c>
      <c r="H11" s="136">
        <f>H10/B10</f>
        <v>810</v>
      </c>
      <c r="I11" s="137"/>
      <c r="J11" s="10" t="s">
        <v>50</v>
      </c>
      <c r="K11" s="62" t="s">
        <v>44</v>
      </c>
      <c r="L11" s="63"/>
      <c r="M11" s="28"/>
      <c r="N11" s="12"/>
      <c r="O11" s="101" t="str">
        <f>IF(O10="NONE","","V")</f>
        <v/>
      </c>
      <c r="P11" s="102"/>
      <c r="Q11" s="12"/>
      <c r="R11" s="101" t="str">
        <f>IF(R10="None","","P")</f>
        <v/>
      </c>
      <c r="S11" s="102"/>
      <c r="T11" s="12"/>
      <c r="U11" s="111"/>
      <c r="V11" s="111"/>
      <c r="W11" s="111"/>
      <c r="X11" s="111"/>
      <c r="Y11" s="112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6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5" t="s">
        <v>4</v>
      </c>
      <c r="F16" s="145"/>
      <c r="G16" s="145" t="s">
        <v>5</v>
      </c>
      <c r="H16" s="145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150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144" t="s">
        <v>6</v>
      </c>
      <c r="B17" s="144"/>
      <c r="C17" s="95" t="s">
        <v>147</v>
      </c>
      <c r="D17" s="96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144" t="s">
        <v>7</v>
      </c>
      <c r="B18" s="144"/>
      <c r="C18" s="95" t="s">
        <v>146</v>
      </c>
      <c r="D18" s="96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144" t="s">
        <v>8</v>
      </c>
      <c r="B19" s="144"/>
      <c r="C19" s="95" t="s">
        <v>145</v>
      </c>
      <c r="D19" s="96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144" t="s">
        <v>9</v>
      </c>
      <c r="B20" s="144"/>
      <c r="C20" s="95" t="s">
        <v>144</v>
      </c>
      <c r="D20" s="96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144" t="s">
        <v>10</v>
      </c>
      <c r="B21" s="144"/>
      <c r="C21" s="95" t="s">
        <v>143</v>
      </c>
      <c r="D21" s="96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35">
      <c r="A22" s="61" t="str">
        <f>(IF(B7="NATURAL","",B7))</f>
        <v>PINK TINT</v>
      </c>
      <c r="B22" s="61"/>
      <c r="C22" s="93" t="s">
        <v>197</v>
      </c>
      <c r="D22" s="94"/>
      <c r="E22" s="97">
        <v>0.02</v>
      </c>
      <c r="F22" s="98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6" t="s">
        <v>200</v>
      </c>
      <c r="B23" s="146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6"/>
      <c r="E23" s="90">
        <v>0.01</v>
      </c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7" t="s">
        <v>201</v>
      </c>
      <c r="B24" s="148"/>
      <c r="C24" s="95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6"/>
      <c r="E24" s="90">
        <v>0.01</v>
      </c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198</v>
      </c>
      <c r="P25" s="33"/>
      <c r="Q25" s="9">
        <v>28</v>
      </c>
      <c r="R25" s="58"/>
      <c r="S25" s="9"/>
      <c r="T25" s="9"/>
      <c r="U25" s="9"/>
      <c r="V25" s="9"/>
      <c r="W25" s="9">
        <v>17</v>
      </c>
      <c r="X25" s="9">
        <v>12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202</v>
      </c>
      <c r="C27" s="7"/>
      <c r="D27" s="149">
        <v>24</v>
      </c>
      <c r="E27" s="150">
        <v>8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1" t="s">
        <v>136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3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zoomScaleNormal="100" workbookViewId="0">
      <selection activeCell="E25" sqref="E25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45868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196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175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187</v>
      </c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2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2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2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2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2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2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2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2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2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2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2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2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2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2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2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2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2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2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2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2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2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2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2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2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2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2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2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2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2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25">
      <c r="A60" s="54" t="s">
        <v>148</v>
      </c>
    </row>
    <row r="61" spans="1:20" x14ac:dyDescent="0.25">
      <c r="A61" s="54" t="s">
        <v>149</v>
      </c>
      <c r="O61" s="1"/>
      <c r="Q61" s="1"/>
      <c r="R61" s="3"/>
      <c r="S61" s="1"/>
    </row>
    <row r="62" spans="1:20" x14ac:dyDescent="0.25">
      <c r="A62" s="54" t="s">
        <v>150</v>
      </c>
      <c r="O62" s="1"/>
      <c r="Q62" s="1"/>
      <c r="R62" s="1"/>
      <c r="S62" s="1"/>
    </row>
    <row r="63" spans="1:20" x14ac:dyDescent="0.25">
      <c r="A63" s="54" t="s">
        <v>151</v>
      </c>
      <c r="O63" s="1"/>
      <c r="Q63" s="1"/>
      <c r="R63" s="1"/>
      <c r="S63" s="1"/>
    </row>
    <row r="64" spans="1:20" x14ac:dyDescent="0.25">
      <c r="A64" s="54" t="s">
        <v>152</v>
      </c>
      <c r="O64" s="1"/>
      <c r="Q64" s="1"/>
      <c r="R64" s="1"/>
      <c r="S64" s="1"/>
      <c r="T64" s="1"/>
    </row>
    <row r="65" spans="1:20" x14ac:dyDescent="0.25">
      <c r="A65" s="54" t="s">
        <v>153</v>
      </c>
      <c r="O65" s="1"/>
      <c r="Q65" s="1"/>
      <c r="R65" s="1"/>
      <c r="S65" s="1"/>
      <c r="T65" s="1"/>
    </row>
    <row r="66" spans="1:20" x14ac:dyDescent="0.2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DAF05FD-0CE2-4D73-BD5A-1217C982DFC4}"/>
</file>

<file path=customXml/itemProps2.xml><?xml version="1.0" encoding="utf-8"?>
<ds:datastoreItem xmlns:ds="http://schemas.openxmlformats.org/officeDocument/2006/customXml" ds:itemID="{54267DC5-8385-4639-8266-4933BA636AD9}"/>
</file>

<file path=customXml/itemProps3.xml><?xml version="1.0" encoding="utf-8"?>
<ds:datastoreItem xmlns:ds="http://schemas.openxmlformats.org/officeDocument/2006/customXml" ds:itemID="{9FD87605-6D17-45AE-911F-B457E386D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2024-11-11T00:45:53Z</cp:lastPrinted>
  <dcterms:created xsi:type="dcterms:W3CDTF">2019-11-27T23:28:06Z</dcterms:created>
  <dcterms:modified xsi:type="dcterms:W3CDTF">2025-06-30T00:26:45Z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