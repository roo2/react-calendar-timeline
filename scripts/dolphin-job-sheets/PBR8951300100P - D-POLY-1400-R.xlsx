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62ECFB6-11BF-4EC2-B811-274B8A70299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<sst xmlns="http://schemas.openxmlformats.org/spreadsheetml/2006/main" count="304" uniqueCount="202">
  <si>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</si>
  <si>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</si>
  <si>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</si>
  <si>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</si>
  <si>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</si>
  <si>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</si>
  <si>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</si>
  <si>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</si>
  <si>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</si>
  <si>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</si>
  <si>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</si>
  <si>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</si>
  <si>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</si>
  <si>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</si>
  <si>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</si>
  <si>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</si>
  <si>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</si>
  <si>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</si>
  <si>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</si>
  <si>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</si>
  <si>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</si>
  <si>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</si>
  <si>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</si>
  <si>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</si>
  <si>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</si>
  <si>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</si>
  <si>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</si>
  <si>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</si>
  <si>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</si>
  <si>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</si>
  <si>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</si>
  <si>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</si>
  <si>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</si>
  <si>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</si>
  <si>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</si>
  <si>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</si>
  <si>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</si>
  <si>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</si>
  <si>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</si>
  <si>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</si>
  <si>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</si>
  <si>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</si>
  <si>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</si>
  <si>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</si>
  <si>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</si>
  <si>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</si>
  <si>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</si>
  <si>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</si>
  <si>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</si>
  <si>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</si>
  <si>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</si>
  <si>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</si>
  <si>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</si>
  <si>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</si>
  <si>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</si>
  <si>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</si>
  <si>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</si>
  <si>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</si>
  <si>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</si>
  <si>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</si>
  <si>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</si>
  <si>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</si>
  <si>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</si>
  <si>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</si>
  <si>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</si>
  <si>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</si>
  <si>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</si>
  <si>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</si>
  <si>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</si>
  <si>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</si>
  <si>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</si>
  <si>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</si>
  <si>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</si>
  <si>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</si>
  <si>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</si>
  <si>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</si>
  <si>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</si>
  <si>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</si>
  <si>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</si>
  <si>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</si>
  <si>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</si>
  <si>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</si>
  <si>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</si>
  <si>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</si>
  <si>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</si>
  <si>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</si>
  <si>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</si>
  <si>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</si>
  <si>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</si>
  <si>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</si>
  <si>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</si>
  <si>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</si>
  <si>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</si>
  <si>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</si>
  <si>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</si>
  <si>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</si>
  <si>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</si>
  <si>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</si>
  <si>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</si>
  <si>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</si>
  <si>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</si>
  <si>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</si>
  <si>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</si>
  <si>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</si>
  <si>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</si>
  <si>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</si>
  <si>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</si>
  <si>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</si>
  <si>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</si>
  <si>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</si>
  <si>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</si>
  <si>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</si>
  <si>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</si>
  <si>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</si>
  <si>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</si>
  <si>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</si>
  <si>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</si>
  <si>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</si>
  <si>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</si>
  <si>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</si>
  <si>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</si>
  <si>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</si>
  <si>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</si>
  <si>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</si>
  <si>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</si>
  <si>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</si>
  <si>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</si>
  <si>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</si>
  <si>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</si>
  <si>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</si>
  <si>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</si>
  <si>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</si>
  <si>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</si>
  <si>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</si>
  <si>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</si>
  <si>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</si>
  <si>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</si>
  <si>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</si>
  <si>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</si>
  <si>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</si>
  <si>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</si>
  <si>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</si>
  <si>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</si>
  <si>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</si>
  <si>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</si>
  <si>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</si>
  <si>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</si>
  <si>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</si>
  <si>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</si>
  <si>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</si>
  <si>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</si>
  <si>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</si>
  <si>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</si>
  <si>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</si>
  <si>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</si>
  <si>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</si>
  <si>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</si>
  <si>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</si>
  <si>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</si>
  <si>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</si>
  <si>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</si>
  <si>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</si>
  <si>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</si>
  <si>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</si>
  <si>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</si>
  <si>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</si>
  <si>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</si>
  <si>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</si>
  <si>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</si>
  <si>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</si>
  <si>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</si>
  <si>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</si>
  <si>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</si>
  <si>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</si>
  <si>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</si>
  <si>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</si>
  <si>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</si>
  <si>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</si>
  <si>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</si>
  <si>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</si>
  <si>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</si>
  <si>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</si>
  <si>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</si>
  <si>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</si>
  <si>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</si>
  <si>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</si>
  <si>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</si>
  <si>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</si>
  <si>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</si>
  <si>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</si>
  <si>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</si>
  <si>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</si>
  <si>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</si>
  <si>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</si>
  <si>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ANTISTATIC</t>
  </si>
  <si>
    <t>PERF INLINE - NEAT ROLLS &amp; STRONG SEALS REQUIRED</t>
  </si>
  <si>
    <t>GREGORY MACHINERY</t>
  </si>
  <si>
    <t>RUN AT 95um</t>
  </si>
  <si>
    <t xml:space="preserve"> +/- 5mm</t>
  </si>
  <si>
    <t>"GREGORY MACHINERY D-POLY-1400-R"</t>
  </si>
  <si>
    <t>D-POLY-1400-R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</si>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</sst>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PBR8951300100ASP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45072</v>
      </c>
      <c r="K1" s="106"/>
      <c r="L1" s="107"/>
      <c r="M1" s="30"/>
      <c r="N1" s="16" t="s">
        <v>55</v>
      </c>
      <c r="O1" s="95" t="str">
        <f>B1</f>
        <v>PBR8951300100ASP</v>
      </c>
      <c r="P1" s="95"/>
      <c r="Q1" s="96"/>
      <c r="R1" s="16" t="s">
        <v>56</v>
      </c>
      <c r="S1" s="95" t="str">
        <f>F1</f>
        <v>GREGORY MACHINERY</v>
      </c>
      <c r="T1" s="95"/>
      <c r="U1" s="96"/>
      <c r="V1" s="16" t="s">
        <v>180</v>
      </c>
      <c r="W1" s="106">
        <f ca="1">J1</f>
        <v>45072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>D-POLY-1400-R</v>
      </c>
      <c r="C2" s="95"/>
      <c r="D2" s="96"/>
      <c r="E2" s="16" t="s">
        <v>57</v>
      </c>
      <c r="F2" s="61">
        <v>945495</v>
      </c>
      <c r="G2" s="61"/>
      <c r="H2" s="62"/>
      <c r="I2" s="16" t="s">
        <v>58</v>
      </c>
      <c r="J2" s="116">
        <v>45101</v>
      </c>
      <c r="K2" s="61"/>
      <c r="L2" s="62"/>
      <c r="M2" s="30"/>
      <c r="N2" s="16" t="s">
        <v>99</v>
      </c>
      <c r="O2" s="95" t="str">
        <f>IF(B2="","",B2)</f>
        <v>D-POLY-1400-R</v>
      </c>
      <c r="P2" s="95"/>
      <c r="Q2" s="96"/>
      <c r="R2" s="16" t="s">
        <v>57</v>
      </c>
      <c r="S2" s="95">
        <f>IF(F2="","",F2)</f>
        <v>945495</v>
      </c>
      <c r="T2" s="95"/>
      <c r="U2" s="96"/>
      <c r="V2" s="16" t="s">
        <v>58</v>
      </c>
      <c r="W2" s="108">
        <f>J2</f>
        <v>45101</v>
      </c>
      <c r="X2" s="95"/>
      <c r="Y2" s="96"/>
    </row>
    <row r="3" spans="1:25" ht="20.149999999999999" customHeight="1" x14ac:dyDescent="0.75">
      <c r="A3" s="97" t="s">
        <v>195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NEAT ROLLS &amp; STRONG SEALS REQUIRED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22</v>
      </c>
      <c r="P7" s="62"/>
      <c r="Q7" s="16" t="str">
        <f>IF(ISNUMBER(SEARCH("roll",O8,1)),"Per Roll","Per Carton")</f>
        <v>Per Roll</v>
      </c>
      <c r="R7" s="61">
        <v>50</v>
      </c>
      <c r="S7" s="62"/>
      <c r="T7" s="16" t="str">
        <f>IF(ISNUMBER(SEARCH("bag",O8,1)),"Total Bags","Total Sheets")</f>
        <v>Total Bags</v>
      </c>
      <c r="U7" s="95">
        <f>R7*O7</f>
        <v>1100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895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None</v>
      </c>
      <c r="F8" s="115"/>
      <c r="G8" s="17" t="s">
        <v>51</v>
      </c>
      <c r="H8" s="114">
        <f>(IF(V9&lt;30,"30",V9))</f>
        <v>100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29" t="s">
        <v>198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197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895</v>
      </c>
      <c r="S9" s="23" t="s">
        <v>77</v>
      </c>
      <c r="T9" s="31">
        <v>1300</v>
      </c>
      <c r="U9" s="23" t="s">
        <v>77</v>
      </c>
      <c r="V9" s="31">
        <v>100</v>
      </c>
      <c r="W9" s="22"/>
      <c r="X9" s="121"/>
      <c r="Y9" s="122"/>
    </row>
    <row r="10" spans="1:25" ht="20.149999999999999" customHeight="1" x14ac:dyDescent="0.8">
      <c r="A10" s="16" t="s">
        <v>50</v>
      </c>
      <c r="B10" s="61">
        <v>22</v>
      </c>
      <c r="C10" s="62"/>
      <c r="D10" s="49" t="s">
        <v>133</v>
      </c>
      <c r="E10" s="131">
        <f>IF(ISNUMBER(SEARCH("sheet",O8,1)),((R9*T9*H8/540000)*U7/2000*1.3),((R9*T9*H8/540000)*U7/1000*1.08))</f>
        <v>255.97000000000003</v>
      </c>
      <c r="F10" s="132"/>
      <c r="G10" s="16" t="s">
        <v>52</v>
      </c>
      <c r="H10" s="135">
        <f>IF(ISNUMBER(SEARCH("sheet",O8,1)),(U7*T9/2000*1.08),(U7*T9/1000*1.08))</f>
        <v>1544.4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Yes</v>
      </c>
      <c r="S10" s="109"/>
      <c r="T10" s="18" t="s">
        <v>99</v>
      </c>
      <c r="U10" s="117" t="s">
        <v>200</v>
      </c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11.635000000000002</v>
      </c>
      <c r="F11" s="134"/>
      <c r="G11" s="16" t="s">
        <v>14</v>
      </c>
      <c r="H11" s="133">
        <f>H10/B10</f>
        <v>70.2</v>
      </c>
      <c r="I11" s="134"/>
      <c r="J11" s="16" t="s">
        <v>49</v>
      </c>
      <c r="K11" s="61" t="s">
        <v>64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>P</v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69</v>
      </c>
      <c r="C13" s="61"/>
      <c r="D13" s="62"/>
      <c r="E13" s="24" t="s">
        <v>60</v>
      </c>
      <c r="F13" s="61" t="s">
        <v>65</v>
      </c>
      <c r="G13" s="61"/>
      <c r="H13" s="62"/>
      <c r="I13" s="16" t="s">
        <v>61</v>
      </c>
      <c r="J13" s="61" t="s">
        <v>176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22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 t="s">
        <v>199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 t="s">
        <v>194</v>
      </c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201</v>
      </c>
      <c r="P25" s="36"/>
      <c r="Q25" s="10">
        <v>24</v>
      </c>
      <c r="R25" s="10">
        <v>9</v>
      </c>
      <c r="S25" s="10"/>
      <c r="T25" s="10">
        <v>8</v>
      </c>
      <c r="U25" s="10"/>
      <c r="V25" s="10">
        <v>3</v>
      </c>
      <c r="W25" s="10">
        <v>175</v>
      </c>
      <c r="X25" s="10">
        <v>175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45103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45093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7212786-00C4-4D1A-AACD-E32EC3CE6463}"/>
</file>

<file path=customXml/itemProps2.xml><?xml version="1.0" encoding="utf-8"?>
<ds:datastoreItem xmlns:ds="http://schemas.openxmlformats.org/officeDocument/2006/customXml" ds:itemID="{D73F8F90-0357-43F1-B8B8-C5B5321C8DB5}"/>
</file>

<file path=customXml/itemProps3.xml><?xml version="1.0" encoding="utf-8"?>
<ds:datastoreItem xmlns:ds="http://schemas.openxmlformats.org/officeDocument/2006/customXml" ds:itemID="{5F0AB2E9-876D-40C4-A67A-58FAB313E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2023-05-24T01:37:28Z</cp:lastPrinted>
  <dcterms:created xsi:type="dcterms:W3CDTF">2019-11-27T23:28:06Z</dcterms:created>
  <dcterms:modified xsi:type="dcterms:W3CDTF">2023-05-26T00:44:31Z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