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32B7FF9-0C0E-426D-A599-804E5E42F0E0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<sst xmlns="http://schemas.openxmlformats.org/spreadsheetml/2006/main" count="308" uniqueCount="203">
  <si>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</si>
  <si>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</si>
  <si>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</si>
  <si>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</si>
  <si>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</si>
  <si>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</si>
  <si>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</si>
  <si>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</si>
  <si>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</si>
  <si>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</si>
  <si>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</si>
  <si>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</si>
  <si>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</si>
  <si>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</si>
  <si>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</si>
  <si>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</si>
  <si>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</si>
  <si>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</si>
  <si>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</si>
  <si>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</si>
  <si>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</si>
  <si>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</si>
  <si>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</si>
  <si>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</si>
  <si>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</si>
  <si>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</si>
  <si>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</si>
  <si>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</si>
  <si>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</si>
  <si>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</si>
  <si>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</si>
  <si>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</si>
  <si>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</si>
  <si>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</si>
  <si>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</si>
  <si>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</si>
  <si>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</si>
  <si>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</si>
  <si>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</si>
  <si>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</si>
  <si>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</si>
  <si>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</si>
  <si>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</si>
  <si>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</si>
  <si>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</si>
  <si>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</si>
  <si>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</si>
  <si>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</si>
  <si>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</si>
  <si>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</si>
  <si>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</si>
  <si>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</si>
  <si>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</si>
  <si>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</si>
  <si>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</si>
  <si>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</si>
  <si>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</si>
  <si>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</si>
  <si>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</si>
  <si>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</si>
  <si>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</si>
  <si>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</si>
  <si>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</si>
  <si>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</si>
  <si>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</si>
  <si>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</si>
  <si>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</si>
  <si>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</si>
  <si>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</si>
  <si>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</si>
  <si>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</si>
  <si>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</si>
  <si>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</si>
  <si>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</si>
  <si>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</si>
  <si>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</si>
  <si>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</si>
  <si>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</si>
  <si>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</si>
  <si>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</si>
  <si>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</si>
  <si>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</si>
  <si>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</si>
  <si>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</si>
  <si>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</si>
  <si>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</si>
  <si>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</si>
  <si>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</si>
  <si>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</si>
  <si>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</si>
  <si>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</si>
  <si>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</si>
  <si>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</si>
  <si>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</si>
  <si>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</si>
  <si>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</si>
  <si>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</si>
  <si>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</si>
  <si>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</si>
  <si>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</si>
  <si>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</si>
  <si>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</si>
  <si>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</si>
  <si>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</si>
  <si>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</si>
  <si>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</si>
  <si>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</si>
  <si>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</si>
  <si>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</si>
  <si>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</si>
  <si>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</si>
  <si>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</si>
  <si>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</si>
  <si>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</si>
  <si>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</si>
  <si>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</si>
  <si>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</si>
  <si>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</si>
  <si>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</si>
  <si>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</si>
  <si>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</si>
  <si>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</si>
  <si>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</si>
  <si>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</si>
  <si>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</si>
  <si>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</si>
  <si>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</si>
  <si>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</si>
  <si>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</si>
  <si>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</si>
  <si>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</si>
  <si>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</si>
  <si>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</si>
  <si>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</si>
  <si>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</si>
  <si>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</si>
  <si>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</si>
  <si>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</si>
  <si>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</si>
  <si>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</si>
  <si>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</si>
  <si>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</si>
  <si>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</si>
  <si>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</si>
  <si>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</si>
  <si>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</si>
  <si>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</si>
  <si>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</si>
  <si>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</si>
  <si>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</si>
  <si>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</si>
  <si>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</si>
  <si>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</si>
  <si>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</si>
  <si>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</si>
  <si>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</si>
  <si>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</si>
  <si>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</si>
  <si>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</si>
  <si>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</si>
  <si>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</si>
  <si>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</si>
  <si>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</si>
  <si>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</si>
  <si>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</si>
  <si>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</si>
  <si>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</si>
  <si>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</si>
  <si>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</si>
  <si>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</si>
  <si>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</si>
  <si>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</si>
  <si>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</si>
  <si>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</si>
  <si>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</si>
  <si>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</si>
  <si>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</si>
  <si>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</si>
  <si>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</si>
  <si>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</si>
  <si>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</si>
  <si>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</si>
  <si>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</si>
  <si>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</si>
  <si>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</si>
  <si>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</si>
  <si>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</si>
  <si>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</si>
  <si>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</si>
  <si>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</si>
  <si>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</si>
  <si>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</si>
  <si>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</si>
  <si>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</si>
  <si>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</si>
  <si>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UV</t>
  </si>
  <si>
    <t>RUN AT 135 - 140um</t>
  </si>
  <si>
    <t>(145+135)</t>
  </si>
  <si>
    <t>PERF</t>
  </si>
  <si>
    <t>5L PLANTER BAG</t>
  </si>
  <si>
    <t>%</t>
  </si>
  <si>
    <t>KALAC PTY LTD</t>
  </si>
  <si>
    <t>NEW CUSTOMER - NEAT GUSSET AND NOT UNDER 130UM - CHECK FREQUENTLY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</si>
</sst>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6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18" fillId="0" borderId="7" xfId="0" applyFont="1" applyBorder="1" applyAlignment="1" applyProtection="1">
      <alignment horizontal="center" vertical="center" wrapText="1"/>
      <protection locked="0"/>
    </xf>
    <xf numFmtId="0" fontId="18" fillId="0" borderId="3" xfId="0" applyFont="1" applyBorder="1" applyAlignment="1" applyProtection="1">
      <alignment horizontal="center" vertical="center" wrapText="1"/>
      <protection locked="0"/>
    </xf>
    <xf numFmtId="0" fontId="18" fillId="0" borderId="8" xfId="0" applyFont="1" applyBorder="1" applyAlignment="1" applyProtection="1">
      <alignment horizontal="center" vertical="center" wrapText="1"/>
      <protection locked="0"/>
    </xf>
    <xf numFmtId="0" fontId="18" fillId="0" borderId="9" xfId="0" applyFont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18" fillId="0" borderId="10" xfId="0" applyFont="1" applyBorder="1" applyAlignment="1" applyProtection="1">
      <alignment horizontal="center" vertical="center" wrapText="1"/>
      <protection locked="0"/>
    </xf>
    <xf numFmtId="0" fontId="18" fillId="0" borderId="11" xfId="0" applyFont="1" applyBorder="1" applyAlignment="1" applyProtection="1">
      <alignment horizontal="center" vertical="center" wrapText="1"/>
      <protection locked="0"/>
    </xf>
    <xf numFmtId="0" fontId="18" fillId="0" borderId="1" xfId="0" applyFont="1" applyBorder="1" applyAlignment="1" applyProtection="1">
      <alignment horizontal="center" vertical="center" wrapText="1"/>
      <protection locked="0"/>
    </xf>
    <xf numFmtId="0" fontId="18" fillId="0" borderId="12" xfId="0" applyFont="1" applyBorder="1" applyAlignment="1" applyProtection="1">
      <alignment horizontal="center" vertical="center" wrapText="1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PB280G350140BKUVV</v>
      </c>
      <c r="C1" s="111"/>
      <c r="D1" s="112"/>
      <c r="E1" s="11" t="s">
        <v>57</v>
      </c>
      <c r="F1" s="122" t="s">
        <v>201</v>
      </c>
      <c r="G1" s="87"/>
      <c r="H1" s="88"/>
      <c r="I1" s="12" t="s">
        <v>181</v>
      </c>
      <c r="J1" s="84">
        <f ca="1">TODAY()</f>
        <v>45548</v>
      </c>
      <c r="K1" s="84"/>
      <c r="L1" s="85"/>
      <c r="M1" s="29"/>
      <c r="N1" s="11" t="s">
        <v>56</v>
      </c>
      <c r="O1" s="111" t="str">
        <f>B1</f>
        <v>PB280G350140BKUVV</v>
      </c>
      <c r="P1" s="111"/>
      <c r="Q1" s="112"/>
      <c r="R1" s="11" t="s">
        <v>57</v>
      </c>
      <c r="S1" s="111" t="str">
        <f>F1</f>
        <v>KALAC PTY LTD</v>
      </c>
      <c r="T1" s="111"/>
      <c r="U1" s="112"/>
      <c r="V1" s="11" t="s">
        <v>181</v>
      </c>
      <c r="W1" s="84">
        <f ca="1">J1</f>
        <v>45548</v>
      </c>
      <c r="X1" s="84"/>
      <c r="Y1" s="85"/>
    </row>
    <row r="2" spans="1:25" ht="20.149999999999999" customHeight="1" x14ac:dyDescent="0.8">
      <c r="A2" s="11" t="s">
        <v>100</v>
      </c>
      <c r="B2" s="111" t="str">
        <f>IF(U10="","",U10)</f>
        <v>5L PLANTER BAG</v>
      </c>
      <c r="C2" s="111"/>
      <c r="D2" s="112"/>
      <c r="E2" s="11" t="s">
        <v>58</v>
      </c>
      <c r="F2" s="87">
        <v>948628</v>
      </c>
      <c r="G2" s="87"/>
      <c r="H2" s="88"/>
      <c r="I2" s="11" t="s">
        <v>59</v>
      </c>
      <c r="J2" s="86">
        <v>45569</v>
      </c>
      <c r="K2" s="87"/>
      <c r="L2" s="88"/>
      <c r="M2" s="29"/>
      <c r="N2" s="11" t="s">
        <v>100</v>
      </c>
      <c r="O2" s="111" t="str">
        <f>IF(B2="","",B2)</f>
        <v>5L PLANTER BAG</v>
      </c>
      <c r="P2" s="111"/>
      <c r="Q2" s="112"/>
      <c r="R2" s="11" t="s">
        <v>58</v>
      </c>
      <c r="S2" s="111">
        <f>IF(F2="","",F2)</f>
        <v>948628</v>
      </c>
      <c r="T2" s="111"/>
      <c r="U2" s="112"/>
      <c r="V2" s="11" t="s">
        <v>59</v>
      </c>
      <c r="W2" s="123">
        <f>J2</f>
        <v>45569</v>
      </c>
      <c r="X2" s="111"/>
      <c r="Y2" s="112"/>
    </row>
    <row r="3" spans="1:25" ht="20.149999999999999" customHeight="1" x14ac:dyDescent="0.75">
      <c r="A3" s="153" t="s">
        <v>202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5"/>
      <c r="M3" s="29"/>
      <c r="N3" s="113" t="str">
        <f>A3</f>
        <v>NEW CUSTOMER - NEAT GUSSET AND NOT UNDER 130UM - CHECK FREQUENTLY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56"/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59"/>
      <c r="B5" s="160"/>
      <c r="C5" s="160"/>
      <c r="D5" s="160"/>
      <c r="E5" s="160"/>
      <c r="F5" s="160"/>
      <c r="G5" s="160"/>
      <c r="H5" s="160"/>
      <c r="I5" s="160"/>
      <c r="J5" s="160"/>
      <c r="K5" s="160"/>
      <c r="L5" s="16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1" t="s">
        <v>49</v>
      </c>
      <c r="B7" s="108" t="s">
        <v>177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10</v>
      </c>
      <c r="P7" s="88"/>
      <c r="Q7" s="11" t="str">
        <f>IF(ISNUMBER(SEARCH("roll",O8,1)),"Per Roll","Per Carton")</f>
        <v>Per Carton</v>
      </c>
      <c r="R7" s="87">
        <v>500</v>
      </c>
      <c r="S7" s="88"/>
      <c r="T7" s="11" t="str">
        <f>IF(ISNUMBER(SEARCH("bag",O8,1)),"Total Bags","Total Sheets")</f>
        <v>Total Bags</v>
      </c>
      <c r="U7" s="111">
        <f>R7*O7</f>
        <v>5000</v>
      </c>
      <c r="V7" s="112"/>
      <c r="W7" s="11" t="s">
        <v>102</v>
      </c>
      <c r="X7" s="87" t="s">
        <v>23</v>
      </c>
      <c r="Y7" s="88"/>
    </row>
    <row r="8" spans="1:25" ht="20.149999999999999" customHeight="1" x14ac:dyDescent="0.8">
      <c r="A8" s="13" t="s">
        <v>16</v>
      </c>
      <c r="B8" s="89">
        <f>R9</f>
        <v>280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(145+135)</v>
      </c>
      <c r="F8" s="90"/>
      <c r="G8" s="13" t="s">
        <v>52</v>
      </c>
      <c r="H8" s="89">
        <f>(IF(V9&lt;30,"30",V9))</f>
        <v>140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Gusset Tube</v>
      </c>
      <c r="L8" s="112"/>
      <c r="M8" s="29"/>
      <c r="N8" s="14" t="s">
        <v>54</v>
      </c>
      <c r="O8" s="126" t="s">
        <v>164</v>
      </c>
      <c r="P8" s="127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G</v>
      </c>
      <c r="Y8" s="125"/>
    </row>
    <row r="9" spans="1:25" ht="20.149999999999999" customHeight="1" x14ac:dyDescent="0.9">
      <c r="A9" s="16" t="s">
        <v>48</v>
      </c>
      <c r="B9" s="99" t="s">
        <v>194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196</v>
      </c>
      <c r="I9" s="100"/>
      <c r="J9" s="11" t="s">
        <v>55</v>
      </c>
      <c r="K9" s="87" t="s">
        <v>30</v>
      </c>
      <c r="L9" s="88"/>
      <c r="M9" s="29"/>
      <c r="N9" s="17"/>
      <c r="O9" s="128" t="str">
        <f>IF(O8="Poly Bag","PB",IF(O8="Poly Bag Roll","PBR",IF(O8="Centrefold Roll","CFR",IF(O8="Sheet","S",IF(O8="Sheet Roll","SR")))))</f>
        <v>PB</v>
      </c>
      <c r="P9" s="129"/>
      <c r="Q9" s="17"/>
      <c r="R9" s="30">
        <v>280</v>
      </c>
      <c r="S9" s="18" t="s">
        <v>78</v>
      </c>
      <c r="T9" s="30">
        <v>350</v>
      </c>
      <c r="U9" s="18" t="s">
        <v>78</v>
      </c>
      <c r="V9" s="30">
        <v>140</v>
      </c>
      <c r="W9" s="17"/>
      <c r="X9" s="137" t="s">
        <v>197</v>
      </c>
      <c r="Y9" s="138"/>
    </row>
    <row r="10" spans="1:25" ht="20.149999999999999" customHeight="1" x14ac:dyDescent="0.8">
      <c r="A10" s="11" t="s">
        <v>51</v>
      </c>
      <c r="B10" s="87">
        <v>6</v>
      </c>
      <c r="C10" s="88"/>
      <c r="D10" s="47" t="s">
        <v>134</v>
      </c>
      <c r="E10" s="101">
        <f>IF(ISNUMBER(SEARCH("sheet",O8,1)),((R9*T9*H8/540000)*U7/2000*1.3),((R9*T9*H8/540000)*U7/1000*1.08))</f>
        <v>137.20000000000002</v>
      </c>
      <c r="F10" s="102"/>
      <c r="G10" s="11" t="s">
        <v>53</v>
      </c>
      <c r="H10" s="105">
        <f>IF(ISNUMBER(SEARCH("sheet",O8,1)),(U7*T9/2000*1.08),(U7*T9/1000*1.08))</f>
        <v>1890.0000000000002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6" t="s">
        <v>188</v>
      </c>
      <c r="P10" s="127"/>
      <c r="Q10" s="14" t="s">
        <v>50</v>
      </c>
      <c r="R10" s="124" t="str">
        <f>IF(K11="NONE","None",IF(K11="INLINE","Yes",IF(K11="OUT OF LINE","Yes")))</f>
        <v>None</v>
      </c>
      <c r="S10" s="124"/>
      <c r="T10" s="14" t="s">
        <v>100</v>
      </c>
      <c r="U10" s="131" t="s">
        <v>199</v>
      </c>
      <c r="V10" s="131"/>
      <c r="W10" s="131"/>
      <c r="X10" s="131"/>
      <c r="Y10" s="132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22.866666666666671</v>
      </c>
      <c r="F11" s="104"/>
      <c r="G11" s="11" t="s">
        <v>15</v>
      </c>
      <c r="H11" s="103">
        <f>H10/B10</f>
        <v>315.00000000000006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>V</v>
      </c>
      <c r="P11" s="90"/>
      <c r="Q11" s="13"/>
      <c r="R11" s="89" t="str">
        <f>IF(R10="None","","P")</f>
        <v/>
      </c>
      <c r="S11" s="90"/>
      <c r="T11" s="13"/>
      <c r="U11" s="133"/>
      <c r="V11" s="133"/>
      <c r="W11" s="133"/>
      <c r="X11" s="133"/>
      <c r="Y11" s="134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30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10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/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30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>
        <v>150</v>
      </c>
      <c r="P16" s="88"/>
      <c r="Q16" s="11" t="s">
        <v>105</v>
      </c>
      <c r="R16" s="87" t="s">
        <v>23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43"/>
      <c r="Y16" s="83"/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140"/>
      <c r="J17" s="141"/>
      <c r="K17" s="140"/>
      <c r="L17" s="141"/>
      <c r="M17" s="29"/>
      <c r="N17" s="11" t="s">
        <v>26</v>
      </c>
      <c r="O17" s="87" t="s">
        <v>37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31</v>
      </c>
      <c r="V17" s="88"/>
      <c r="W17" s="11" t="str">
        <f>IF(ISNUMBER(SEARCH("roll",O8,1)),"Total Rolls","Total Ctns")</f>
        <v>Total Ctns</v>
      </c>
      <c r="X17" s="143"/>
      <c r="Y17" s="83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140"/>
      <c r="J18" s="141"/>
      <c r="K18" s="140"/>
      <c r="L18" s="141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43"/>
      <c r="Y18" s="83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140"/>
      <c r="J19" s="141"/>
      <c r="K19" s="140"/>
      <c r="L19" s="141"/>
      <c r="M19" s="29"/>
      <c r="N19" s="144" t="s">
        <v>116</v>
      </c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6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140"/>
      <c r="J20" s="141"/>
      <c r="K20" s="140"/>
      <c r="L20" s="141"/>
      <c r="M20" s="29"/>
      <c r="N20" s="147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9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140"/>
      <c r="J21" s="141"/>
      <c r="K21" s="140"/>
      <c r="L21" s="141"/>
      <c r="M21" s="29"/>
      <c r="N21" s="147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9"/>
    </row>
    <row r="22" spans="1:25" ht="20.149999999999999" customHeight="1" x14ac:dyDescent="0.75">
      <c r="A22" s="74" t="str">
        <f>(IF(B7="NATURAL","",B7))</f>
        <v>BLACK</v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78"/>
      <c r="E22" s="139" t="s">
        <v>200</v>
      </c>
      <c r="F22" s="83"/>
      <c r="G22" s="48" t="s">
        <v>86</v>
      </c>
      <c r="H22" s="32"/>
      <c r="I22" s="140"/>
      <c r="J22" s="141"/>
      <c r="K22" s="140"/>
      <c r="L22" s="141"/>
      <c r="M22" s="29"/>
      <c r="N22" s="150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2"/>
    </row>
    <row r="23" spans="1:25" ht="20.149999999999999" customHeight="1" x14ac:dyDescent="0.75">
      <c r="A23" s="79" t="s">
        <v>195</v>
      </c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78"/>
      <c r="E23" s="139" t="s">
        <v>200</v>
      </c>
      <c r="F23" s="83"/>
      <c r="G23" s="48" t="s">
        <v>87</v>
      </c>
      <c r="H23" s="32"/>
      <c r="I23" s="140"/>
      <c r="J23" s="141"/>
      <c r="K23" s="140"/>
      <c r="L23" s="141"/>
      <c r="M23" s="29"/>
      <c r="N23" s="130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140"/>
      <c r="F24" s="141"/>
      <c r="G24" s="48" t="s">
        <v>88</v>
      </c>
      <c r="H24" s="32"/>
      <c r="I24" s="140"/>
      <c r="J24" s="141"/>
      <c r="K24" s="140"/>
      <c r="L24" s="141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 t="s">
        <v>198</v>
      </c>
      <c r="P25" s="34"/>
      <c r="Q25" s="10">
        <v>22</v>
      </c>
      <c r="R25" s="10">
        <v>6</v>
      </c>
      <c r="S25" s="10"/>
      <c r="T25" s="10">
        <v>10</v>
      </c>
      <c r="U25" s="10">
        <v>2</v>
      </c>
      <c r="V25" s="10">
        <v>2.5</v>
      </c>
      <c r="W25" s="10">
        <v>250</v>
      </c>
      <c r="X25" s="10">
        <v>250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42" t="s">
        <v>132</v>
      </c>
      <c r="H26" s="142"/>
      <c r="I26" s="142" t="s">
        <v>131</v>
      </c>
      <c r="J26" s="142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5"/>
      <c r="G29" s="135"/>
      <c r="H29" s="135"/>
      <c r="I29" s="135"/>
      <c r="J29" s="135"/>
      <c r="K29" s="92"/>
      <c r="L29" s="136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45578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45569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8020CD7-3FD4-4444-92C9-9C354E855F13}"/>
</file>

<file path=customXml/itemProps2.xml><?xml version="1.0" encoding="utf-8"?>
<ds:datastoreItem xmlns:ds="http://schemas.openxmlformats.org/officeDocument/2006/customXml" ds:itemID="{0F35295B-D66E-4E43-9809-8BBB0464DF02}"/>
</file>

<file path=customXml/itemProps3.xml><?xml version="1.0" encoding="utf-8"?>
<ds:datastoreItem xmlns:ds="http://schemas.openxmlformats.org/officeDocument/2006/customXml" ds:itemID="{34F01BC9-43CE-4ACD-85E7-3920E28630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2024-09-12T22:52:35Z</cp:lastPrinted>
  <dcterms:created xsi:type="dcterms:W3CDTF">2019-11-27T23:28:06Z</dcterms:created>
  <dcterms:modified xsi:type="dcterms:W3CDTF">2024-09-12T22:53:32Z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