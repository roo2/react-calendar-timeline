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6FE9507-526B-417F-A048-4C2DC037A2EB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<sst xmlns="http://schemas.openxmlformats.org/spreadsheetml/2006/main" count="302" uniqueCount="200">
  <si>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</si>
  <si>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</si>
  <si>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</si>
  <si>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</si>
  <si>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</si>
  <si>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</si>
  <si>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</si>
  <si>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</si>
  <si>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</si>
  <si>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</si>
  <si>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</si>
  <si>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</si>
  <si>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</si>
  <si>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</si>
  <si>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</si>
  <si>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</si>
  <si>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</si>
  <si>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</si>
  <si>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</si>
  <si>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</si>
  <si>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</si>
  <si>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</si>
  <si>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</si>
  <si>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</si>
  <si>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</si>
  <si>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</si>
  <si>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</si>
  <si>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</si>
  <si>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</si>
  <si>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</si>
  <si>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</si>
  <si>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</si>
  <si>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</si>
  <si>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</si>
  <si>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</si>
  <si>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</si>
  <si>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</si>
  <si>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</si>
  <si>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</si>
  <si>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</si>
  <si>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</si>
  <si>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</si>
  <si>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</si>
  <si>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</si>
  <si>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</si>
  <si>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</si>
  <si>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</si>
  <si>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</si>
  <si>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</si>
  <si>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</si>
  <si>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</si>
  <si>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</si>
  <si>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</si>
  <si>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</si>
  <si>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</si>
  <si>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</si>
  <si>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</si>
  <si>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</si>
  <si>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</si>
  <si>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</si>
  <si>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</si>
  <si>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</si>
  <si>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</si>
  <si>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</si>
  <si>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</si>
  <si>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</si>
  <si>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</si>
  <si>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</si>
  <si>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</si>
  <si>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</si>
  <si>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</si>
  <si>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</si>
  <si>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</si>
  <si>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</si>
  <si>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</si>
  <si>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</si>
  <si>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</si>
  <si>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</si>
  <si>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</si>
  <si>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</si>
  <si>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</si>
  <si>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</si>
  <si>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</si>
  <si>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</si>
  <si>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</si>
  <si>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</si>
  <si>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</si>
  <si>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</si>
  <si>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</si>
  <si>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</si>
  <si>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</si>
  <si>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</si>
  <si>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</si>
  <si>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</si>
  <si>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</si>
  <si>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</si>
  <si>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</si>
  <si>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</si>
  <si>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</si>
  <si>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</si>
  <si>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</si>
  <si>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</si>
  <si>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</si>
  <si>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</si>
  <si>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</si>
  <si>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</si>
  <si>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</si>
  <si>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</si>
  <si>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</si>
  <si>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</si>
  <si>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</si>
  <si>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</si>
  <si>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</si>
  <si>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</si>
  <si>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</si>
  <si>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</si>
  <si>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</si>
  <si>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</si>
  <si>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</si>
  <si>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</si>
  <si>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</si>
  <si>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</si>
  <si>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</si>
  <si>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</si>
  <si>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</si>
  <si>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</si>
  <si>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</si>
  <si>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</si>
  <si>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</si>
  <si>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</si>
  <si>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</si>
  <si>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</si>
  <si>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</si>
  <si>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</si>
  <si>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</si>
  <si>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</si>
  <si>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</si>
  <si>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</si>
  <si>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</si>
  <si>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</si>
  <si>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</si>
  <si>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</si>
  <si>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</si>
  <si>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</si>
  <si>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</si>
  <si>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</si>
  <si>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</si>
  <si>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</si>
  <si>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</si>
  <si>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</si>
  <si>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</si>
  <si>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</si>
  <si>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</si>
  <si>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</si>
  <si>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</si>
  <si>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</si>
  <si>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</si>
  <si>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</si>
  <si>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</si>
  <si>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</si>
  <si>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</si>
  <si>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</si>
  <si>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</si>
  <si>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</si>
  <si>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</si>
  <si>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</si>
  <si>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</si>
  <si>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</si>
  <si>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</si>
  <si>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</si>
  <si>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</si>
  <si>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</si>
  <si>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</si>
  <si>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</si>
  <si>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</si>
  <si>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</si>
  <si>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</si>
  <si>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</si>
  <si>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</si>
  <si>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</si>
  <si>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</si>
  <si>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</si>
  <si>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</si>
  <si>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</si>
  <si>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</si>
  <si>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</si>
  <si>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</si>
  <si>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</si>
  <si>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</si>
  <si>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</si>
  <si>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</si>
  <si>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</si>
  <si>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</si>
  <si>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</si>
  <si>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</si>
  <si>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THE DECKSTORE</t>
  </si>
  <si>
    <t>(345+130)</t>
  </si>
  <si>
    <t xml:space="preserve">NEW ITEM - MUST HAVE WATER TIGHT SEALS CHECK FREQUENTLY </t>
  </si>
  <si>
    <t>5UM +/-</t>
  </si>
  <si>
    <t>5KG END 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</si>
</sst>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U10" sqref="U10:Y11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PBR475G50030</v>
      </c>
      <c r="C1" s="108"/>
      <c r="D1" s="109"/>
      <c r="E1" s="18" t="s">
        <v>56</v>
      </c>
      <c r="F1" s="122" t="s">
        <v>195</v>
      </c>
      <c r="G1" s="122"/>
      <c r="H1" s="123"/>
      <c r="I1" s="18" t="s">
        <v>180</v>
      </c>
      <c r="J1" s="119">
        <f ca="1">TODAY()</f>
        <v>43881</v>
      </c>
      <c r="K1" s="119"/>
      <c r="L1" s="120"/>
      <c r="M1" s="35"/>
      <c r="N1" s="18" t="s">
        <v>55</v>
      </c>
      <c r="O1" s="108" t="str">
        <f>B1</f>
        <v>PBR475G50030</v>
      </c>
      <c r="P1" s="108"/>
      <c r="Q1" s="109"/>
      <c r="R1" s="18" t="s">
        <v>56</v>
      </c>
      <c r="S1" s="108" t="str">
        <f>F1</f>
        <v>THE DECKSTORE</v>
      </c>
      <c r="T1" s="108"/>
      <c r="U1" s="109"/>
      <c r="V1" s="18" t="s">
        <v>180</v>
      </c>
      <c r="W1" s="119">
        <f ca="1">J1</f>
        <v>43881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5KG END LINER</v>
      </c>
      <c r="C2" s="108"/>
      <c r="D2" s="109"/>
      <c r="E2" s="18" t="s">
        <v>57</v>
      </c>
      <c r="F2" s="71">
        <v>936412</v>
      </c>
      <c r="G2" s="71"/>
      <c r="H2" s="72"/>
      <c r="I2" s="18" t="s">
        <v>58</v>
      </c>
      <c r="J2" s="131">
        <v>43908</v>
      </c>
      <c r="K2" s="71"/>
      <c r="L2" s="72"/>
      <c r="M2" s="35"/>
      <c r="N2" s="18" t="s">
        <v>99</v>
      </c>
      <c r="O2" s="108" t="str">
        <f>IF(B2="","",B2)</f>
        <v>5KG END LINER</v>
      </c>
      <c r="P2" s="108"/>
      <c r="Q2" s="109"/>
      <c r="R2" s="18" t="s">
        <v>57</v>
      </c>
      <c r="S2" s="108">
        <f>IF(F2="","",F2)</f>
        <v>936412</v>
      </c>
      <c r="T2" s="108"/>
      <c r="U2" s="109"/>
      <c r="V2" s="18" t="s">
        <v>58</v>
      </c>
      <c r="W2" s="121">
        <f>J2</f>
        <v>43908</v>
      </c>
      <c r="X2" s="108"/>
      <c r="Y2" s="109"/>
    </row>
    <row r="3" spans="1:25" ht="20.100000000000001" customHeight="1" x14ac:dyDescent="0.2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38" t="s">
        <v>1</v>
      </c>
      <c r="B6" s="139"/>
      <c r="C6" s="139"/>
      <c r="D6" s="139"/>
      <c r="E6" s="139"/>
      <c r="F6" s="139"/>
      <c r="G6" s="139"/>
      <c r="H6" s="139"/>
      <c r="I6" s="139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</v>
      </c>
      <c r="P7" s="72"/>
      <c r="Q7" s="18" t="str">
        <f>IF(ISNUMBER(SEARCH("roll",O8,1)),"Per Roll","Per Carton")</f>
        <v>Per Roll</v>
      </c>
      <c r="R7" s="71">
        <v>1000</v>
      </c>
      <c r="S7" s="72"/>
      <c r="T7" s="18" t="str">
        <f>IF(ISNUMBER(SEARCH("bag",O8,1)),"Total Bags","Total Sheets")</f>
        <v>Total Bags</v>
      </c>
      <c r="U7" s="108">
        <f>R7*O7</f>
        <v>10000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475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(345+130)</v>
      </c>
      <c r="F8" s="130"/>
      <c r="G8" s="19" t="s">
        <v>51</v>
      </c>
      <c r="H8" s="129">
        <f>(IF(V9&lt;30,"30",V9))</f>
        <v>30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34" t="s">
        <v>164</v>
      </c>
      <c r="P8" s="13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40" t="s">
        <v>194</v>
      </c>
      <c r="C9" s="141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0" t="s">
        <v>198</v>
      </c>
      <c r="I9" s="141"/>
      <c r="J9" s="18" t="s">
        <v>54</v>
      </c>
      <c r="K9" s="71" t="s">
        <v>33</v>
      </c>
      <c r="L9" s="72"/>
      <c r="M9" s="35"/>
      <c r="N9" s="24"/>
      <c r="O9" s="148" t="str">
        <f>IF(O8="Poly Bag","PB",IF(O8="Poly Bag Roll","PBR",IF(O8="Centrefold Roll","CFR",IF(O8="Sheet","S",IF(O8="Sheet Roll","SR")))))</f>
        <v>PBR</v>
      </c>
      <c r="P9" s="149"/>
      <c r="Q9" s="24"/>
      <c r="R9" s="36">
        <v>475</v>
      </c>
      <c r="S9" s="25" t="s">
        <v>77</v>
      </c>
      <c r="T9" s="36">
        <v>500</v>
      </c>
      <c r="U9" s="25" t="s">
        <v>77</v>
      </c>
      <c r="V9" s="36">
        <v>30</v>
      </c>
      <c r="W9" s="24"/>
      <c r="X9" s="132" t="s">
        <v>196</v>
      </c>
      <c r="Y9" s="133"/>
    </row>
    <row r="10" spans="1:25" ht="20.100000000000001" customHeight="1" x14ac:dyDescent="0.25">
      <c r="A10" s="18" t="s">
        <v>50</v>
      </c>
      <c r="B10" s="71">
        <v>10</v>
      </c>
      <c r="C10" s="72"/>
      <c r="D10" s="56" t="s">
        <v>133</v>
      </c>
      <c r="E10" s="142">
        <f>IF(ISNUMBER(SEARCH("sheet",O8,1)),((R9*T9*H8/540000)*U7/2000*1.3),((R9*T9*H8/540000)*U7/1000*1.08))</f>
        <v>142.5</v>
      </c>
      <c r="F10" s="143"/>
      <c r="G10" s="18" t="s">
        <v>52</v>
      </c>
      <c r="H10" s="146">
        <f>IF(ISNUMBER(SEARCH("sheet",O8,1)),(U7*T9/2000*1.08),(U7*T9/1000*1.08))</f>
        <v>5400</v>
      </c>
      <c r="I10" s="147"/>
      <c r="J10" s="18" t="s">
        <v>40</v>
      </c>
      <c r="K10" s="71" t="s">
        <v>43</v>
      </c>
      <c r="L10" s="72"/>
      <c r="M10" s="35"/>
      <c r="N10" s="26" t="s">
        <v>140</v>
      </c>
      <c r="O10" s="134" t="s">
        <v>43</v>
      </c>
      <c r="P10" s="135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11" t="s">
        <v>199</v>
      </c>
      <c r="V10" s="111"/>
      <c r="W10" s="111"/>
      <c r="X10" s="111"/>
      <c r="Y10" s="11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4">
        <f>E10/B10</f>
        <v>14.25</v>
      </c>
      <c r="F11" s="145"/>
      <c r="G11" s="18" t="s">
        <v>14</v>
      </c>
      <c r="H11" s="144">
        <f>H10/B10</f>
        <v>540</v>
      </c>
      <c r="I11" s="145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17"/>
      <c r="V11" s="117"/>
      <c r="W11" s="117"/>
      <c r="X11" s="117"/>
      <c r="Y11" s="118"/>
    </row>
    <row r="12" spans="1:25" ht="20.100000000000001" customHeight="1" x14ac:dyDescent="0.25">
      <c r="A12" s="136" t="s">
        <v>12</v>
      </c>
      <c r="B12" s="137"/>
      <c r="C12" s="137"/>
      <c r="D12" s="137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0"/>
      <c r="J17" s="161"/>
      <c r="K17" s="160"/>
      <c r="L17" s="161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0"/>
      <c r="J18" s="161"/>
      <c r="K18" s="160"/>
      <c r="L18" s="161"/>
      <c r="M18" s="35"/>
      <c r="N18" s="18" t="s">
        <v>100</v>
      </c>
      <c r="O18" s="71"/>
      <c r="P18" s="72"/>
      <c r="Q18" s="18" t="s">
        <v>105</v>
      </c>
      <c r="R18" s="71" t="s">
        <v>22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0"/>
      <c r="J19" s="161"/>
      <c r="K19" s="160"/>
      <c r="L19" s="161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0"/>
      <c r="J20" s="161"/>
      <c r="K20" s="160"/>
      <c r="L20" s="161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0"/>
      <c r="J21" s="161"/>
      <c r="K21" s="160"/>
      <c r="L21" s="161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0"/>
      <c r="J22" s="161"/>
      <c r="K22" s="160"/>
      <c r="L22" s="161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3"/>
      <c r="B23" s="153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0"/>
      <c r="J23" s="161"/>
      <c r="K23" s="160"/>
      <c r="L23" s="161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4"/>
      <c r="B24" s="155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0"/>
      <c r="J24" s="161"/>
      <c r="K24" s="160"/>
      <c r="L24" s="161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59"/>
      <c r="H27" s="159"/>
      <c r="I27" s="159"/>
      <c r="J27" s="159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59"/>
      <c r="H28" s="159"/>
      <c r="I28" s="159"/>
      <c r="J28" s="159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6" t="s">
        <v>98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8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0" t="s">
        <v>135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2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43910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43902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727DEF-BC71-4369-ACD8-C5B3169CEEBC}"/>
</file>

<file path=customXml/itemProps2.xml><?xml version="1.0" encoding="utf-8"?>
<ds:datastoreItem xmlns:ds="http://schemas.openxmlformats.org/officeDocument/2006/customXml" ds:itemID="{A66948DE-626A-4BAB-AAE8-82B92A7920C6}"/>
</file>

<file path=customXml/itemProps3.xml><?xml version="1.0" encoding="utf-8"?>
<ds:datastoreItem xmlns:ds="http://schemas.openxmlformats.org/officeDocument/2006/customXml" ds:itemID="{F900BE32-DC3D-4808-AFF3-195FD977A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2020-02-20T02:56:45Z</cp:lastPrinted>
  <dcterms:created xsi:type="dcterms:W3CDTF">2019-11-27T23:28:06Z</dcterms:created>
  <dcterms:modified xsi:type="dcterms:W3CDTF">2020-02-20T04:51:18Z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