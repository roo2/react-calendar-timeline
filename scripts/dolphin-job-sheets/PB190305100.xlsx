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4F6B60C-C6B7-4F82-8052-A4DD0241B08A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<sst xmlns="http://schemas.openxmlformats.org/spreadsheetml/2006/main" count="303" uniqueCount="198">
  <si>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</si>
  <si>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</si>
  <si>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</si>
  <si>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</si>
  <si>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</si>
  <si>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</si>
  <si>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</si>
  <si>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</si>
  <si>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</si>
  <si>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</si>
  <si>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</si>
  <si>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</si>
  <si>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</si>
  <si>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</si>
  <si>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</si>
  <si>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</si>
  <si>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</si>
  <si>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</si>
  <si>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</si>
  <si>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</si>
  <si>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</si>
  <si>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</si>
  <si>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</si>
  <si>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</si>
  <si>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</si>
  <si>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</si>
  <si>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</si>
  <si>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</si>
  <si>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</si>
  <si>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</si>
  <si>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</si>
  <si>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</si>
  <si>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</si>
  <si>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</si>
  <si>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</si>
  <si>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</si>
  <si>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</si>
  <si>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</si>
  <si>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</si>
  <si>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</si>
  <si>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</si>
  <si>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</si>
  <si>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</si>
  <si>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</si>
  <si>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</si>
  <si>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</si>
  <si>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</si>
  <si>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</si>
  <si>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</si>
  <si>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</si>
  <si>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</si>
  <si>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</si>
  <si>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</si>
  <si>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</si>
  <si>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</si>
  <si>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</si>
  <si>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</si>
  <si>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</si>
  <si>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</si>
  <si>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</si>
  <si>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</si>
  <si>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</si>
  <si>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</si>
  <si>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</si>
  <si>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</si>
  <si>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</si>
  <si>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</si>
  <si>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</si>
  <si>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</si>
  <si>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</si>
  <si>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</si>
  <si>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</si>
  <si>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</si>
  <si>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</si>
  <si>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</si>
  <si>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</si>
  <si>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</si>
  <si>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</si>
  <si>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</si>
  <si>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</si>
  <si>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</si>
  <si>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</si>
  <si>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</si>
  <si>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</si>
  <si>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</si>
  <si>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</si>
  <si>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</si>
  <si>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</si>
  <si>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</si>
  <si>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</si>
  <si>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</si>
  <si>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</si>
  <si>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</si>
  <si>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</si>
  <si>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</si>
  <si>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</si>
  <si>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</si>
  <si>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</si>
  <si>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</si>
  <si>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</si>
  <si>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</si>
  <si>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</si>
  <si>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</si>
  <si>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</si>
  <si>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</si>
  <si>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</si>
  <si>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</si>
  <si>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</si>
  <si>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</si>
  <si>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</si>
  <si>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</si>
  <si>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</si>
  <si>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</si>
  <si>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</si>
  <si>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</si>
  <si>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</si>
  <si>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</si>
  <si>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</si>
  <si>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</si>
  <si>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</si>
  <si>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</si>
  <si>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</si>
  <si>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</si>
  <si>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</si>
  <si>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</si>
  <si>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</si>
  <si>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</si>
  <si>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</si>
  <si>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</si>
  <si>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</si>
  <si>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</si>
  <si>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</si>
  <si>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</si>
  <si>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</si>
  <si>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</si>
  <si>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</si>
  <si>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</si>
  <si>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</si>
  <si>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</si>
  <si>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</si>
  <si>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</si>
  <si>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</si>
  <si>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</si>
  <si>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</si>
  <si>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</si>
  <si>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</si>
  <si>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</si>
  <si>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</si>
  <si>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</si>
  <si>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</si>
  <si>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</si>
  <si>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</si>
  <si>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</si>
  <si>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</si>
  <si>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</si>
  <si>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</si>
  <si>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</si>
  <si>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</si>
  <si>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</si>
  <si>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</si>
  <si>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</si>
  <si>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</si>
  <si>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</si>
  <si>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</si>
  <si>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</si>
  <si>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</si>
  <si>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</si>
  <si>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</si>
  <si>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</si>
  <si>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</si>
  <si>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</si>
  <si>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</si>
  <si>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</si>
  <si>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</si>
  <si>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</si>
  <si>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</si>
  <si>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</si>
  <si>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</si>
  <si>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</si>
  <si>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</si>
  <si>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</si>
  <si>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</si>
  <si>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</si>
  <si>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</si>
  <si>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</si>
  <si>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</si>
  <si>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</si>
  <si>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</si>
  <si>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</si>
  <si>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</si>
  <si>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</si>
  <si>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</si>
  <si>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</si>
  <si>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</si>
  <si>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</si>
  <si>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</si>
  <si>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ACE GATE HARDWARE</t>
  </si>
  <si>
    <t>18.11.2022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</si>
</sst>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B14" sqref="AB14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PB190305100</v>
      </c>
      <c r="C1" s="108"/>
      <c r="D1" s="109"/>
      <c r="E1" s="11" t="s">
        <v>57</v>
      </c>
      <c r="F1" s="119" t="s">
        <v>196</v>
      </c>
      <c r="G1" s="62"/>
      <c r="H1" s="63"/>
      <c r="I1" s="12" t="s">
        <v>181</v>
      </c>
      <c r="J1" s="120">
        <f ca="1">TODAY()</f>
        <v>44848</v>
      </c>
      <c r="K1" s="120"/>
      <c r="L1" s="121"/>
      <c r="M1" s="29"/>
      <c r="N1" s="11" t="s">
        <v>56</v>
      </c>
      <c r="O1" s="108" t="str">
        <f>B1</f>
        <v>PB190305100</v>
      </c>
      <c r="P1" s="108"/>
      <c r="Q1" s="109"/>
      <c r="R1" s="11" t="s">
        <v>57</v>
      </c>
      <c r="S1" s="108" t="str">
        <f>F1</f>
        <v>ACE GATE HARDWARE</v>
      </c>
      <c r="T1" s="108"/>
      <c r="U1" s="109"/>
      <c r="V1" s="11" t="s">
        <v>181</v>
      </c>
      <c r="W1" s="120">
        <f ca="1">J1</f>
        <v>44848</v>
      </c>
      <c r="X1" s="120"/>
      <c r="Y1" s="121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944321</v>
      </c>
      <c r="G2" s="62"/>
      <c r="H2" s="63"/>
      <c r="I2" s="11" t="s">
        <v>59</v>
      </c>
      <c r="J2" s="123" t="s">
        <v>197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944321</v>
      </c>
      <c r="T2" s="108"/>
      <c r="U2" s="109"/>
      <c r="V2" s="11" t="s">
        <v>59</v>
      </c>
      <c r="W2" s="122" t="str">
        <f>J2</f>
        <v>18.11.2022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6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8">
        <f>R7*O7</f>
        <v>6000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190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6" t="s">
        <v>194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48</v>
      </c>
      <c r="H9" s="126" t="s">
        <v>195</v>
      </c>
      <c r="I9" s="127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190</v>
      </c>
      <c r="S9" s="18" t="s">
        <v>78</v>
      </c>
      <c r="T9" s="30">
        <v>305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6</v>
      </c>
      <c r="C10" s="63"/>
      <c r="D10" s="47" t="s">
        <v>134</v>
      </c>
      <c r="E10" s="128">
        <f>IF(ISNUMBER(SEARCH("sheet",O8,1)),((R9*T9*H8/540000)*U7/2000*1.3),((R9*T9*H8/540000)*U7/1000*1.08))</f>
        <v>69.540000000000006</v>
      </c>
      <c r="F10" s="129"/>
      <c r="G10" s="11" t="s">
        <v>53</v>
      </c>
      <c r="H10" s="132">
        <f>IF(ISNUMBER(SEARCH("sheet",O8,1)),(U7*T9/2000*1.08),(U7*T9/1000*1.08))</f>
        <v>1976.4</v>
      </c>
      <c r="I10" s="133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0">
        <f>E10/B10</f>
        <v>11.590000000000002</v>
      </c>
      <c r="F11" s="131"/>
      <c r="G11" s="11" t="s">
        <v>15</v>
      </c>
      <c r="H11" s="130">
        <f>H10/B10</f>
        <v>329.40000000000003</v>
      </c>
      <c r="I11" s="131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6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8"/>
      <c r="B23" s="14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9"/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44879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44869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67ABDF8-6240-4C5F-93FE-7351B2A749FA}"/>
</file>

<file path=customXml/itemProps2.xml><?xml version="1.0" encoding="utf-8"?>
<ds:datastoreItem xmlns:ds="http://schemas.openxmlformats.org/officeDocument/2006/customXml" ds:itemID="{8D0DEF45-8E1D-41A0-9484-0F0FD00221B6}"/>
</file>

<file path=customXml/itemProps3.xml><?xml version="1.0" encoding="utf-8"?>
<ds:datastoreItem xmlns:ds="http://schemas.openxmlformats.org/officeDocument/2006/customXml" ds:itemID="{A5638172-E282-4653-9402-E3E3851BAA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2022-10-14T00:25:32Z</cp:lastPrinted>
  <dcterms:created xsi:type="dcterms:W3CDTF">2019-11-27T23:28:06Z</dcterms:created>
  <dcterms:modified xsi:type="dcterms:W3CDTF">2022-10-14T00:31:04Z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