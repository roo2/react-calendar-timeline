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02F67EA-C32A-4AE1-B772-943EC6D7D96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<sst xmlns="http://schemas.openxmlformats.org/spreadsheetml/2006/main" count="302" uniqueCount="200">
  <si>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</si>
  <si>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</si>
  <si>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</si>
  <si>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</si>
  <si>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</si>
  <si>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</si>
  <si>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</si>
  <si>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</si>
  <si>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</si>
  <si>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</si>
  <si>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</si>
  <si>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</si>
  <si>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</si>
  <si>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</si>
  <si>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</si>
  <si>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</si>
  <si>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</si>
  <si>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</si>
  <si>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</si>
  <si>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</si>
  <si>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</si>
  <si>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</si>
  <si>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</si>
  <si>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</si>
  <si>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</si>
  <si>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</si>
  <si>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</si>
  <si>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</si>
  <si>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</si>
  <si>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</si>
  <si>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</si>
  <si>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</si>
  <si>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</si>
  <si>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</si>
  <si>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</si>
  <si>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</si>
  <si>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</si>
  <si>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</si>
  <si>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</si>
  <si>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</si>
  <si>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</si>
  <si>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</si>
  <si>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</si>
  <si>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</si>
  <si>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</si>
  <si>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</si>
  <si>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</si>
  <si>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</si>
  <si>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</si>
  <si>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</si>
  <si>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</si>
  <si>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</si>
  <si>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</si>
  <si>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</si>
  <si>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</si>
  <si>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</si>
  <si>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</si>
  <si>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</si>
  <si>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</si>
  <si>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</si>
  <si>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</si>
  <si>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</si>
  <si>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</si>
  <si>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</si>
  <si>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</si>
  <si>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</si>
  <si>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</si>
  <si>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</si>
  <si>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</si>
  <si>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</si>
  <si>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</si>
  <si>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</si>
  <si>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</si>
  <si>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</si>
  <si>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</si>
  <si>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</si>
  <si>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</si>
  <si>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</si>
  <si>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</si>
  <si>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</si>
  <si>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</si>
  <si>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</si>
  <si>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</si>
  <si>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</si>
  <si>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</si>
  <si>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</si>
  <si>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</si>
  <si>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</si>
  <si>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</si>
  <si>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</si>
  <si>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</si>
  <si>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</si>
  <si>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</si>
  <si>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</si>
  <si>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</si>
  <si>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</si>
  <si>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</si>
  <si>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</si>
  <si>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</si>
  <si>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</si>
  <si>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</si>
  <si>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</si>
  <si>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</si>
  <si>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</si>
  <si>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</si>
  <si>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</si>
  <si>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</si>
  <si>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</si>
  <si>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</si>
  <si>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</si>
  <si>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</si>
  <si>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</si>
  <si>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</si>
  <si>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</si>
  <si>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</si>
  <si>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</si>
  <si>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</si>
  <si>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</si>
  <si>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</si>
  <si>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</si>
  <si>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</si>
  <si>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</si>
  <si>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</si>
  <si>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</si>
  <si>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</si>
  <si>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</si>
  <si>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</si>
  <si>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</si>
  <si>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</si>
  <si>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</si>
  <si>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</si>
  <si>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</si>
  <si>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</si>
  <si>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</si>
  <si>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</si>
  <si>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</si>
  <si>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</si>
  <si>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</si>
  <si>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</si>
  <si>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</si>
  <si>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</si>
  <si>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</si>
  <si>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</si>
  <si>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</si>
  <si>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</si>
  <si>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</si>
  <si>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</si>
  <si>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</si>
  <si>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</si>
  <si>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</si>
  <si>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</si>
  <si>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</si>
  <si>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</si>
  <si>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</si>
  <si>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</si>
  <si>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</si>
  <si>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</si>
  <si>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</si>
  <si>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</si>
  <si>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</si>
  <si>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</si>
  <si>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</si>
  <si>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</si>
  <si>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</si>
  <si>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</si>
  <si>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</si>
  <si>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</si>
  <si>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</si>
  <si>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</si>
  <si>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</si>
  <si>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</si>
  <si>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</si>
  <si>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</si>
  <si>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</si>
  <si>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</si>
  <si>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</si>
  <si>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</si>
  <si>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</si>
  <si>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</si>
  <si>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</si>
  <si>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</si>
  <si>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</si>
  <si>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</si>
  <si>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</si>
  <si>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</si>
  <si>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</si>
  <si>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</si>
  <si>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</si>
  <si>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</si>
  <si>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</si>
  <si>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</si>
  <si>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</si>
  <si>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</si>
  <si>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</si>
  <si>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</si>
  <si>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 xml:space="preserve"> +/- 5mm</t>
  </si>
  <si>
    <t xml:space="preserve"> +/- 5um</t>
  </si>
  <si>
    <t>PERF</t>
  </si>
  <si>
    <t>PRO-PAC</t>
  </si>
  <si>
    <t>NEW ITEM - TRIAL ROLLS - MUST HAVE GOOD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</si>
</sst>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PBR14083035</v>
      </c>
      <c r="C1" s="95"/>
      <c r="D1" s="96"/>
      <c r="E1" s="16" t="s">
        <v>56</v>
      </c>
      <c r="F1" s="61" t="s">
        <v>198</v>
      </c>
      <c r="G1" s="61"/>
      <c r="H1" s="62"/>
      <c r="I1" s="16" t="s">
        <v>180</v>
      </c>
      <c r="J1" s="106">
        <f ca="1">TODAY()</f>
        <v>45534</v>
      </c>
      <c r="K1" s="106"/>
      <c r="L1" s="107"/>
      <c r="M1" s="30"/>
      <c r="N1" s="16" t="s">
        <v>55</v>
      </c>
      <c r="O1" s="95" t="str">
        <f>B1</f>
        <v>PBR14083035</v>
      </c>
      <c r="P1" s="95"/>
      <c r="Q1" s="96"/>
      <c r="R1" s="16" t="s">
        <v>56</v>
      </c>
      <c r="S1" s="95" t="str">
        <f>F1</f>
        <v>PRO-PAC</v>
      </c>
      <c r="T1" s="95"/>
      <c r="U1" s="96"/>
      <c r="V1" s="16" t="s">
        <v>180</v>
      </c>
      <c r="W1" s="106">
        <f ca="1">J1</f>
        <v>45534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948533</v>
      </c>
      <c r="G2" s="61"/>
      <c r="H2" s="62"/>
      <c r="I2" s="16" t="s">
        <v>58</v>
      </c>
      <c r="J2" s="116">
        <v>45555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948533</v>
      </c>
      <c r="T2" s="95"/>
      <c r="U2" s="96"/>
      <c r="V2" s="16" t="s">
        <v>58</v>
      </c>
      <c r="W2" s="108">
        <f>J2</f>
        <v>45555</v>
      </c>
      <c r="X2" s="95"/>
      <c r="Y2" s="96"/>
    </row>
    <row r="3" spans="1:25" ht="20.149999999999999" customHeight="1" x14ac:dyDescent="0.75">
      <c r="A3" s="97" t="s">
        <v>199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NEW ITEM - TRIAL ROLLS - MUST HAVE GOOD SEALS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6</v>
      </c>
      <c r="P7" s="62"/>
      <c r="Q7" s="16" t="str">
        <f>IF(ISNUMBER(SEARCH("roll",O8,1)),"Per Roll","Per Carton")</f>
        <v>Per Roll</v>
      </c>
      <c r="R7" s="61">
        <v>1000</v>
      </c>
      <c r="S7" s="62"/>
      <c r="T7" s="16" t="str">
        <f>IF(ISNUMBER(SEARCH("bag",O8,1)),"Total Bags","Total Sheets")</f>
        <v>Total Bags</v>
      </c>
      <c r="U7" s="95">
        <f>R7*O7</f>
        <v>6000</v>
      </c>
      <c r="V7" s="96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14">
        <f>R9</f>
        <v>140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None</v>
      </c>
      <c r="F8" s="115"/>
      <c r="G8" s="17" t="s">
        <v>51</v>
      </c>
      <c r="H8" s="114">
        <f>(IF(V9&lt;30,"30",V9))</f>
        <v>35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Layflat Tube</v>
      </c>
      <c r="L8" s="96"/>
      <c r="M8" s="30"/>
      <c r="N8" s="18" t="s">
        <v>53</v>
      </c>
      <c r="O8" s="123" t="s">
        <v>164</v>
      </c>
      <c r="P8" s="12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5" ht="20.149999999999999" customHeight="1" x14ac:dyDescent="0.9">
      <c r="A9" s="21" t="s">
        <v>47</v>
      </c>
      <c r="B9" s="129" t="s">
        <v>195</v>
      </c>
      <c r="C9" s="130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9" t="s">
        <v>196</v>
      </c>
      <c r="I9" s="130"/>
      <c r="J9" s="16" t="s">
        <v>54</v>
      </c>
      <c r="K9" s="61" t="s">
        <v>33</v>
      </c>
      <c r="L9" s="62"/>
      <c r="M9" s="30"/>
      <c r="N9" s="22"/>
      <c r="O9" s="137" t="str">
        <f>IF(O8="Poly Bag","PB",IF(O8="Poly Bag Roll","PBR",IF(O8="Centrefold Roll","CFR",IF(O8="Sheet","S",IF(O8="Sheet Roll","SR")))))</f>
        <v>PBR</v>
      </c>
      <c r="P9" s="138"/>
      <c r="Q9" s="22"/>
      <c r="R9" s="31">
        <v>140</v>
      </c>
      <c r="S9" s="23" t="s">
        <v>77</v>
      </c>
      <c r="T9" s="31">
        <v>830</v>
      </c>
      <c r="U9" s="23" t="s">
        <v>77</v>
      </c>
      <c r="V9" s="31">
        <v>35</v>
      </c>
      <c r="W9" s="22"/>
      <c r="X9" s="121"/>
      <c r="Y9" s="122"/>
    </row>
    <row r="10" spans="1:25" ht="20.149999999999999" customHeight="1" x14ac:dyDescent="0.8">
      <c r="A10" s="16" t="s">
        <v>50</v>
      </c>
      <c r="B10" s="61">
        <v>5</v>
      </c>
      <c r="C10" s="62"/>
      <c r="D10" s="49" t="s">
        <v>133</v>
      </c>
      <c r="E10" s="131">
        <f>IF(ISNUMBER(SEARCH("sheet",O8,1)),((R9*T9*H8/540000)*U7/2000*1.3),((R9*T9*H8/540000)*U7/1000*1.08))</f>
        <v>48.804000000000002</v>
      </c>
      <c r="F10" s="132"/>
      <c r="G10" s="16" t="s">
        <v>52</v>
      </c>
      <c r="H10" s="135">
        <f>IF(ISNUMBER(SEARCH("sheet",O8,1)),(U7*T9/2000*1.08),(U7*T9/1000*1.08))</f>
        <v>5378.4000000000005</v>
      </c>
      <c r="I10" s="136"/>
      <c r="J10" s="16" t="s">
        <v>40</v>
      </c>
      <c r="K10" s="61" t="s">
        <v>43</v>
      </c>
      <c r="L10" s="62"/>
      <c r="M10" s="30"/>
      <c r="N10" s="18" t="s">
        <v>140</v>
      </c>
      <c r="O10" s="123" t="s">
        <v>43</v>
      </c>
      <c r="P10" s="124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17"/>
      <c r="V10" s="117"/>
      <c r="W10" s="117"/>
      <c r="X10" s="117"/>
      <c r="Y10" s="118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33">
        <f>E10/B10</f>
        <v>9.7607999999999997</v>
      </c>
      <c r="F11" s="134"/>
      <c r="G11" s="16" t="s">
        <v>14</v>
      </c>
      <c r="H11" s="133">
        <f>H10/B10</f>
        <v>1075.68</v>
      </c>
      <c r="I11" s="134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19"/>
      <c r="V11" s="119"/>
      <c r="W11" s="119"/>
      <c r="X11" s="119"/>
      <c r="Y11" s="120"/>
    </row>
    <row r="12" spans="1:25" ht="20.149999999999999" customHeight="1" x14ac:dyDescent="0.7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6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4"/>
      <c r="J17" s="145"/>
      <c r="K17" s="144"/>
      <c r="L17" s="145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30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4"/>
      <c r="J18" s="145"/>
      <c r="K18" s="144"/>
      <c r="L18" s="145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4"/>
      <c r="J19" s="145"/>
      <c r="K19" s="144"/>
      <c r="L19" s="145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4"/>
      <c r="J20" s="145"/>
      <c r="K20" s="144"/>
      <c r="L20" s="145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4"/>
      <c r="J21" s="145"/>
      <c r="K21" s="144"/>
      <c r="L21" s="145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4"/>
      <c r="J22" s="145"/>
      <c r="K22" s="144"/>
      <c r="L22" s="145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9"/>
      <c r="B23" s="139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4"/>
      <c r="J23" s="145"/>
      <c r="K23" s="144"/>
      <c r="L23" s="145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0"/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4"/>
      <c r="J24" s="145"/>
      <c r="K24" s="144"/>
      <c r="L24" s="145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 t="s">
        <v>197</v>
      </c>
      <c r="P25" s="36"/>
      <c r="Q25" s="10">
        <v>30</v>
      </c>
      <c r="R25" s="10">
        <v>9</v>
      </c>
      <c r="S25" s="10"/>
      <c r="T25" s="10">
        <v>8</v>
      </c>
      <c r="U25" s="10"/>
      <c r="V25" s="10">
        <v>3</v>
      </c>
      <c r="W25" s="10">
        <v>145</v>
      </c>
      <c r="X25" s="10">
        <v>145</v>
      </c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43"/>
      <c r="H27" s="143"/>
      <c r="I27" s="143"/>
      <c r="J27" s="143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43"/>
      <c r="H28" s="143"/>
      <c r="I28" s="143"/>
      <c r="J28" s="14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45565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45555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194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161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174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9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7" t="s">
        <v>45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 t="s">
        <v>33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7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" t="s">
        <v>44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7" t="s">
        <v>62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43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" t="s">
        <v>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7" t="s">
        <v>67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69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" t="s">
        <v>68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5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7" t="s">
        <v>60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43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" t="s">
        <v>66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5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6" t="s">
        <v>61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5" t="s">
        <v>43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176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154</v>
      </c>
    </row>
    <row r="60" spans="1:20" x14ac:dyDescent="0.75">
      <c r="A60" s="59" t="s">
        <v>147</v>
      </c>
      <c r="O60" s="1"/>
      <c r="Q60" s="1"/>
      <c r="R60" s="3"/>
      <c r="S60" s="1"/>
    </row>
    <row r="61" spans="1:20" x14ac:dyDescent="0.75">
      <c r="A61" s="59" t="s">
        <v>148</v>
      </c>
      <c r="O61" s="1"/>
      <c r="Q61" s="1"/>
      <c r="R61" s="1"/>
      <c r="S61" s="1"/>
    </row>
    <row r="62" spans="1:20" x14ac:dyDescent="0.75">
      <c r="A62" s="59" t="s">
        <v>149</v>
      </c>
      <c r="O62" s="1"/>
      <c r="Q62" s="1"/>
      <c r="R62" s="1"/>
      <c r="S62" s="1"/>
    </row>
    <row r="63" spans="1:20" x14ac:dyDescent="0.75">
      <c r="A63" s="59" t="s">
        <v>150</v>
      </c>
      <c r="O63" s="1"/>
      <c r="Q63" s="1"/>
      <c r="R63" s="1"/>
      <c r="S63" s="1"/>
      <c r="T63" s="1"/>
    </row>
    <row r="64" spans="1:20" x14ac:dyDescent="0.75">
      <c r="A64" s="59" t="s">
        <v>151</v>
      </c>
      <c r="O64" s="1"/>
      <c r="Q64" s="1"/>
      <c r="R64" s="1"/>
      <c r="S64" s="1"/>
      <c r="T64" s="1"/>
    </row>
    <row r="65" spans="1:20" x14ac:dyDescent="0.75">
      <c r="A65" s="59" t="s">
        <v>152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173</v>
      </c>
      <c r="N66" s="4"/>
      <c r="O66" s="1"/>
      <c r="P66" s="1"/>
      <c r="Q66" s="1"/>
      <c r="R66" s="1"/>
      <c r="S66" s="1"/>
      <c r="T66" s="1"/>
    </row>
    <row r="67" spans="1:20" x14ac:dyDescent="0.75">
      <c r="A67" s="59" t="s">
        <v>153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ADEE852-AD89-4278-87FE-58C7D6204B7C}"/>
</file>

<file path=customXml/itemProps2.xml><?xml version="1.0" encoding="utf-8"?>
<ds:datastoreItem xmlns:ds="http://schemas.openxmlformats.org/officeDocument/2006/customXml" ds:itemID="{ADB71028-4449-4E35-9B68-83DB350FB242}"/>
</file>

<file path=customXml/itemProps3.xml><?xml version="1.0" encoding="utf-8"?>
<ds:datastoreItem xmlns:ds="http://schemas.openxmlformats.org/officeDocument/2006/customXml" ds:itemID="{57648592-00B1-42AE-B0B7-B7042EB6B2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2024-08-29T23:40:35Z</cp:lastPrinted>
  <dcterms:created xsi:type="dcterms:W3CDTF">2019-11-27T23:28:06Z</dcterms:created>
  <dcterms:modified xsi:type="dcterms:W3CDTF">2024-09-03T00:29:30Z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