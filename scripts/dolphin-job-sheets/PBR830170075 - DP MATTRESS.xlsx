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BB13006-5B8E-463E-9644-C7DBA89F4E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<sst xmlns="http://schemas.openxmlformats.org/spreadsheetml/2006/main" count="301" uniqueCount="199">
  <si>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</si>
  <si>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</si>
  <si>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</si>
  <si>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</si>
  <si>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</si>
  <si>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</si>
  <si>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</si>
  <si>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</si>
  <si>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</si>
  <si>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</si>
  <si>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</si>
  <si>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</si>
  <si>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</si>
  <si>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</si>
  <si>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</si>
  <si>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</si>
  <si>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</si>
  <si>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</si>
  <si>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</si>
  <si>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</si>
  <si>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</si>
  <si>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</si>
  <si>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</si>
  <si>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</si>
  <si>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</si>
  <si>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</si>
  <si>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</si>
  <si>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</si>
  <si>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</si>
  <si>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</si>
  <si>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</si>
  <si>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</si>
  <si>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</si>
  <si>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</si>
  <si>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</si>
  <si>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</si>
  <si>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</si>
  <si>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</si>
  <si>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</si>
  <si>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</si>
  <si>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</si>
  <si>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</si>
  <si>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</si>
  <si>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</si>
  <si>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</si>
  <si>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</si>
  <si>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</si>
  <si>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</si>
  <si>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</si>
  <si>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</si>
  <si>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</si>
  <si>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</si>
  <si>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</si>
  <si>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</si>
  <si>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</si>
  <si>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</si>
  <si>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</si>
  <si>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</si>
  <si>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</si>
  <si>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</si>
  <si>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</si>
  <si>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</si>
  <si>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</si>
  <si>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</si>
  <si>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</si>
  <si>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</si>
  <si>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</si>
  <si>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</si>
  <si>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</si>
  <si>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</si>
  <si>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</si>
  <si>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</si>
  <si>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</si>
  <si>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</si>
  <si>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</si>
  <si>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</si>
  <si>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</si>
  <si>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</si>
  <si>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</si>
  <si>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</si>
  <si>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</si>
  <si>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</si>
  <si>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</si>
  <si>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</si>
  <si>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</si>
  <si>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</si>
  <si>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</si>
  <si>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</si>
  <si>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</si>
  <si>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</si>
  <si>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</si>
  <si>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</si>
  <si>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</si>
  <si>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</si>
  <si>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</si>
  <si>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</si>
  <si>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</si>
  <si>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</si>
  <si>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</si>
  <si>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</si>
  <si>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</si>
  <si>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</si>
  <si>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</si>
  <si>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</si>
  <si>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</si>
  <si>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</si>
  <si>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</si>
  <si>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</si>
  <si>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</si>
  <si>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</si>
  <si>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</si>
  <si>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</si>
  <si>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</si>
  <si>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</si>
  <si>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</si>
  <si>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</si>
  <si>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</si>
  <si>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</si>
  <si>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</si>
  <si>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</si>
  <si>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</si>
  <si>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</si>
  <si>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</si>
  <si>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</si>
  <si>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</si>
  <si>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</si>
  <si>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</si>
  <si>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</si>
  <si>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</si>
  <si>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</si>
  <si>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</si>
  <si>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</si>
  <si>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</si>
  <si>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</si>
  <si>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</si>
  <si>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</si>
  <si>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</si>
  <si>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</si>
  <si>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</si>
  <si>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</si>
  <si>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</si>
  <si>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</si>
  <si>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</si>
  <si>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</si>
  <si>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</si>
  <si>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</si>
  <si>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</si>
  <si>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</si>
  <si>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</si>
  <si>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</si>
  <si>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</si>
  <si>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</si>
  <si>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</si>
  <si>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</si>
  <si>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</si>
  <si>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</si>
  <si>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</si>
  <si>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</si>
  <si>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</si>
  <si>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</si>
  <si>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</si>
  <si>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</si>
  <si>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</si>
  <si>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</si>
  <si>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</si>
  <si>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</si>
  <si>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</si>
  <si>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</si>
  <si>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</si>
  <si>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</si>
  <si>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</si>
  <si>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</si>
  <si>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</si>
  <si>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</si>
  <si>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</si>
  <si>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</si>
  <si>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</si>
  <si>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</si>
  <si>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</si>
  <si>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</si>
  <si>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</si>
  <si>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</si>
  <si>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</si>
  <si>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</si>
  <si>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</si>
  <si>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</si>
  <si>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</si>
  <si>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</si>
  <si>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</si>
  <si>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</si>
  <si>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</si>
  <si>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</si>
  <si>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</si>
  <si>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</si>
  <si>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</si>
  <si>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NEW ITEM - PERF INLINE</t>
  </si>
  <si>
    <t>ANSTEL</t>
  </si>
  <si>
    <t>DP MATTRESS 830 X 1700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</si>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</sst>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PBR8301700100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44650</v>
      </c>
      <c r="K1" s="119"/>
      <c r="L1" s="120"/>
      <c r="M1" s="35"/>
      <c r="N1" s="18" t="s">
        <v>55</v>
      </c>
      <c r="O1" s="108" t="str">
        <f>B1</f>
        <v>PBR8301700100</v>
      </c>
      <c r="P1" s="108"/>
      <c r="Q1" s="109"/>
      <c r="R1" s="18" t="s">
        <v>56</v>
      </c>
      <c r="S1" s="108" t="str">
        <f>F1</f>
        <v>ANSTEL</v>
      </c>
      <c r="T1" s="108"/>
      <c r="U1" s="109"/>
      <c r="V1" s="18" t="s">
        <v>180</v>
      </c>
      <c r="W1" s="119">
        <f ca="1">J1</f>
        <v>44650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>DP MATTRESS 830 X 1700</v>
      </c>
      <c r="C2" s="108"/>
      <c r="D2" s="109"/>
      <c r="E2" s="18" t="s">
        <v>57</v>
      </c>
      <c r="F2" s="71">
        <v>941543</v>
      </c>
      <c r="G2" s="71"/>
      <c r="H2" s="72"/>
      <c r="I2" s="18" t="s">
        <v>58</v>
      </c>
      <c r="J2" s="131">
        <v>44508</v>
      </c>
      <c r="K2" s="71"/>
      <c r="L2" s="72"/>
      <c r="M2" s="35"/>
      <c r="N2" s="18" t="s">
        <v>99</v>
      </c>
      <c r="O2" s="108" t="str">
        <f>IF(B2="","",B2)</f>
        <v>DP MATTRESS 830 X 1700</v>
      </c>
      <c r="P2" s="108"/>
      <c r="Q2" s="109"/>
      <c r="R2" s="18" t="s">
        <v>57</v>
      </c>
      <c r="S2" s="108">
        <f>IF(F2="","",F2)</f>
        <v>941543</v>
      </c>
      <c r="T2" s="108"/>
      <c r="U2" s="109"/>
      <c r="V2" s="18" t="s">
        <v>58</v>
      </c>
      <c r="W2" s="121">
        <f>J2</f>
        <v>44508</v>
      </c>
      <c r="X2" s="108"/>
      <c r="Y2" s="109"/>
    </row>
    <row r="3" spans="1:25" ht="20.100000000000001" customHeight="1" x14ac:dyDescent="0.2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NEW ITEM - PERF INLINE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26</v>
      </c>
      <c r="P7" s="72"/>
      <c r="Q7" s="18" t="str">
        <f>IF(ISNUMBER(SEARCH("roll",O8,1)),"Per Roll","Per Carton")</f>
        <v>Per Roll</v>
      </c>
      <c r="R7" s="71">
        <v>75</v>
      </c>
      <c r="S7" s="72"/>
      <c r="T7" s="18" t="str">
        <f>IF(ISNUMBER(SEARCH("bag",O8,1)),"Total Bags","Total Sheets")</f>
        <v>Total Bags</v>
      </c>
      <c r="U7" s="108">
        <f>R7*O7</f>
        <v>1950</v>
      </c>
      <c r="V7" s="109"/>
      <c r="W7" s="18" t="s">
        <v>101</v>
      </c>
      <c r="X7" s="71" t="s">
        <v>30</v>
      </c>
      <c r="Y7" s="72"/>
    </row>
    <row r="8" spans="1:25" ht="20.100000000000001" customHeight="1" x14ac:dyDescent="0.25">
      <c r="A8" s="19" t="s">
        <v>15</v>
      </c>
      <c r="B8" s="129">
        <f>R9</f>
        <v>830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100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4" t="s">
        <v>194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198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830</v>
      </c>
      <c r="S9" s="25" t="s">
        <v>77</v>
      </c>
      <c r="T9" s="36">
        <v>1700</v>
      </c>
      <c r="U9" s="25" t="s">
        <v>77</v>
      </c>
      <c r="V9" s="36">
        <v>100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26</v>
      </c>
      <c r="C10" s="72"/>
      <c r="D10" s="56" t="s">
        <v>133</v>
      </c>
      <c r="E10" s="146">
        <f>IF(ISNUMBER(SEARCH("sheet",O8,1)),((R9*T9*H8/540000)*U7/2000*1.3),((R9*T9*H8/540000)*U7/1000*1.08))</f>
        <v>550.29000000000008</v>
      </c>
      <c r="F10" s="147"/>
      <c r="G10" s="18" t="s">
        <v>52</v>
      </c>
      <c r="H10" s="150">
        <f>IF(ISNUMBER(SEARCH("sheet",O8,1)),(U7*T9/2000*1.08),(U7*T9/1000*1.08))</f>
        <v>3580.2000000000003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 t="s">
        <v>197</v>
      </c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21.165000000000003</v>
      </c>
      <c r="F11" s="149"/>
      <c r="G11" s="18" t="s">
        <v>14</v>
      </c>
      <c r="H11" s="148">
        <f>H10/B10</f>
        <v>137.70000000000002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26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30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44681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44671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E66A562-8C89-4252-8AFB-1C03BDF2448D}"/>
</file>

<file path=customXml/itemProps2.xml><?xml version="1.0" encoding="utf-8"?>
<ds:datastoreItem xmlns:ds="http://schemas.openxmlformats.org/officeDocument/2006/customXml" ds:itemID="{38FD1561-4809-4A68-ADA4-112A8C29309B}"/>
</file>

<file path=customXml/itemProps3.xml><?xml version="1.0" encoding="utf-8"?>
<ds:datastoreItem xmlns:ds="http://schemas.openxmlformats.org/officeDocument/2006/customXml" ds:itemID="{AA744AB7-A9CC-4CA2-99E9-BCFFFFB9CD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2022-03-30T04:02:56Z</cp:lastPrinted>
  <dcterms:created xsi:type="dcterms:W3CDTF">2019-11-27T23:28:06Z</dcterms:created>
  <dcterms:modified xsi:type="dcterms:W3CDTF">2022-03-30T04:05:04Z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