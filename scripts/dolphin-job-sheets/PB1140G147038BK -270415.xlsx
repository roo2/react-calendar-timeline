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7BDE5A70-2030-40F4-A344-014497EC23F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<sst xmlns="http://schemas.openxmlformats.org/spreadsheetml/2006/main" count="304" uniqueCount="202">
  <si>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</si>
  <si>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</si>
  <si>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</si>
  <si>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</si>
  <si>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</si>
  <si>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</si>
  <si>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</si>
  <si>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</si>
  <si>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</si>
  <si>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</si>
  <si>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</si>
  <si>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</si>
  <si>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</si>
  <si>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</si>
  <si>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</si>
  <si>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</si>
  <si>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</si>
  <si>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</si>
  <si>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</si>
  <si>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</si>
  <si>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</si>
  <si>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</si>
  <si>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</si>
  <si>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</si>
  <si>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</si>
  <si>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</si>
  <si>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</si>
  <si>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</si>
  <si>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</si>
  <si>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</si>
  <si>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</si>
  <si>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</si>
  <si>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</si>
  <si>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</si>
  <si>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</si>
  <si>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</si>
  <si>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</si>
  <si>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</si>
  <si>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</si>
  <si>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</si>
  <si>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</si>
  <si>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</si>
  <si>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</si>
  <si>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</si>
  <si>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</si>
  <si>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</si>
  <si>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</si>
  <si>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</si>
  <si>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</si>
  <si>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</si>
  <si>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</si>
  <si>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</si>
  <si>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</si>
  <si>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</si>
  <si>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</si>
  <si>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</si>
  <si>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</si>
  <si>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</si>
  <si>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</si>
  <si>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</si>
  <si>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</si>
  <si>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</si>
  <si>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</si>
  <si>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</si>
  <si>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</si>
  <si>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</si>
  <si>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</si>
  <si>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</si>
  <si>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</si>
  <si>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</si>
  <si>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</si>
  <si>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</si>
  <si>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</si>
  <si>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</si>
  <si>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</si>
  <si>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</si>
  <si>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</si>
  <si>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</si>
  <si>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</si>
  <si>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</si>
  <si>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</si>
  <si>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</si>
  <si>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</si>
  <si>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</si>
  <si>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</si>
  <si>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</si>
  <si>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</si>
  <si>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</si>
  <si>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</si>
  <si>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</si>
  <si>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</si>
  <si>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</si>
  <si>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</si>
  <si>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</si>
  <si>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</si>
  <si>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</si>
  <si>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</si>
  <si>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</si>
  <si>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</si>
  <si>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</si>
  <si>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</si>
  <si>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</si>
  <si>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</si>
  <si>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</si>
  <si>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</si>
  <si>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</si>
  <si>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</si>
  <si>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</si>
  <si>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</si>
  <si>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</si>
  <si>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</si>
  <si>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</si>
  <si>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</si>
  <si>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</si>
  <si>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</si>
  <si>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</si>
  <si>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</si>
  <si>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</si>
  <si>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</si>
  <si>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</si>
  <si>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</si>
  <si>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</si>
  <si>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</si>
  <si>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</si>
  <si>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</si>
  <si>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</si>
  <si>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</si>
  <si>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</si>
  <si>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</si>
  <si>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</si>
  <si>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</si>
  <si>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</si>
  <si>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</si>
  <si>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</si>
  <si>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</si>
  <si>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</si>
  <si>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</si>
  <si>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</si>
  <si>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</si>
  <si>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</si>
  <si>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</si>
  <si>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</si>
  <si>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</si>
  <si>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</si>
  <si>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</si>
  <si>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</si>
  <si>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</si>
  <si>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</si>
  <si>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</si>
  <si>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</si>
  <si>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</si>
  <si>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</si>
  <si>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</si>
  <si>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</si>
  <si>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</si>
  <si>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</si>
  <si>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</si>
  <si>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</si>
  <si>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</si>
  <si>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</si>
  <si>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</si>
  <si>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</si>
  <si>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</si>
  <si>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</si>
  <si>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</si>
  <si>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</si>
  <si>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</si>
  <si>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</si>
  <si>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</si>
  <si>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</si>
  <si>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</si>
  <si>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</si>
  <si>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</si>
  <si>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</si>
  <si>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</si>
  <si>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</si>
  <si>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</si>
  <si>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</si>
  <si>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</si>
  <si>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</si>
  <si>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</si>
  <si>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</si>
  <si>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</si>
  <si>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</si>
  <si>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</si>
  <si>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</si>
  <si>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</si>
  <si>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</si>
  <si>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</si>
  <si>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</si>
  <si>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</si>
  <si>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</si>
  <si>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</si>
  <si>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</si>
  <si>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</si>
  <si>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MATER TOWNSVILLE</t>
  </si>
  <si>
    <t xml:space="preserve"> +/- 5um</t>
  </si>
  <si>
    <t>LIMAX</t>
  </si>
  <si>
    <t xml:space="preserve">Notes : NEEDS ANTISTATIC! </t>
  </si>
  <si>
    <t>Notes NEEDS ANTISTATIC!</t>
  </si>
  <si>
    <r>
      <t>BAGS MUST STRETCH, NOT SPLIT AND BE EASY TO OPEN OR CUSTOMER WILL COMPLAIN -</t>
    </r>
    <r>
      <rPr>
        <b/>
        <sz val="16"/>
        <color rgb="FFFF0000"/>
        <rFont val="Calibri"/>
        <family val="2"/>
        <scheme val="minor"/>
      </rPr>
      <t xml:space="preserve"> </t>
    </r>
  </si>
  <si>
    <t>(690+450)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</si>
</sst>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8" borderId="7" xfId="0" applyFont="1" applyFill="1" applyBorder="1" applyAlignment="1" applyProtection="1">
      <alignment horizontal="center" vertical="center" wrapText="1"/>
      <protection locked="0"/>
    </xf>
    <xf numFmtId="0" fontId="15" fillId="8" borderId="3" xfId="0" applyFont="1" applyFill="1" applyBorder="1" applyAlignment="1" applyProtection="1">
      <alignment horizontal="center" vertical="center" wrapText="1"/>
      <protection locked="0"/>
    </xf>
    <xf numFmtId="0" fontId="15" fillId="8" borderId="8" xfId="0" applyFont="1" applyFill="1" applyBorder="1" applyAlignment="1" applyProtection="1">
      <alignment horizontal="center" vertical="center" wrapText="1"/>
      <protection locked="0"/>
    </xf>
    <xf numFmtId="0" fontId="15" fillId="8" borderId="9" xfId="0" applyFont="1" applyFill="1" applyBorder="1" applyAlignment="1" applyProtection="1">
      <alignment horizontal="center" vertical="center" wrapText="1"/>
      <protection locked="0"/>
    </xf>
    <xf numFmtId="0" fontId="15" fillId="8" borderId="0" xfId="0" applyFont="1" applyFill="1" applyBorder="1" applyAlignment="1" applyProtection="1">
      <alignment horizontal="center" vertical="center" wrapText="1"/>
      <protection locked="0"/>
    </xf>
    <xf numFmtId="0" fontId="15" fillId="8" borderId="10" xfId="0" applyFont="1" applyFill="1" applyBorder="1" applyAlignment="1" applyProtection="1">
      <alignment horizontal="center" vertical="center" wrapText="1"/>
      <protection locked="0"/>
    </xf>
    <xf numFmtId="0" fontId="15" fillId="8" borderId="11" xfId="0" applyFont="1" applyFill="1" applyBorder="1" applyAlignment="1" applyProtection="1">
      <alignment horizontal="center" vertical="center" wrapText="1"/>
      <protection locked="0"/>
    </xf>
    <xf numFmtId="0" fontId="15" fillId="8" borderId="1" xfId="0" applyFont="1" applyFill="1" applyBorder="1" applyAlignment="1" applyProtection="1">
      <alignment horizontal="center" vertical="center" wrapText="1"/>
      <protection locked="0"/>
    </xf>
    <xf numFmtId="0" fontId="15" fillId="8" borderId="12" xfId="0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17" fillId="8" borderId="6" xfId="0" applyFont="1" applyFill="1" applyBorder="1" applyAlignment="1" applyProtection="1">
      <alignment horizontal="left"/>
    </xf>
    <xf numFmtId="0" fontId="3" fillId="4" borderId="6" xfId="0" applyFont="1" applyFill="1" applyBorder="1" applyAlignment="1" applyProtection="1">
      <alignment horizontal="center"/>
    </xf>
    <xf numFmtId="0" fontId="17" fillId="8" borderId="4" xfId="0" applyFont="1" applyFill="1" applyBorder="1" applyAlignment="1" applyProtection="1">
      <alignment horizontal="center"/>
    </xf>
    <xf numFmtId="0" fontId="17" fillId="8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17" fillId="8" borderId="4" xfId="0" applyNumberFormat="1" applyFont="1" applyFill="1" applyBorder="1" applyAlignment="1" applyProtection="1">
      <alignment horizontal="center"/>
      <protection locked="0"/>
    </xf>
    <xf numFmtId="0" fontId="17" fillId="8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B14" sqref="AB14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5" t="str">
        <f>O9&amp;R9&amp;IF(X8="G","G","")&amp;IF(O8="Centrefold Roll","("&amp;E8&amp;")","")&amp;T9&amp;V9&amp;C22&amp;C23&amp;C24&amp;O11&amp;R11</f>
        <v>PB1140G147038BK</v>
      </c>
      <c r="C1" s="125"/>
      <c r="D1" s="126"/>
      <c r="E1" s="12" t="s">
        <v>57</v>
      </c>
      <c r="F1" s="136" t="s">
        <v>195</v>
      </c>
      <c r="G1" s="136"/>
      <c r="H1" s="137"/>
      <c r="I1" s="13" t="s">
        <v>181</v>
      </c>
      <c r="J1" s="147">
        <f ca="1">TODAY()</f>
        <v>44600</v>
      </c>
      <c r="K1" s="147"/>
      <c r="L1" s="148"/>
      <c r="M1" s="34"/>
      <c r="N1" s="12" t="s">
        <v>56</v>
      </c>
      <c r="O1" s="125" t="str">
        <f>B1</f>
        <v>PB1140G147038BK</v>
      </c>
      <c r="P1" s="125"/>
      <c r="Q1" s="126"/>
      <c r="R1" s="12" t="s">
        <v>57</v>
      </c>
      <c r="S1" s="125" t="str">
        <f>F1</f>
        <v>MATER TOWNSVILLE</v>
      </c>
      <c r="T1" s="125"/>
      <c r="U1" s="126"/>
      <c r="V1" s="12" t="s">
        <v>181</v>
      </c>
      <c r="W1" s="147">
        <f ca="1">J1</f>
        <v>44600</v>
      </c>
      <c r="X1" s="147"/>
      <c r="Y1" s="148"/>
    </row>
    <row r="2" spans="1:28" ht="20.100000000000001" customHeight="1" x14ac:dyDescent="0.25">
      <c r="A2" s="12" t="s">
        <v>100</v>
      </c>
      <c r="B2" s="125">
        <f>IF(U10="","",U10)</f>
        <v>270415</v>
      </c>
      <c r="C2" s="125"/>
      <c r="D2" s="126"/>
      <c r="E2" s="12" t="s">
        <v>58</v>
      </c>
      <c r="F2" s="73">
        <v>56464</v>
      </c>
      <c r="G2" s="73"/>
      <c r="H2" s="74"/>
      <c r="I2" s="12" t="s">
        <v>59</v>
      </c>
      <c r="J2" s="150" t="s">
        <v>192</v>
      </c>
      <c r="K2" s="73"/>
      <c r="L2" s="74"/>
      <c r="M2" s="34"/>
      <c r="N2" s="12" t="s">
        <v>100</v>
      </c>
      <c r="O2" s="125">
        <f>IF(B2="","",B2)</f>
        <v>270415</v>
      </c>
      <c r="P2" s="125"/>
      <c r="Q2" s="126"/>
      <c r="R2" s="12" t="s">
        <v>58</v>
      </c>
      <c r="S2" s="125">
        <f>IF(F2="","",F2)</f>
        <v>56464</v>
      </c>
      <c r="T2" s="125"/>
      <c r="U2" s="126"/>
      <c r="V2" s="12" t="s">
        <v>59</v>
      </c>
      <c r="W2" s="149" t="str">
        <f>J2</f>
        <v>ASAP</v>
      </c>
      <c r="X2" s="125"/>
      <c r="Y2" s="126"/>
    </row>
    <row r="3" spans="1:28" ht="20.100000000000001" customHeight="1" x14ac:dyDescent="0.25">
      <c r="A3" s="127" t="s">
        <v>200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34"/>
      <c r="N3" s="138" t="str">
        <f>A3</f>
        <v xml:space="preserve">BAGS MUST STRETCH, NOT SPLIT AND BE EASY TO OPEN OR CUSTOMER WILL COMPLAIN - </v>
      </c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40"/>
    </row>
    <row r="4" spans="1:28" ht="20.100000000000001" customHeight="1" x14ac:dyDescent="0.25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34"/>
      <c r="N4" s="141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3"/>
    </row>
    <row r="5" spans="1:28" ht="20.100000000000001" customHeight="1" x14ac:dyDescent="0.25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5"/>
      <c r="M5" s="34"/>
      <c r="N5" s="144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6"/>
    </row>
    <row r="6" spans="1:28" ht="20.100000000000001" customHeight="1" x14ac:dyDescent="0.25">
      <c r="A6" s="152" t="s">
        <v>2</v>
      </c>
      <c r="B6" s="153"/>
      <c r="C6" s="153"/>
      <c r="D6" s="153"/>
      <c r="E6" s="153"/>
      <c r="F6" s="153"/>
      <c r="G6" s="153"/>
      <c r="H6" s="153"/>
      <c r="I6" s="15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7" t="s">
        <v>177</v>
      </c>
      <c r="C7" s="117"/>
      <c r="D7" s="117"/>
      <c r="E7" s="117"/>
      <c r="F7" s="117"/>
      <c r="G7" s="117"/>
      <c r="H7" s="117"/>
      <c r="I7" s="118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100</v>
      </c>
      <c r="P7" s="74"/>
      <c r="Q7" s="12" t="str">
        <f>IF(ISNUMBER(SEARCH("roll",O8,1)),"Per Roll","Per Carton")</f>
        <v>Per Carton</v>
      </c>
      <c r="R7" s="73">
        <v>100</v>
      </c>
      <c r="S7" s="74"/>
      <c r="T7" s="12" t="str">
        <f>IF(ISNUMBER(SEARCH("bag",O8,1)),"Total Bags","Total Sheets")</f>
        <v>Total Bags</v>
      </c>
      <c r="U7" s="125">
        <f>R7*O7</f>
        <v>10000</v>
      </c>
      <c r="V7" s="126"/>
      <c r="W7" s="12" t="s">
        <v>102</v>
      </c>
      <c r="X7" s="73" t="s">
        <v>31</v>
      </c>
      <c r="Y7" s="74"/>
      <c r="AB7" s="14"/>
    </row>
    <row r="8" spans="1:28" ht="20.100000000000001" customHeight="1" x14ac:dyDescent="0.25">
      <c r="A8" s="15" t="s">
        <v>16</v>
      </c>
      <c r="B8" s="113">
        <f>R9</f>
        <v>1140</v>
      </c>
      <c r="C8" s="114"/>
      <c r="D8" s="32" t="str">
        <f>IF(ISNUMBER(SEARCH("bag",O8,1)),"Gusset","Centrefold")</f>
        <v>Gusset</v>
      </c>
      <c r="E8" s="113" t="str">
        <f>IF(O8="Centrefold Roll",B8*2,IF(X9="","None",X9))</f>
        <v>(690+450)</v>
      </c>
      <c r="F8" s="114"/>
      <c r="G8" s="15" t="s">
        <v>52</v>
      </c>
      <c r="H8" s="113">
        <f>(IF(V9&lt;30,"30",V9))</f>
        <v>38</v>
      </c>
      <c r="I8" s="114"/>
      <c r="J8" s="12" t="s">
        <v>54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4"/>
      <c r="N8" s="16" t="s">
        <v>54</v>
      </c>
      <c r="O8" s="115" t="s">
        <v>164</v>
      </c>
      <c r="P8" s="116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G</v>
      </c>
      <c r="Y8" s="112"/>
    </row>
    <row r="9" spans="1:28" ht="20.100000000000001" customHeight="1" x14ac:dyDescent="0.3">
      <c r="A9" s="18" t="s">
        <v>48</v>
      </c>
      <c r="B9" s="154" t="s">
        <v>194</v>
      </c>
      <c r="C9" s="155"/>
      <c r="D9" s="162" t="str">
        <f>IF(K10="Middle","RUN 2 UP",IF(AND(O8="Centrefold Roll",B8=380),"RUN 2 UP",""))</f>
        <v/>
      </c>
      <c r="E9" s="117"/>
      <c r="F9" s="118"/>
      <c r="G9" s="18" t="s">
        <v>48</v>
      </c>
      <c r="H9" s="154" t="s">
        <v>196</v>
      </c>
      <c r="I9" s="155"/>
      <c r="J9" s="12" t="s">
        <v>55</v>
      </c>
      <c r="K9" s="73" t="s">
        <v>30</v>
      </c>
      <c r="L9" s="74"/>
      <c r="M9" s="34"/>
      <c r="N9" s="19"/>
      <c r="O9" s="119" t="str">
        <f>IF(O8="Poly Bag","PB",IF(O8="Poly Bag Roll","PBR",IF(O8="Centrefold Roll","CFR",IF(O8="Sheet","S",IF(O8="Sheet Roll","SR")))))</f>
        <v>PB</v>
      </c>
      <c r="P9" s="120"/>
      <c r="Q9" s="19"/>
      <c r="R9" s="35">
        <v>1140</v>
      </c>
      <c r="S9" s="20" t="s">
        <v>78</v>
      </c>
      <c r="T9" s="35">
        <v>1470</v>
      </c>
      <c r="U9" s="20" t="s">
        <v>78</v>
      </c>
      <c r="V9" s="35">
        <v>38</v>
      </c>
      <c r="W9" s="19"/>
      <c r="X9" s="99" t="s">
        <v>201</v>
      </c>
      <c r="Y9" s="100"/>
    </row>
    <row r="10" spans="1:28" ht="20.100000000000001" customHeight="1" x14ac:dyDescent="0.25">
      <c r="A10" s="12" t="s">
        <v>51</v>
      </c>
      <c r="B10" s="73">
        <v>30</v>
      </c>
      <c r="C10" s="74"/>
      <c r="D10" s="54" t="s">
        <v>134</v>
      </c>
      <c r="E10" s="156">
        <f>IF(ISNUMBER(SEARCH("sheet",O8,1)),((R9*T9*H8/540000)*U7/2000*1.3),((R9*T9*H8/540000)*U7/1000*1.08))</f>
        <v>1273.6079999999997</v>
      </c>
      <c r="F10" s="157"/>
      <c r="G10" s="12" t="s">
        <v>53</v>
      </c>
      <c r="H10" s="160">
        <f>IF(ISNUMBER(SEARCH("sheet",O8,1)),(U7*T9/2000*1.08),(U7*T9/1000*1.08))</f>
        <v>15876.000000000002</v>
      </c>
      <c r="I10" s="161"/>
      <c r="J10" s="12" t="s">
        <v>41</v>
      </c>
      <c r="K10" s="73" t="s">
        <v>44</v>
      </c>
      <c r="L10" s="74"/>
      <c r="M10" s="34"/>
      <c r="N10" s="21" t="s">
        <v>141</v>
      </c>
      <c r="O10" s="115" t="s">
        <v>44</v>
      </c>
      <c r="P10" s="116"/>
      <c r="Q10" s="16" t="s">
        <v>50</v>
      </c>
      <c r="R10" s="111" t="str">
        <f>IF(K11="NONE","None",IF(K11="INLINE","Yes",IF(K11="OUT OF LINE","Yes")))</f>
        <v>None</v>
      </c>
      <c r="S10" s="111"/>
      <c r="T10" s="16" t="s">
        <v>100</v>
      </c>
      <c r="U10" s="121">
        <v>270415</v>
      </c>
      <c r="V10" s="121"/>
      <c r="W10" s="121"/>
      <c r="X10" s="121"/>
      <c r="Y10" s="122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2" t="s">
        <v>135</v>
      </c>
      <c r="E11" s="158">
        <f>E10/B10</f>
        <v>42.453599999999987</v>
      </c>
      <c r="F11" s="159"/>
      <c r="G11" s="12" t="s">
        <v>15</v>
      </c>
      <c r="H11" s="158">
        <f>H10/B10</f>
        <v>529.20000000000005</v>
      </c>
      <c r="I11" s="159"/>
      <c r="J11" s="12" t="s">
        <v>50</v>
      </c>
      <c r="K11" s="73" t="s">
        <v>44</v>
      </c>
      <c r="L11" s="74"/>
      <c r="M11" s="34"/>
      <c r="N11" s="15"/>
      <c r="O11" s="113" t="str">
        <f>IF(O10="NONE","","V")</f>
        <v/>
      </c>
      <c r="P11" s="114"/>
      <c r="Q11" s="15"/>
      <c r="R11" s="113" t="str">
        <f>IF(R10="None","","P")</f>
        <v/>
      </c>
      <c r="S11" s="114"/>
      <c r="T11" s="15"/>
      <c r="U11" s="123"/>
      <c r="V11" s="123"/>
      <c r="W11" s="123"/>
      <c r="X11" s="123"/>
      <c r="Y11" s="124"/>
    </row>
    <row r="12" spans="1:28" ht="20.100000000000001" customHeight="1" x14ac:dyDescent="0.25">
      <c r="A12" s="15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/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100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9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8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7" t="s">
        <v>4</v>
      </c>
      <c r="F16" s="167"/>
      <c r="G16" s="167" t="s">
        <v>5</v>
      </c>
      <c r="H16" s="167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130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8" t="s">
        <v>147</v>
      </c>
      <c r="D17" s="109"/>
      <c r="E17" s="102"/>
      <c r="F17" s="76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8" t="s">
        <v>146</v>
      </c>
      <c r="D18" s="109"/>
      <c r="E18" s="102"/>
      <c r="F18" s="76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8" t="s">
        <v>145</v>
      </c>
      <c r="D19" s="109"/>
      <c r="E19" s="102"/>
      <c r="F19" s="76"/>
      <c r="G19" s="56" t="s">
        <v>83</v>
      </c>
      <c r="H19" s="37"/>
      <c r="I19" s="70"/>
      <c r="J19" s="71"/>
      <c r="K19" s="70"/>
      <c r="L19" s="71"/>
      <c r="M19" s="34"/>
      <c r="N19" s="86" t="s">
        <v>199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8" t="s">
        <v>144</v>
      </c>
      <c r="D20" s="109"/>
      <c r="E20" s="102"/>
      <c r="F20" s="76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3">
      <c r="A21" s="166" t="s">
        <v>10</v>
      </c>
      <c r="B21" s="166"/>
      <c r="C21" s="168" t="s">
        <v>143</v>
      </c>
      <c r="D21" s="169"/>
      <c r="E21" s="173">
        <v>0.4</v>
      </c>
      <c r="F21" s="174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BLACK</v>
      </c>
      <c r="B22" s="72"/>
      <c r="C22" s="10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109"/>
      <c r="E22" s="110">
        <v>0.04</v>
      </c>
      <c r="F22" s="76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70"/>
      <c r="B23" s="170"/>
      <c r="C23" s="10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9"/>
      <c r="E23" s="102"/>
      <c r="F23" s="76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71"/>
      <c r="B24" s="172"/>
      <c r="C24" s="10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9"/>
      <c r="E24" s="102"/>
      <c r="F24" s="76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197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7" t="s">
        <v>132</v>
      </c>
      <c r="H26" s="107"/>
      <c r="I26" s="107" t="s">
        <v>131</v>
      </c>
      <c r="J26" s="107"/>
      <c r="K26" s="28" t="s">
        <v>94</v>
      </c>
      <c r="L26" s="28" t="s">
        <v>95</v>
      </c>
      <c r="M26" s="34"/>
      <c r="N26" s="103" t="s">
        <v>137</v>
      </c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6"/>
      <c r="H27" s="106"/>
      <c r="I27" s="106"/>
      <c r="J27" s="106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6"/>
      <c r="H28" s="106"/>
      <c r="I28" s="106"/>
      <c r="J28" s="106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198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3" t="s">
        <v>136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44628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44621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E487750-5372-4550-903F-BCED24043675}"/>
</file>

<file path=customXml/itemProps2.xml><?xml version="1.0" encoding="utf-8"?>
<ds:datastoreItem xmlns:ds="http://schemas.openxmlformats.org/officeDocument/2006/customXml" ds:itemID="{69BA63EC-48DE-4524-8F50-706C5A5DFEEC}"/>
</file>

<file path=customXml/itemProps3.xml><?xml version="1.0" encoding="utf-8"?>
<ds:datastoreItem xmlns:ds="http://schemas.openxmlformats.org/officeDocument/2006/customXml" ds:itemID="{BDA8898A-6270-417E-8EAA-D68FD82920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2022-02-08T02:27:39Z</cp:lastPrinted>
  <dcterms:created xsi:type="dcterms:W3CDTF">2019-11-27T23:28:06Z</dcterms:created>
  <dcterms:modified xsi:type="dcterms:W3CDTF">2022-02-08T02:41:41Z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