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2BF44D6-4FC3-4C78-8B9B-075B779D576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<sst xmlns="http://schemas.openxmlformats.org/spreadsheetml/2006/main" count="302" uniqueCount="200">
  <si>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</si>
  <si>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</si>
  <si>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</si>
  <si>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</si>
  <si>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</si>
  <si>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</si>
  <si>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</si>
  <si>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</si>
  <si>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</si>
  <si>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</si>
  <si>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</si>
  <si>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</si>
  <si>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</si>
  <si>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</si>
  <si>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</si>
  <si>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</si>
  <si>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</si>
  <si>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</si>
  <si>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</si>
  <si>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</si>
  <si>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</si>
  <si>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</si>
  <si>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</si>
  <si>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</si>
  <si>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</si>
  <si>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</si>
  <si>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</si>
  <si>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</si>
  <si>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</si>
  <si>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</si>
  <si>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</si>
  <si>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</si>
  <si>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</si>
  <si>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</si>
  <si>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</si>
  <si>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</si>
  <si>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</si>
  <si>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</si>
  <si>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</si>
  <si>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</si>
  <si>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</si>
  <si>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</si>
  <si>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</si>
  <si>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</si>
  <si>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</si>
  <si>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</si>
  <si>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</si>
  <si>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</si>
  <si>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</si>
  <si>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</si>
  <si>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</si>
  <si>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</si>
  <si>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</si>
  <si>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</si>
  <si>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</si>
  <si>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</si>
  <si>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</si>
  <si>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</si>
  <si>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</si>
  <si>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</si>
  <si>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</si>
  <si>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</si>
  <si>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</si>
  <si>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</si>
  <si>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</si>
  <si>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</si>
  <si>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</si>
  <si>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</si>
  <si>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</si>
  <si>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</si>
  <si>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</si>
  <si>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</si>
  <si>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</si>
  <si>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</si>
  <si>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</si>
  <si>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</si>
  <si>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</si>
  <si>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</si>
  <si>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</si>
  <si>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</si>
  <si>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</si>
  <si>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</si>
  <si>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</si>
  <si>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</si>
  <si>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</si>
  <si>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</si>
  <si>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</si>
  <si>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</si>
  <si>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</si>
  <si>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</si>
  <si>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</si>
  <si>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</si>
  <si>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</si>
  <si>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</si>
  <si>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</si>
  <si>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</si>
  <si>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</si>
  <si>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</si>
  <si>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</si>
  <si>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</si>
  <si>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</si>
  <si>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</si>
  <si>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</si>
  <si>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</si>
  <si>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</si>
  <si>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</si>
  <si>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</si>
  <si>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</si>
  <si>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</si>
  <si>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</si>
  <si>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</si>
  <si>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</si>
  <si>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</si>
  <si>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</si>
  <si>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</si>
  <si>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</si>
  <si>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</si>
  <si>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</si>
  <si>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</si>
  <si>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</si>
  <si>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</si>
  <si>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</si>
  <si>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</si>
  <si>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</si>
  <si>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</si>
  <si>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</si>
  <si>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</si>
  <si>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</si>
  <si>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</si>
  <si>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</si>
  <si>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</si>
  <si>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</si>
  <si>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</si>
  <si>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</si>
  <si>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</si>
  <si>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</si>
  <si>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</si>
  <si>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</si>
  <si>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</si>
  <si>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</si>
  <si>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</si>
  <si>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</si>
  <si>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</si>
  <si>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</si>
  <si>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</si>
  <si>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</si>
  <si>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</si>
  <si>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</si>
  <si>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</si>
  <si>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</si>
  <si>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</si>
  <si>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</si>
  <si>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</si>
  <si>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</si>
  <si>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</si>
  <si>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</si>
  <si>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</si>
  <si>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</si>
  <si>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</si>
  <si>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</si>
  <si>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</si>
  <si>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</si>
  <si>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</si>
  <si>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</si>
  <si>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</si>
  <si>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</si>
  <si>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</si>
  <si>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</si>
  <si>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</si>
  <si>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</si>
  <si>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</si>
  <si>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</si>
  <si>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</si>
  <si>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</si>
  <si>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</si>
  <si>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</si>
  <si>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</si>
  <si>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</si>
  <si>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</si>
  <si>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</si>
  <si>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</si>
  <si>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</si>
  <si>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</si>
  <si>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</si>
  <si>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</si>
  <si>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</si>
  <si>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</si>
  <si>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</si>
  <si>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</si>
  <si>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</si>
  <si>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</si>
  <si>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</si>
  <si>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</si>
  <si>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</si>
  <si>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</si>
  <si>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</si>
  <si>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SBAG54</t>
  </si>
  <si>
    <t>GOOD SEALS, STRONG SEALS MUST BE WATER TIGHT SEALS - PLEASE TEST FREQUENTLY</t>
  </si>
  <si>
    <t>AUSTRALIAN SEAFOOD</t>
  </si>
  <si>
    <t>(225+225)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</si>
</sst>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00000000000001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PBR550G35035BT</v>
      </c>
      <c r="C1" s="95"/>
      <c r="D1" s="96"/>
      <c r="E1" s="16" t="s">
        <v>56</v>
      </c>
      <c r="F1" s="61" t="s">
        <v>198</v>
      </c>
      <c r="G1" s="61"/>
      <c r="H1" s="62"/>
      <c r="I1" s="16" t="s">
        <v>180</v>
      </c>
      <c r="J1" s="106">
        <f ca="1">TODAY()</f>
        <v>44833</v>
      </c>
      <c r="K1" s="106"/>
      <c r="L1" s="107"/>
      <c r="M1" s="30"/>
      <c r="N1" s="16" t="s">
        <v>55</v>
      </c>
      <c r="O1" s="95" t="str">
        <f>B1</f>
        <v>PBR550G35035BT</v>
      </c>
      <c r="P1" s="95"/>
      <c r="Q1" s="96"/>
      <c r="R1" s="16" t="s">
        <v>56</v>
      </c>
      <c r="S1" s="95" t="str">
        <f>F1</f>
        <v>AUSTRALIAN SEAFOOD</v>
      </c>
      <c r="T1" s="95"/>
      <c r="U1" s="96"/>
      <c r="V1" s="16" t="s">
        <v>180</v>
      </c>
      <c r="W1" s="106">
        <f ca="1">J1</f>
        <v>44833</v>
      </c>
      <c r="X1" s="106"/>
      <c r="Y1" s="107"/>
    </row>
    <row r="2" spans="1:25" ht="20.100000000000001" customHeight="1" x14ac:dyDescent="0.8">
      <c r="A2" s="16" t="s">
        <v>99</v>
      </c>
      <c r="B2" s="95" t="str">
        <f>IF(U10="","",U10)</f>
        <v>SBAG54</v>
      </c>
      <c r="C2" s="95"/>
      <c r="D2" s="96"/>
      <c r="E2" s="16" t="s">
        <v>57</v>
      </c>
      <c r="F2" s="61">
        <v>936100</v>
      </c>
      <c r="G2" s="61"/>
      <c r="H2" s="62"/>
      <c r="I2" s="16" t="s">
        <v>58</v>
      </c>
      <c r="J2" s="116">
        <v>43890</v>
      </c>
      <c r="K2" s="61"/>
      <c r="L2" s="62"/>
      <c r="M2" s="30"/>
      <c r="N2" s="16" t="s">
        <v>99</v>
      </c>
      <c r="O2" s="95" t="str">
        <f>IF(B2="","",B2)</f>
        <v>SBAG54</v>
      </c>
      <c r="P2" s="95"/>
      <c r="Q2" s="96"/>
      <c r="R2" s="16" t="s">
        <v>57</v>
      </c>
      <c r="S2" s="95">
        <f>IF(F2="","",F2)</f>
        <v>936100</v>
      </c>
      <c r="T2" s="95"/>
      <c r="U2" s="96"/>
      <c r="V2" s="16" t="s">
        <v>58</v>
      </c>
      <c r="W2" s="108">
        <f>J2</f>
        <v>43890</v>
      </c>
      <c r="X2" s="95"/>
      <c r="Y2" s="96"/>
    </row>
    <row r="3" spans="1:25" ht="20.100000000000001" customHeight="1" x14ac:dyDescent="0.75">
      <c r="A3" s="97" t="s">
        <v>197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GOOD SEALS, STRONG SEALS MUST BE WATER TIGHT SEALS - PLEASE TEST FREQUENTLY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75">
      <c r="A6" s="123" t="s">
        <v>1</v>
      </c>
      <c r="B6" s="124"/>
      <c r="C6" s="124"/>
      <c r="D6" s="124"/>
      <c r="E6" s="124"/>
      <c r="F6" s="124"/>
      <c r="G6" s="124"/>
      <c r="H6" s="124"/>
      <c r="I6" s="124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9">
      <c r="A7" s="16" t="s">
        <v>48</v>
      </c>
      <c r="B7" s="68" t="s">
        <v>158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40</v>
      </c>
      <c r="P7" s="62"/>
      <c r="Q7" s="16" t="str">
        <f>IF(ISNUMBER(SEARCH("roll",O8,1)),"Per Roll","Per Carton")</f>
        <v>Per Roll</v>
      </c>
      <c r="R7" s="61">
        <v>720</v>
      </c>
      <c r="S7" s="62"/>
      <c r="T7" s="16" t="str">
        <f>IF(ISNUMBER(SEARCH("bag",O8,1)),"Total Bags","Total Sheets")</f>
        <v>Total Bags</v>
      </c>
      <c r="U7" s="95">
        <f>R7*O7</f>
        <v>28800</v>
      </c>
      <c r="V7" s="96"/>
      <c r="W7" s="16" t="s">
        <v>101</v>
      </c>
      <c r="X7" s="61" t="s">
        <v>22</v>
      </c>
      <c r="Y7" s="62"/>
    </row>
    <row r="8" spans="1:25" ht="20.100000000000001" customHeight="1" x14ac:dyDescent="0.8">
      <c r="A8" s="17" t="s">
        <v>15</v>
      </c>
      <c r="B8" s="114">
        <f>R9</f>
        <v>550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(225+225)</v>
      </c>
      <c r="F8" s="115"/>
      <c r="G8" s="17" t="s">
        <v>51</v>
      </c>
      <c r="H8" s="114">
        <f>(IF(V9&lt;30,"30",V9))</f>
        <v>35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19" t="s">
        <v>164</v>
      </c>
      <c r="P8" s="120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00000000000001" customHeight="1" x14ac:dyDescent="0.9">
      <c r="A9" s="21" t="s">
        <v>47</v>
      </c>
      <c r="B9" s="125" t="s">
        <v>194</v>
      </c>
      <c r="C9" s="126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5" t="s">
        <v>195</v>
      </c>
      <c r="I9" s="126"/>
      <c r="J9" s="16" t="s">
        <v>54</v>
      </c>
      <c r="K9" s="61" t="s">
        <v>33</v>
      </c>
      <c r="L9" s="62"/>
      <c r="M9" s="30"/>
      <c r="N9" s="22"/>
      <c r="O9" s="133" t="str">
        <f>IF(O8="Poly Bag","PB",IF(O8="Poly Bag Roll","PBR",IF(O8="Centrefold Roll","CFR",IF(O8="Sheet","S",IF(O8="Sheet Roll","SR")))))</f>
        <v>PBR</v>
      </c>
      <c r="P9" s="134"/>
      <c r="Q9" s="22"/>
      <c r="R9" s="31">
        <v>550</v>
      </c>
      <c r="S9" s="23" t="s">
        <v>77</v>
      </c>
      <c r="T9" s="31">
        <v>350</v>
      </c>
      <c r="U9" s="23" t="s">
        <v>77</v>
      </c>
      <c r="V9" s="31">
        <v>35</v>
      </c>
      <c r="W9" s="22"/>
      <c r="X9" s="117" t="s">
        <v>199</v>
      </c>
      <c r="Y9" s="118"/>
    </row>
    <row r="10" spans="1:25" ht="20.100000000000001" customHeight="1" x14ac:dyDescent="0.8">
      <c r="A10" s="16" t="s">
        <v>50</v>
      </c>
      <c r="B10" s="61">
        <v>40</v>
      </c>
      <c r="C10" s="62"/>
      <c r="D10" s="49" t="s">
        <v>133</v>
      </c>
      <c r="E10" s="127">
        <f>IF(ISNUMBER(SEARCH("sheet",O8,1)),((R9*T9*H8/540000)*U7/2000*1.3),((R9*T9*H8/540000)*U7/1000*1.08))</f>
        <v>388.08</v>
      </c>
      <c r="F10" s="128"/>
      <c r="G10" s="16" t="s">
        <v>52</v>
      </c>
      <c r="H10" s="131">
        <f>IF(ISNUMBER(SEARCH("sheet",O8,1)),(U7*T9/2000*1.08),(U7*T9/1000*1.08))</f>
        <v>10886.400000000001</v>
      </c>
      <c r="I10" s="132"/>
      <c r="J10" s="16" t="s">
        <v>40</v>
      </c>
      <c r="K10" s="61" t="s">
        <v>43</v>
      </c>
      <c r="L10" s="62"/>
      <c r="M10" s="30"/>
      <c r="N10" s="18" t="s">
        <v>140</v>
      </c>
      <c r="O10" s="119" t="s">
        <v>43</v>
      </c>
      <c r="P10" s="120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98" t="s">
        <v>196</v>
      </c>
      <c r="V10" s="98"/>
      <c r="W10" s="98"/>
      <c r="X10" s="98"/>
      <c r="Y10" s="99"/>
    </row>
    <row r="11" spans="1:25" ht="20.100000000000001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29">
        <f>E10/B10</f>
        <v>9.702</v>
      </c>
      <c r="F11" s="130"/>
      <c r="G11" s="16" t="s">
        <v>14</v>
      </c>
      <c r="H11" s="129">
        <f>H10/B10</f>
        <v>272.16000000000003</v>
      </c>
      <c r="I11" s="130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04"/>
      <c r="V11" s="104"/>
      <c r="W11" s="104"/>
      <c r="X11" s="104"/>
      <c r="Y11" s="105"/>
    </row>
    <row r="12" spans="1:25" ht="20.100000000000001" customHeight="1" x14ac:dyDescent="0.75">
      <c r="A12" s="121" t="s">
        <v>12</v>
      </c>
      <c r="B12" s="122"/>
      <c r="C12" s="122"/>
      <c r="D12" s="122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40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100</v>
      </c>
      <c r="X13" s="16" t="s">
        <v>75</v>
      </c>
      <c r="Y13" s="33"/>
    </row>
    <row r="14" spans="1:25" ht="20.100000000000001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0"/>
      <c r="J17" s="141"/>
      <c r="K17" s="140"/>
      <c r="L17" s="141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0"/>
      <c r="J18" s="141"/>
      <c r="K18" s="140"/>
      <c r="L18" s="141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00000000000001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0"/>
      <c r="J19" s="141"/>
      <c r="K19" s="140"/>
      <c r="L19" s="141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0"/>
      <c r="J20" s="141"/>
      <c r="K20" s="140"/>
      <c r="L20" s="141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0"/>
      <c r="J21" s="141"/>
      <c r="K21" s="140"/>
      <c r="L21" s="141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75">
      <c r="A22" s="82" t="str">
        <f>(IF(B7="NATURAL","",B7))</f>
        <v>BLUE TINT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7"/>
      <c r="E22" s="83"/>
      <c r="F22" s="84"/>
      <c r="G22" s="34" t="s">
        <v>85</v>
      </c>
      <c r="H22" s="35"/>
      <c r="I22" s="140"/>
      <c r="J22" s="141"/>
      <c r="K22" s="140"/>
      <c r="L22" s="141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75">
      <c r="A23" s="135"/>
      <c r="B23" s="135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0"/>
      <c r="J23" s="141"/>
      <c r="K23" s="140"/>
      <c r="L23" s="141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75">
      <c r="A24" s="136"/>
      <c r="B24" s="137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0"/>
      <c r="J24" s="141"/>
      <c r="K24" s="140"/>
      <c r="L24" s="141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75">
      <c r="A27" s="14" t="s">
        <v>95</v>
      </c>
      <c r="B27" s="7"/>
      <c r="C27" s="7"/>
      <c r="D27" s="7"/>
      <c r="E27" s="8"/>
      <c r="F27" s="7"/>
      <c r="G27" s="139"/>
      <c r="H27" s="139"/>
      <c r="I27" s="139"/>
      <c r="J27" s="139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75">
      <c r="A28" s="14" t="s">
        <v>96</v>
      </c>
      <c r="B28" s="7"/>
      <c r="C28" s="7"/>
      <c r="D28" s="7"/>
      <c r="E28" s="9"/>
      <c r="F28" s="7"/>
      <c r="G28" s="139"/>
      <c r="H28" s="139"/>
      <c r="I28" s="139"/>
      <c r="J28" s="139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75">
      <c r="A29" s="121" t="s">
        <v>98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38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75">
      <c r="N43" s="52"/>
    </row>
    <row r="44" spans="1:25" ht="20.100000000000001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5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44863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44854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A34C03-A343-4C0B-B4AB-517570C1DA8E}"/>
</file>

<file path=customXml/itemProps2.xml><?xml version="1.0" encoding="utf-8"?>
<ds:datastoreItem xmlns:ds="http://schemas.openxmlformats.org/officeDocument/2006/customXml" ds:itemID="{91230DC8-996A-474A-8269-AC549A2E7920}"/>
</file>

<file path=customXml/itemProps3.xml><?xml version="1.0" encoding="utf-8"?>
<ds:datastoreItem xmlns:ds="http://schemas.openxmlformats.org/officeDocument/2006/customXml" ds:itemID="{E53AF2BD-4FE2-4659-BCDF-9CF4EF320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2020-01-17T01:52:23Z</cp:lastPrinted>
  <dcterms:created xsi:type="dcterms:W3CDTF">2019-11-27T23:28:06Z</dcterms:created>
  <dcterms:modified xsi:type="dcterms:W3CDTF">2022-09-29T23:56:39Z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