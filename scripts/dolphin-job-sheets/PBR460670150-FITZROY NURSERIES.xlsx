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94EBD43-1479-4FDB-A21D-5F02DF42A9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<sst xmlns="http://schemas.openxmlformats.org/spreadsheetml/2006/main" count="302" uniqueCount="200">
  <si>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</si>
  <si>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</si>
  <si>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</si>
  <si>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</si>
  <si>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</si>
  <si>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</si>
  <si>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</si>
  <si>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</si>
  <si>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</si>
  <si>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</si>
  <si>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</si>
  <si>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</si>
  <si>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</si>
  <si>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</si>
  <si>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</si>
  <si>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</si>
  <si>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</si>
  <si>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</si>
  <si>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</si>
  <si>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</si>
  <si>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</si>
  <si>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</si>
  <si>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</si>
  <si>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</si>
  <si>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</si>
  <si>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</si>
  <si>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</si>
  <si>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</si>
  <si>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</si>
  <si>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</si>
  <si>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</si>
  <si>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</si>
  <si>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</si>
  <si>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</si>
  <si>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</si>
  <si>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</si>
  <si>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</si>
  <si>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</si>
  <si>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</si>
  <si>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</si>
  <si>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</si>
  <si>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</si>
  <si>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</si>
  <si>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</si>
  <si>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</si>
  <si>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</si>
  <si>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</si>
  <si>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</si>
  <si>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</si>
  <si>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</si>
  <si>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</si>
  <si>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</si>
  <si>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</si>
  <si>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</si>
  <si>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</si>
  <si>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</si>
  <si>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</si>
  <si>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</si>
  <si>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</si>
  <si>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</si>
  <si>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</si>
  <si>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</si>
  <si>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</si>
  <si>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</si>
  <si>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</si>
  <si>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</si>
  <si>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</si>
  <si>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</si>
  <si>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</si>
  <si>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</si>
  <si>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</si>
  <si>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</si>
  <si>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</si>
  <si>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</si>
  <si>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</si>
  <si>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</si>
  <si>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</si>
  <si>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</si>
  <si>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</si>
  <si>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</si>
  <si>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</si>
  <si>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</si>
  <si>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</si>
  <si>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</si>
  <si>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</si>
  <si>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</si>
  <si>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</si>
  <si>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</si>
  <si>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</si>
  <si>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</si>
  <si>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</si>
  <si>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</si>
  <si>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</si>
  <si>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</si>
  <si>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</si>
  <si>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</si>
  <si>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</si>
  <si>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</si>
  <si>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</si>
  <si>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</si>
  <si>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</si>
  <si>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</si>
  <si>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</si>
  <si>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</si>
  <si>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</si>
  <si>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</si>
  <si>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</si>
  <si>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</si>
  <si>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</si>
  <si>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</si>
  <si>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</si>
  <si>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</si>
  <si>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</si>
  <si>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</si>
  <si>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</si>
  <si>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</si>
  <si>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</si>
  <si>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</si>
  <si>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</si>
  <si>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</si>
  <si>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</si>
  <si>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</si>
  <si>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</si>
  <si>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</si>
  <si>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</si>
  <si>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</si>
  <si>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</si>
  <si>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</si>
  <si>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</si>
  <si>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</si>
  <si>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</si>
  <si>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</si>
  <si>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</si>
  <si>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</si>
  <si>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</si>
  <si>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</si>
  <si>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</si>
  <si>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</si>
  <si>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</si>
  <si>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</si>
  <si>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</si>
  <si>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</si>
  <si>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</si>
  <si>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</si>
  <si>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</si>
  <si>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</si>
  <si>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</si>
  <si>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</si>
  <si>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</si>
  <si>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</si>
  <si>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</si>
  <si>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</si>
  <si>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</si>
  <si>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</si>
  <si>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</si>
  <si>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</si>
  <si>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</si>
  <si>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</si>
  <si>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</si>
  <si>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</si>
  <si>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</si>
  <si>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</si>
  <si>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</si>
  <si>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</si>
  <si>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</si>
  <si>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</si>
  <si>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</si>
  <si>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</si>
  <si>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</si>
  <si>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</si>
  <si>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</si>
  <si>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</si>
  <si>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</si>
  <si>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</si>
  <si>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</si>
  <si>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</si>
  <si>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</si>
  <si>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</si>
  <si>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</si>
  <si>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</si>
  <si>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</si>
  <si>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</si>
  <si>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</si>
  <si>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</si>
  <si>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</si>
  <si>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</si>
  <si>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</si>
  <si>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</si>
  <si>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</si>
  <si>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</si>
  <si>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</si>
  <si>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</si>
  <si>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</si>
  <si>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</si>
  <si>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</si>
  <si>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PERF</t>
  </si>
  <si>
    <t>RUN AT 140UM</t>
  </si>
  <si>
    <t>FITZROY NURSERIES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</si>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</sst>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27" sqref="B2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9" t="str">
        <f>O9&amp;R9&amp;IF(X8="G","G","")&amp;IF(O8="Centrefold Roll","("&amp;E8&amp;")","")&amp;T9&amp;V9&amp;C22&amp;C23&amp;C24&amp;O11&amp;R11</f>
        <v>PBR4606701500</v>
      </c>
      <c r="C1" s="109"/>
      <c r="D1" s="110"/>
      <c r="E1" s="11" t="s">
        <v>57</v>
      </c>
      <c r="F1" s="62" t="s">
        <v>197</v>
      </c>
      <c r="G1" s="62"/>
      <c r="H1" s="63"/>
      <c r="I1" s="12" t="s">
        <v>181</v>
      </c>
      <c r="J1" s="120">
        <f ca="1">TODAY()</f>
        <v>45365</v>
      </c>
      <c r="K1" s="120"/>
      <c r="L1" s="121"/>
      <c r="M1" s="29"/>
      <c r="N1" s="11" t="s">
        <v>56</v>
      </c>
      <c r="O1" s="109" t="str">
        <f>B1</f>
        <v>PBR4606701500</v>
      </c>
      <c r="P1" s="109"/>
      <c r="Q1" s="110"/>
      <c r="R1" s="11" t="s">
        <v>57</v>
      </c>
      <c r="S1" s="109" t="str">
        <f>F1</f>
        <v>FITZROY NURSERIES</v>
      </c>
      <c r="T1" s="109"/>
      <c r="U1" s="110"/>
      <c r="V1" s="11" t="s">
        <v>181</v>
      </c>
      <c r="W1" s="120">
        <f ca="1">J1</f>
        <v>45365</v>
      </c>
      <c r="X1" s="120"/>
      <c r="Y1" s="121"/>
    </row>
    <row r="2" spans="1:25" ht="20.100000000000001" customHeight="1" x14ac:dyDescent="0.25">
      <c r="A2" s="11" t="s">
        <v>100</v>
      </c>
      <c r="B2" s="109" t="str">
        <f>IF(U10="","",U10)</f>
        <v/>
      </c>
      <c r="C2" s="109"/>
      <c r="D2" s="110"/>
      <c r="E2" s="11" t="s">
        <v>58</v>
      </c>
      <c r="F2" s="62">
        <v>947332</v>
      </c>
      <c r="G2" s="62"/>
      <c r="H2" s="63"/>
      <c r="I2" s="11" t="s">
        <v>59</v>
      </c>
      <c r="J2" s="123">
        <v>45370</v>
      </c>
      <c r="K2" s="62"/>
      <c r="L2" s="63"/>
      <c r="M2" s="29"/>
      <c r="N2" s="11" t="s">
        <v>100</v>
      </c>
      <c r="O2" s="109" t="str">
        <f>IF(B2="","",B2)</f>
        <v/>
      </c>
      <c r="P2" s="109"/>
      <c r="Q2" s="110"/>
      <c r="R2" s="11" t="s">
        <v>58</v>
      </c>
      <c r="S2" s="109">
        <f>IF(F2="","",F2)</f>
        <v>947332</v>
      </c>
      <c r="T2" s="109"/>
      <c r="U2" s="110"/>
      <c r="V2" s="11" t="s">
        <v>59</v>
      </c>
      <c r="W2" s="122">
        <f>J2</f>
        <v>45370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Rolls</v>
      </c>
      <c r="O7" s="62">
        <v>40</v>
      </c>
      <c r="P7" s="63"/>
      <c r="Q7" s="11" t="str">
        <f>IF(ISNUMBER(SEARCH("roll",O8,1)),"Per Roll","Per Carton")</f>
        <v>Per Roll</v>
      </c>
      <c r="R7" s="62">
        <v>200</v>
      </c>
      <c r="S7" s="63"/>
      <c r="T7" s="11" t="str">
        <f>IF(ISNUMBER(SEARCH("bag",O8,1)),"Total Bags","Total Sheets")</f>
        <v>Total Bags</v>
      </c>
      <c r="U7" s="109">
        <f>R7*O7</f>
        <v>8000</v>
      </c>
      <c r="V7" s="110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460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150</v>
      </c>
      <c r="I8" s="97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8" t="s">
        <v>165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196</v>
      </c>
      <c r="I9" s="127"/>
      <c r="J9" s="11" t="s">
        <v>55</v>
      </c>
      <c r="K9" s="62" t="s">
        <v>34</v>
      </c>
      <c r="L9" s="63"/>
      <c r="M9" s="29"/>
      <c r="N9" s="17"/>
      <c r="O9" s="102" t="str">
        <f>IF(O8="Poly Bag","PB",IF(O8="Poly Bag Roll","PBR",IF(O8="Centrefold Roll","CFR",IF(O8="Sheet","S",IF(O8="Sheet Roll","SR")))))</f>
        <v>PBR</v>
      </c>
      <c r="P9" s="103"/>
      <c r="Q9" s="17"/>
      <c r="R9" s="30">
        <v>460</v>
      </c>
      <c r="S9" s="18" t="s">
        <v>78</v>
      </c>
      <c r="T9" s="30">
        <v>670</v>
      </c>
      <c r="U9" s="18" t="s">
        <v>78</v>
      </c>
      <c r="V9" s="30">
        <v>150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20</v>
      </c>
      <c r="C10" s="63"/>
      <c r="D10" s="47" t="s">
        <v>134</v>
      </c>
      <c r="E10" s="128">
        <f>IF(ISNUMBER(SEARCH("sheet",O8,1)),((R9*T9*H8/540000)*U7/2000*1.3),((R9*T9*H8/540000)*U7/1000*1.08))</f>
        <v>739.68000000000006</v>
      </c>
      <c r="F10" s="129"/>
      <c r="G10" s="11" t="s">
        <v>53</v>
      </c>
      <c r="H10" s="132">
        <f>IF(ISNUMBER(SEARCH("sheet",O8,1)),(U7*T9/2000*1.08),(U7*T9/1000*1.08))</f>
        <v>5788.8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5"/>
      <c r="Y10" s="106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0">
        <f>E10/B10</f>
        <v>36.984000000000002</v>
      </c>
      <c r="F11" s="131"/>
      <c r="G11" s="11" t="s">
        <v>15</v>
      </c>
      <c r="H11" s="130">
        <f>H10/B10</f>
        <v>289.44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7"/>
      <c r="V11" s="107"/>
      <c r="W11" s="107"/>
      <c r="X11" s="107"/>
      <c r="Y11" s="108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40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8" t="s">
        <v>4</v>
      </c>
      <c r="F16" s="138"/>
      <c r="G16" s="138" t="s">
        <v>5</v>
      </c>
      <c r="H16" s="13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/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/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Rolls</v>
      </c>
      <c r="U17" s="62" t="s">
        <v>31</v>
      </c>
      <c r="V17" s="63"/>
      <c r="W17" s="11" t="str">
        <f>IF(ISNUMBER(SEARCH("roll",O8,1)),"Total Rolls","Total Ctns")</f>
        <v>Total Rolls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/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9" t="s">
        <v>198</v>
      </c>
      <c r="B23" s="139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 t="s">
        <v>199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0"/>
      <c r="B24" s="14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21</v>
      </c>
      <c r="R25" s="10">
        <v>8</v>
      </c>
      <c r="S25" s="10"/>
      <c r="T25" s="10">
        <v>10</v>
      </c>
      <c r="U25" s="10"/>
      <c r="V25" s="10">
        <v>3</v>
      </c>
      <c r="W25" s="10">
        <v>195</v>
      </c>
      <c r="X25" s="10">
        <v>195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>
        <v>45</v>
      </c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45396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45386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5B3DD1F-BB9F-4388-89AA-5035F9607B44}"/>
</file>

<file path=customXml/itemProps2.xml><?xml version="1.0" encoding="utf-8"?>
<ds:datastoreItem xmlns:ds="http://schemas.openxmlformats.org/officeDocument/2006/customXml" ds:itemID="{AB2D0C58-6FBC-45D2-8F0F-AE6F1C930BAF}"/>
</file>

<file path=customXml/itemProps3.xml><?xml version="1.0" encoding="utf-8"?>
<ds:datastoreItem xmlns:ds="http://schemas.openxmlformats.org/officeDocument/2006/customXml" ds:itemID="{AC1E7E85-7F28-4F37-A887-B9EC86AB2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2024-02-19T00:30:41Z</cp:lastPrinted>
  <dcterms:created xsi:type="dcterms:W3CDTF">2019-11-27T23:28:06Z</dcterms:created>
  <dcterms:modified xsi:type="dcterms:W3CDTF">2024-03-13T23:18:04Z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