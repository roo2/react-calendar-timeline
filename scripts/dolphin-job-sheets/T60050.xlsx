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D1CC1D0-AFEB-4E62-9ADD-F802219CF7A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<sst xmlns="http://schemas.openxmlformats.org/spreadsheetml/2006/main" count="225" uniqueCount="165">
  <si>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</si>
  <si>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</si>
  <si>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</si>
  <si>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</si>
  <si>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</si>
  <si>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</si>
  <si>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</si>
  <si>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</si>
  <si>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</si>
  <si>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</si>
  <si>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</si>
  <si>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</si>
  <si>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</si>
  <si>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</si>
  <si>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</si>
  <si>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</si>
  <si>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</si>
  <si>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</si>
  <si>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</si>
  <si>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</si>
  <si>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</si>
  <si>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</si>
  <si>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</si>
  <si>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</si>
  <si>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</si>
  <si>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</si>
  <si>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</si>
  <si>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</si>
  <si>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</si>
  <si>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</si>
  <si>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</si>
  <si>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</si>
  <si>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</si>
  <si>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</si>
  <si>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</si>
  <si>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</si>
  <si>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</si>
  <si>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</si>
  <si>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</si>
  <si>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</si>
  <si>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</si>
  <si>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</si>
  <si>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</si>
  <si>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</si>
  <si>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</si>
  <si>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</si>
  <si>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</si>
  <si>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</si>
  <si>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</si>
  <si>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</si>
  <si>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</si>
  <si>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</si>
  <si>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</si>
  <si>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</si>
  <si>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</si>
  <si>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</si>
  <si>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</si>
  <si>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</si>
  <si>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</si>
  <si>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</si>
  <si>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</si>
  <si>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</si>
  <si>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</si>
  <si>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</si>
  <si>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</si>
  <si>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</si>
  <si>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</si>
  <si>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</si>
  <si>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</si>
  <si>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</si>
  <si>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</si>
  <si>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</si>
  <si>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</si>
  <si>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</si>
  <si>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</si>
  <si>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</si>
  <si>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</si>
  <si>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</si>
  <si>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</si>
  <si>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</si>
  <si>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</si>
  <si>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</si>
  <si>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</si>
  <si>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</si>
  <si>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</si>
  <si>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</si>
  <si>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</si>
  <si>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</si>
  <si>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</si>
  <si>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</si>
  <si>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</si>
  <si>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</si>
  <si>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</si>
  <si>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</si>
  <si>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</si>
  <si>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</si>
  <si>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</si>
  <si>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</si>
  <si>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</si>
  <si>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</si>
  <si>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</si>
  <si>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</si>
  <si>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</si>
  <si>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</si>
  <si>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</si>
  <si>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</si>
  <si>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</si>
  <si>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</si>
  <si>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</si>
  <si>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</si>
  <si>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</si>
  <si>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</si>
  <si>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</si>
  <si>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</si>
  <si>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</si>
  <si>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</si>
  <si>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</si>
  <si>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</si>
  <si>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</si>
  <si>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</si>
  <si>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</si>
  <si>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</si>
  <si>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</si>
  <si>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</si>
  <si>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</si>
  <si>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</si>
  <si>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</si>
  <si>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</si>
  <si>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</si>
  <si>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</si>
  <si>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</si>
  <si>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</si>
  <si>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</si>
  <si>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</si>
  <si>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</si>
  <si>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</si>
  <si>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</si>
  <si>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</si>
  <si>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</si>
  <si>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</si>
  <si>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</si>
  <si>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</si>
  <si>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</si>
  <si>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</si>
  <si>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</si>
  <si>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</si>
  <si>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</si>
  <si>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</si>
  <si>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</si>
  <si>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</si>
  <si>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</si>
  <si>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</si>
  <si>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</si>
  <si>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</si>
  <si>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</si>
  <si>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</si>
  <si>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</si>
  <si>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</si>
  <si>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</si>
  <si>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</si>
  <si>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</si>
  <si>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</si>
  <si>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</si>
  <si>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</si>
  <si>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POWERSAFE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</si>
</sst>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T60075</v>
      </c>
      <c r="C1" s="101"/>
      <c r="D1" s="102"/>
      <c r="E1" s="11" t="s">
        <v>55</v>
      </c>
      <c r="F1" s="112" t="s">
        <v>164</v>
      </c>
      <c r="G1" s="112"/>
      <c r="H1" s="113"/>
      <c r="I1" s="11" t="s">
        <v>148</v>
      </c>
      <c r="J1" s="114">
        <f ca="1">TODAY()</f>
        <v>45939</v>
      </c>
      <c r="K1" s="114"/>
      <c r="L1" s="115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950694</v>
      </c>
      <c r="G2" s="46"/>
      <c r="H2" s="47"/>
      <c r="I2" s="11" t="s">
        <v>57</v>
      </c>
      <c r="J2" s="116" t="s">
        <v>162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600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75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146</v>
      </c>
      <c r="C9" s="85"/>
      <c r="D9" s="118" t="str">
        <f>IF(K10="Middle","RUN 2 UP",IF(AND(B7="Cont Centrefold",B8=380),"RUN 2 UP",""))</f>
        <v/>
      </c>
      <c r="E9" s="119"/>
      <c r="F9" s="120"/>
      <c r="G9" s="13" t="s">
        <v>46</v>
      </c>
      <c r="H9" s="84" t="s">
        <v>146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4</v>
      </c>
      <c r="C10" s="47"/>
      <c r="D10" s="36" t="s">
        <v>104</v>
      </c>
      <c r="E10" s="88">
        <f>E11*B10</f>
        <v>100</v>
      </c>
      <c r="F10" s="89"/>
      <c r="G10" s="11" t="s">
        <v>51</v>
      </c>
      <c r="H10" s="92">
        <f>H11*B10</f>
        <v>1200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300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2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4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21" t="s">
        <v>103</v>
      </c>
      <c r="H27" s="121"/>
      <c r="I27" s="121" t="s">
        <v>102</v>
      </c>
      <c r="J27" s="121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7"/>
      <c r="H28" s="117"/>
      <c r="I28" s="117"/>
      <c r="J28" s="117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7"/>
      <c r="H29" s="117"/>
      <c r="I29" s="117"/>
      <c r="J29" s="117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45970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45960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F66E04A-1293-4759-BD81-3BE9A9EBAC1D}"/>
</file>

<file path=customXml/itemProps2.xml><?xml version="1.0" encoding="utf-8"?>
<ds:datastoreItem xmlns:ds="http://schemas.openxmlformats.org/officeDocument/2006/customXml" ds:itemID="{EFA5DF0F-9061-46BB-8682-74990D0370B3}"/>
</file>

<file path=customXml/itemProps3.xml><?xml version="1.0" encoding="utf-8"?>
<ds:datastoreItem xmlns:ds="http://schemas.openxmlformats.org/officeDocument/2006/customXml" ds:itemID="{44E72669-27D8-4FEE-8C6E-1C0496FEF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2025-10-09T00:35:04Z</cp:lastPrinted>
  <dcterms:created xsi:type="dcterms:W3CDTF">2019-11-27T23:28:06Z</dcterms:created>
  <dcterms:modified xsi:type="dcterms:W3CDTF">2025-10-13T00:08:13Z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