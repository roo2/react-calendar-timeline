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90AB296-B771-4881-A305-749BE2EF6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<sst xmlns="http://schemas.openxmlformats.org/spreadsheetml/2006/main" count="309" uniqueCount="204">
  <si>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</si>
  <si>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</si>
  <si>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</si>
  <si>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</si>
  <si>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</si>
  <si>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</si>
  <si>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</si>
  <si>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</si>
  <si>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</si>
  <si>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</si>
  <si>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</si>
  <si>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</si>
  <si>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</si>
  <si>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</si>
  <si>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</si>
  <si>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</si>
  <si>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</si>
  <si>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</si>
  <si>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</si>
  <si>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</si>
  <si>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</si>
  <si>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</si>
  <si>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</si>
  <si>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</si>
  <si>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</si>
  <si>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</si>
  <si>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</si>
  <si>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</si>
  <si>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</si>
  <si>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</si>
  <si>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</si>
  <si>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</si>
  <si>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</si>
  <si>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</si>
  <si>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</si>
  <si>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</si>
  <si>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</si>
  <si>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</si>
  <si>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</si>
  <si>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</si>
  <si>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</si>
  <si>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</si>
  <si>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</si>
  <si>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</si>
  <si>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</si>
  <si>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</si>
  <si>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</si>
  <si>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</si>
  <si>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</si>
  <si>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</si>
  <si>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</si>
  <si>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</si>
  <si>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</si>
  <si>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</si>
  <si>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</si>
  <si>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</si>
  <si>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</si>
  <si>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</si>
  <si>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</si>
  <si>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</si>
  <si>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</si>
  <si>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</si>
  <si>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</si>
  <si>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</si>
  <si>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</si>
  <si>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</si>
  <si>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</si>
  <si>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</si>
  <si>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</si>
  <si>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</si>
  <si>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</si>
  <si>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</si>
  <si>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</si>
  <si>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</si>
  <si>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</si>
  <si>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</si>
  <si>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</si>
  <si>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</si>
  <si>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</si>
  <si>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</si>
  <si>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</si>
  <si>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</si>
  <si>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</si>
  <si>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</si>
  <si>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</si>
  <si>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</si>
  <si>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</si>
  <si>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</si>
  <si>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</si>
  <si>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</si>
  <si>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</si>
  <si>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</si>
  <si>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</si>
  <si>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</si>
  <si>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</si>
  <si>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</si>
  <si>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</si>
  <si>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</si>
  <si>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</si>
  <si>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</si>
  <si>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</si>
  <si>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</si>
  <si>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</si>
  <si>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</si>
  <si>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</si>
  <si>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</si>
  <si>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</si>
  <si>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</si>
  <si>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</si>
  <si>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</si>
  <si>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</si>
  <si>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</si>
  <si>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</si>
  <si>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</si>
  <si>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</si>
  <si>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</si>
  <si>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</si>
  <si>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</si>
  <si>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</si>
  <si>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</si>
  <si>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</si>
  <si>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</si>
  <si>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</si>
  <si>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</si>
  <si>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</si>
  <si>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</si>
  <si>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</si>
  <si>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</si>
  <si>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</si>
  <si>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</si>
  <si>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</si>
  <si>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</si>
  <si>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</si>
  <si>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</si>
  <si>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</si>
  <si>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</si>
  <si>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</si>
  <si>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</si>
  <si>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</si>
  <si>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</si>
  <si>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</si>
  <si>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</si>
  <si>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</si>
  <si>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</si>
  <si>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</si>
  <si>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</si>
  <si>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</si>
  <si>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</si>
  <si>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</si>
  <si>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</si>
  <si>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</si>
  <si>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</si>
  <si>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</si>
  <si>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</si>
  <si>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</si>
  <si>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</si>
  <si>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</si>
  <si>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</si>
  <si>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</si>
  <si>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</si>
  <si>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</si>
  <si>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</si>
  <si>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</si>
  <si>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</si>
  <si>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</si>
  <si>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</si>
  <si>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</si>
  <si>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</si>
  <si>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</si>
  <si>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</si>
  <si>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</si>
  <si>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</si>
  <si>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</si>
  <si>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</si>
  <si>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</si>
  <si>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</si>
  <si>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</si>
  <si>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</si>
  <si>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</si>
  <si>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</si>
  <si>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</si>
  <si>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</si>
  <si>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</si>
  <si>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</si>
  <si>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</si>
  <si>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</si>
  <si>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</si>
  <si>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</si>
  <si>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</si>
  <si>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</si>
  <si>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</si>
  <si>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</si>
  <si>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</si>
  <si>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</si>
  <si>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(750+430)</t>
  </si>
  <si>
    <t>LIMAX</t>
  </si>
  <si>
    <t xml:space="preserve"> +/-10mm</t>
  </si>
  <si>
    <t xml:space="preserve"> +/-3um</t>
  </si>
  <si>
    <t>OZZI KLEEN</t>
  </si>
  <si>
    <t>HAZARDOUS WASTE</t>
  </si>
  <si>
    <t>" HAZARDOUS WASTE  "</t>
  </si>
  <si>
    <t>20/24</t>
  </si>
  <si>
    <t>18/15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</si>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</sst>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T30" sqref="T30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PB1180G150075Y0P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45832</v>
      </c>
      <c r="K1" s="119"/>
      <c r="L1" s="120"/>
      <c r="M1" s="29"/>
      <c r="N1" s="11" t="s">
        <v>56</v>
      </c>
      <c r="O1" s="108" t="str">
        <f>B1</f>
        <v>PB1180G150075Y0P</v>
      </c>
      <c r="P1" s="108"/>
      <c r="Q1" s="109"/>
      <c r="R1" s="11" t="s">
        <v>57</v>
      </c>
      <c r="S1" s="108" t="str">
        <f>F1</f>
        <v>OZZI KLEEN</v>
      </c>
      <c r="T1" s="108"/>
      <c r="U1" s="109"/>
      <c r="V1" s="11" t="s">
        <v>181</v>
      </c>
      <c r="W1" s="119">
        <f ca="1">J1</f>
        <v>45832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>HAZARDOUS WASTE</v>
      </c>
      <c r="C2" s="108"/>
      <c r="D2" s="109"/>
      <c r="E2" s="11" t="s">
        <v>58</v>
      </c>
      <c r="F2" s="62">
        <v>949695</v>
      </c>
      <c r="G2" s="62"/>
      <c r="H2" s="63"/>
      <c r="I2" s="11" t="s">
        <v>59</v>
      </c>
      <c r="J2" s="122">
        <v>45768</v>
      </c>
      <c r="K2" s="62"/>
      <c r="L2" s="63"/>
      <c r="M2" s="29"/>
      <c r="N2" s="11" t="s">
        <v>100</v>
      </c>
      <c r="O2" s="108" t="str">
        <f>IF(B2="","",B2)</f>
        <v>HAZARDOUS WASTE</v>
      </c>
      <c r="P2" s="108"/>
      <c r="Q2" s="109"/>
      <c r="R2" s="11" t="s">
        <v>58</v>
      </c>
      <c r="S2" s="108">
        <f>IF(F2="","",F2)</f>
        <v>949695</v>
      </c>
      <c r="T2" s="108"/>
      <c r="U2" s="109"/>
      <c r="V2" s="11" t="s">
        <v>59</v>
      </c>
      <c r="W2" s="121">
        <f>J2</f>
        <v>45768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148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50</v>
      </c>
      <c r="S7" s="63"/>
      <c r="T7" s="11" t="str">
        <f>IF(ISNUMBER(SEARCH("bag",O8,1)),"Total Bags","Total Sheets")</f>
        <v>Total Bags</v>
      </c>
      <c r="U7" s="108">
        <f>R7*O7</f>
        <v>500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1180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(750+430)</v>
      </c>
      <c r="F8" s="97"/>
      <c r="G8" s="13" t="s">
        <v>52</v>
      </c>
      <c r="H8" s="96">
        <f>(IF(V9&lt;30,"30",V9))</f>
        <v>75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25" t="s">
        <v>196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197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1180</v>
      </c>
      <c r="S9" s="18" t="s">
        <v>78</v>
      </c>
      <c r="T9" s="30">
        <v>1500</v>
      </c>
      <c r="U9" s="18" t="s">
        <v>78</v>
      </c>
      <c r="V9" s="30">
        <v>75</v>
      </c>
      <c r="W9" s="17"/>
      <c r="X9" s="88" t="s">
        <v>194</v>
      </c>
      <c r="Y9" s="89"/>
    </row>
    <row r="10" spans="1:25" ht="20.100000000000001" customHeight="1" x14ac:dyDescent="0.25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132.75</v>
      </c>
      <c r="F10" s="128"/>
      <c r="G10" s="11" t="s">
        <v>53</v>
      </c>
      <c r="H10" s="131">
        <f>IF(ISNUMBER(SEARCH("sheet",O8,1)),(U7*T9/2000*1.08),(U7*T9/1000*1.08))</f>
        <v>810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199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33.1875</v>
      </c>
      <c r="F11" s="130"/>
      <c r="G11" s="11" t="s">
        <v>15</v>
      </c>
      <c r="H11" s="129">
        <f>H10/B10</f>
        <v>202.5</v>
      </c>
      <c r="I11" s="130"/>
      <c r="J11" s="11" t="s">
        <v>50</v>
      </c>
      <c r="K11" s="62" t="s">
        <v>65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 t="s">
        <v>200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130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YELLOW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203</v>
      </c>
      <c r="B24" s="14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 t="s">
        <v>201</v>
      </c>
      <c r="R25" s="10"/>
      <c r="S25" s="10"/>
      <c r="T25" s="10"/>
      <c r="U25" s="10"/>
      <c r="V25" s="10"/>
      <c r="W25" s="10" t="s">
        <v>202</v>
      </c>
      <c r="X25" s="141" t="s">
        <v>202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45862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2F85FC2-0DA0-44E5-82FE-5D63E54F23F6}"/>
</file>

<file path=customXml/itemProps2.xml><?xml version="1.0" encoding="utf-8"?>
<ds:datastoreItem xmlns:ds="http://schemas.openxmlformats.org/officeDocument/2006/customXml" ds:itemID="{D33E5BBB-2378-46EB-AD4D-FEF0F6B06A25}"/>
</file>

<file path=customXml/itemProps3.xml><?xml version="1.0" encoding="utf-8"?>
<ds:datastoreItem xmlns:ds="http://schemas.openxmlformats.org/officeDocument/2006/customXml" ds:itemID="{A4A0607E-BAAD-46C2-A909-3A25F7D3C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2025-03-31T02:46:35Z</cp:lastPrinted>
  <dcterms:created xsi:type="dcterms:W3CDTF">2019-11-27T23:28:06Z</dcterms:created>
  <dcterms:modified xsi:type="dcterms:W3CDTF">2025-06-24T05:19:22Z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