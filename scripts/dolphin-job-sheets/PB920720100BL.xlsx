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DF9CE28-45AE-433A-B7D2-0F58517023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<sst xmlns="http://schemas.openxmlformats.org/spreadsheetml/2006/main" count="308" uniqueCount="202">
  <si>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</si>
  <si>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</si>
  <si>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</si>
  <si>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</si>
  <si>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</si>
  <si>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</si>
  <si>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</si>
  <si>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</si>
  <si>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</si>
  <si>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</si>
  <si>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</si>
  <si>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</si>
  <si>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</si>
  <si>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</si>
  <si>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</si>
  <si>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</si>
  <si>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</si>
  <si>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</si>
  <si>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</si>
  <si>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</si>
  <si>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</si>
  <si>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</si>
  <si>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</si>
  <si>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</si>
  <si>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</si>
  <si>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</si>
  <si>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</si>
  <si>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</si>
  <si>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</si>
  <si>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</si>
  <si>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</si>
  <si>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</si>
  <si>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</si>
  <si>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</si>
  <si>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</si>
  <si>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</si>
  <si>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</si>
  <si>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</si>
  <si>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</si>
  <si>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</si>
  <si>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</si>
  <si>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</si>
  <si>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</si>
  <si>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</si>
  <si>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</si>
  <si>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</si>
  <si>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</si>
  <si>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</si>
  <si>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</si>
  <si>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</si>
  <si>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</si>
  <si>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</si>
  <si>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</si>
  <si>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</si>
  <si>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</si>
  <si>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</si>
  <si>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</si>
  <si>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</si>
  <si>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</si>
  <si>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</si>
  <si>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</si>
  <si>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</si>
  <si>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</si>
  <si>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</si>
  <si>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</si>
  <si>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</si>
  <si>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</si>
  <si>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</si>
  <si>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</si>
  <si>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</si>
  <si>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</si>
  <si>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</si>
  <si>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</si>
  <si>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</si>
  <si>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</si>
  <si>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</si>
  <si>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</si>
  <si>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</si>
  <si>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</si>
  <si>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</si>
  <si>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</si>
  <si>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</si>
  <si>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</si>
  <si>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</si>
  <si>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</si>
  <si>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</si>
  <si>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</si>
  <si>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</si>
  <si>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</si>
  <si>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</si>
  <si>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</si>
  <si>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</si>
  <si>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</si>
  <si>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</si>
  <si>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</si>
  <si>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</si>
  <si>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</si>
  <si>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</si>
  <si>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</si>
  <si>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</si>
  <si>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</si>
  <si>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</si>
  <si>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</si>
  <si>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</si>
  <si>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</si>
  <si>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</si>
  <si>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</si>
  <si>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</si>
  <si>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</si>
  <si>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</si>
  <si>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</si>
  <si>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</si>
  <si>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</si>
  <si>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</si>
  <si>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</si>
  <si>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</si>
  <si>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</si>
  <si>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</si>
  <si>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</si>
  <si>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</si>
  <si>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</si>
  <si>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</si>
  <si>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</si>
  <si>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</si>
  <si>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</si>
  <si>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</si>
  <si>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</si>
  <si>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</si>
  <si>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</si>
  <si>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</si>
  <si>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</si>
  <si>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</si>
  <si>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</si>
  <si>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</si>
  <si>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</si>
  <si>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</si>
  <si>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</si>
  <si>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</si>
  <si>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</si>
  <si>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</si>
  <si>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</si>
  <si>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</si>
  <si>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</si>
  <si>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</si>
  <si>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</si>
  <si>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</si>
  <si>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</si>
  <si>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</si>
  <si>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</si>
  <si>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</si>
  <si>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</si>
  <si>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</si>
  <si>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</si>
  <si>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</si>
  <si>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</si>
  <si>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</si>
  <si>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</si>
  <si>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</si>
  <si>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</si>
  <si>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</si>
  <si>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</si>
  <si>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</si>
  <si>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</si>
  <si>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</si>
  <si>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</si>
  <si>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</si>
  <si>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</si>
  <si>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</si>
  <si>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</si>
  <si>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</si>
  <si>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</si>
  <si>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</si>
  <si>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</si>
  <si>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</si>
  <si>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</si>
  <si>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</si>
  <si>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</si>
  <si>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</si>
  <si>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</si>
  <si>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</si>
  <si>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</si>
  <si>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</si>
  <si>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</si>
  <si>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</si>
  <si>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</si>
  <si>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</si>
  <si>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</si>
  <si>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</si>
  <si>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</si>
  <si>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</si>
  <si>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</si>
  <si>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</si>
  <si>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</si>
  <si>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</si>
  <si>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</si>
  <si>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NOT UNDER</t>
  </si>
  <si>
    <t>LIMAX</t>
  </si>
  <si>
    <t>ANTISTATIC</t>
  </si>
  <si>
    <t>ABL</t>
  </si>
  <si>
    <t>MUST BE COMPLETED BY 30TH JULY - NO DOLPHIN PLASTICS ON LABELS!!!! MUST BE PLAIN LABELS FOR CUSTOMER TO ON-SELL</t>
  </si>
  <si>
    <t>(600+320)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</si>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</sst>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8" fillId="5" borderId="3" xfId="0" applyFont="1" applyFill="1" applyBorder="1" applyAlignment="1" applyProtection="1">
      <alignment horizontal="center" vertical="center" wrapText="1"/>
      <protection locked="0"/>
    </xf>
    <xf numFmtId="0" fontId="18" fillId="5" borderId="8" xfId="0" applyFont="1" applyFill="1" applyBorder="1" applyAlignment="1" applyProtection="1">
      <alignment horizontal="center" vertical="center" wrapText="1"/>
      <protection locked="0"/>
    </xf>
    <xf numFmtId="0" fontId="18" fillId="5" borderId="9" xfId="0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Border="1" applyAlignment="1" applyProtection="1">
      <alignment horizontal="center" vertical="center" wrapText="1"/>
      <protection locked="0"/>
    </xf>
    <xf numFmtId="0" fontId="18" fillId="5" borderId="10" xfId="0" applyFont="1" applyFill="1" applyBorder="1" applyAlignment="1" applyProtection="1">
      <alignment horizontal="center" vertical="center" wrapText="1"/>
      <protection locked="0"/>
    </xf>
    <xf numFmtId="0" fontId="18" fillId="5" borderId="11" xfId="0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 wrapText="1"/>
      <protection locked="0"/>
    </xf>
    <xf numFmtId="0" fontId="18" fillId="5" borderId="12" xfId="0" applyFont="1" applyFill="1" applyBorder="1" applyAlignment="1" applyProtection="1">
      <alignment horizontal="center" vertical="center" wrapText="1"/>
      <protection locked="0"/>
    </xf>
    <xf numFmtId="9" fontId="17" fillId="0" borderId="2" xfId="0" applyNumberFormat="1" applyFont="1" applyBorder="1" applyAlignment="1" applyProtection="1">
      <alignment horizontal="center"/>
      <protection locked="0"/>
    </xf>
    <xf numFmtId="0" fontId="17" fillId="0" borderId="2" xfId="0" applyNumberFormat="1" applyFont="1" applyBorder="1" applyAlignment="1" applyProtection="1">
      <alignment horizontal="center"/>
      <protection locked="0"/>
    </xf>
    <xf numFmtId="0" fontId="17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6" fillId="0" borderId="3" xfId="2" applyFont="1" applyBorder="1" applyAlignment="1" applyProtection="1">
      <alignment horizontal="left" vertical="top"/>
      <protection locked="0"/>
    </xf>
    <xf numFmtId="0" fontId="16" fillId="0" borderId="8" xfId="2" applyFont="1" applyBorder="1" applyAlignment="1" applyProtection="1">
      <alignment horizontal="left" vertical="top"/>
      <protection locked="0"/>
    </xf>
    <xf numFmtId="0" fontId="16" fillId="0" borderId="9" xfId="2" applyFont="1" applyBorder="1" applyAlignment="1" applyProtection="1">
      <alignment horizontal="left" vertical="top"/>
      <protection locked="0"/>
    </xf>
    <xf numFmtId="0" fontId="16" fillId="0" borderId="0" xfId="2" applyFont="1" applyBorder="1" applyAlignment="1" applyProtection="1">
      <alignment horizontal="left" vertical="top"/>
      <protection locked="0"/>
    </xf>
    <xf numFmtId="0" fontId="16" fillId="0" borderId="10" xfId="2" applyFont="1" applyBorder="1" applyAlignment="1" applyProtection="1">
      <alignment horizontal="left" vertical="top"/>
      <protection locked="0"/>
    </xf>
    <xf numFmtId="0" fontId="16" fillId="0" borderId="11" xfId="2" applyFont="1" applyBorder="1" applyAlignment="1" applyProtection="1">
      <alignment horizontal="left" vertical="top"/>
      <protection locked="0"/>
    </xf>
    <xf numFmtId="0" fontId="16" fillId="0" borderId="1" xfId="2" applyFont="1" applyBorder="1" applyAlignment="1" applyProtection="1">
      <alignment horizontal="left" vertical="top"/>
      <protection locked="0"/>
    </xf>
    <xf numFmtId="0" fontId="16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Z13" sqref="Z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PB920720100BTAS</v>
      </c>
      <c r="C1" s="123"/>
      <c r="D1" s="124"/>
      <c r="E1" s="12" t="s">
        <v>57</v>
      </c>
      <c r="F1" s="134" t="s">
        <v>198</v>
      </c>
      <c r="G1" s="135"/>
      <c r="H1" s="136"/>
      <c r="I1" s="13" t="s">
        <v>181</v>
      </c>
      <c r="J1" s="96">
        <f ca="1">TODAY()</f>
        <v>44417</v>
      </c>
      <c r="K1" s="96"/>
      <c r="L1" s="97"/>
      <c r="M1" s="34"/>
      <c r="N1" s="12" t="s">
        <v>56</v>
      </c>
      <c r="O1" s="123" t="str">
        <f>B1</f>
        <v>PB920720100BTAS</v>
      </c>
      <c r="P1" s="123"/>
      <c r="Q1" s="124"/>
      <c r="R1" s="12" t="s">
        <v>57</v>
      </c>
      <c r="S1" s="123" t="str">
        <f>F1</f>
        <v>ABL</v>
      </c>
      <c r="T1" s="123"/>
      <c r="U1" s="124"/>
      <c r="V1" s="12" t="s">
        <v>181</v>
      </c>
      <c r="W1" s="96">
        <f ca="1">J1</f>
        <v>44417</v>
      </c>
      <c r="X1" s="96"/>
      <c r="Y1" s="9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99">
        <v>940786</v>
      </c>
      <c r="G2" s="99"/>
      <c r="H2" s="100"/>
      <c r="I2" s="12" t="s">
        <v>59</v>
      </c>
      <c r="J2" s="98">
        <v>44407</v>
      </c>
      <c r="K2" s="99"/>
      <c r="L2" s="100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940786</v>
      </c>
      <c r="T2" s="123"/>
      <c r="U2" s="124"/>
      <c r="V2" s="12" t="s">
        <v>59</v>
      </c>
      <c r="W2" s="137">
        <f>J2</f>
        <v>44407</v>
      </c>
      <c r="X2" s="123"/>
      <c r="Y2" s="124"/>
    </row>
    <row r="3" spans="1:28" ht="20.100000000000001" customHeight="1" x14ac:dyDescent="0.25">
      <c r="A3" s="125" t="s">
        <v>199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BE COMPLETED BY 30TH JULY - NO DOLPHIN PLASTICS ON LABELS!!!! MUST BE PLAIN LABELS FOR CUSTOMER TO ON-SELL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00000000000001" customHeight="1" x14ac:dyDescent="0.3">
      <c r="A7" s="12" t="s">
        <v>49</v>
      </c>
      <c r="B7" s="120" t="s">
        <v>159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9">
        <v>48</v>
      </c>
      <c r="P7" s="100"/>
      <c r="Q7" s="12" t="str">
        <f>IF(ISNUMBER(SEARCH("roll",O8,1)),"Per Roll","Per Carton")</f>
        <v>Per Carton</v>
      </c>
      <c r="R7" s="99">
        <v>125</v>
      </c>
      <c r="S7" s="100"/>
      <c r="T7" s="12" t="str">
        <f>IF(ISNUMBER(SEARCH("bag",O8,1)),"Total Bags","Total Sheets")</f>
        <v>Total Bags</v>
      </c>
      <c r="U7" s="123">
        <f>R7*O7</f>
        <v>6000</v>
      </c>
      <c r="V7" s="124"/>
      <c r="W7" s="12" t="s">
        <v>102</v>
      </c>
      <c r="X7" s="99" t="s">
        <v>23</v>
      </c>
      <c r="Y7" s="100"/>
      <c r="AB7" s="14"/>
    </row>
    <row r="8" spans="1:28" ht="20.100000000000001" customHeight="1" x14ac:dyDescent="0.25">
      <c r="A8" s="15" t="s">
        <v>16</v>
      </c>
      <c r="B8" s="101">
        <f>R9</f>
        <v>920</v>
      </c>
      <c r="C8" s="102"/>
      <c r="D8" s="32" t="str">
        <f>IF(ISNUMBER(SEARCH("bag",O8,1)),"Gusset","Centrefold")</f>
        <v>Gusset</v>
      </c>
      <c r="E8" s="101" t="s">
        <v>200</v>
      </c>
      <c r="F8" s="102"/>
      <c r="G8" s="15" t="s">
        <v>52</v>
      </c>
      <c r="H8" s="101">
        <f>(IF(V9&lt;30,"30",V9))</f>
        <v>100</v>
      </c>
      <c r="I8" s="102"/>
      <c r="J8" s="12" t="s">
        <v>54</v>
      </c>
      <c r="K8" s="123">
        <f>IF(X8="None","Layflat Tube",IF(X8="","Layflat Tube",IF(X8="CF","Layflat Tube",IF(X8="G","Gusset Tube",IF(X9="","Layflat Tube",)))))</f>
        <v>0</v>
      </c>
      <c r="L8" s="124"/>
      <c r="M8" s="34"/>
      <c r="N8" s="16" t="s">
        <v>54</v>
      </c>
      <c r="O8" s="140" t="s">
        <v>164</v>
      </c>
      <c r="P8" s="14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8" t="s">
        <v>200</v>
      </c>
      <c r="Y8" s="139"/>
    </row>
    <row r="9" spans="1:28" ht="20.100000000000001" customHeight="1" x14ac:dyDescent="0.3">
      <c r="A9" s="18" t="s">
        <v>48</v>
      </c>
      <c r="B9" s="111" t="s">
        <v>194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195</v>
      </c>
      <c r="I9" s="112"/>
      <c r="J9" s="12" t="s">
        <v>55</v>
      </c>
      <c r="K9" s="99" t="s">
        <v>30</v>
      </c>
      <c r="L9" s="100"/>
      <c r="M9" s="34"/>
      <c r="N9" s="19"/>
      <c r="O9" s="142" t="str">
        <f>IF(O8="Poly Bag","PB",IF(O8="Poly Bag Roll","PBR",IF(O8="Centrefold Roll","CFR",IF(O8="Sheet","S",IF(O8="Sheet Roll","SR")))))</f>
        <v>PB</v>
      </c>
      <c r="P9" s="143"/>
      <c r="Q9" s="19"/>
      <c r="R9" s="35">
        <v>920</v>
      </c>
      <c r="S9" s="20" t="s">
        <v>78</v>
      </c>
      <c r="T9" s="70">
        <v>720</v>
      </c>
      <c r="U9" s="20" t="s">
        <v>78</v>
      </c>
      <c r="V9" s="35">
        <v>100</v>
      </c>
      <c r="W9" s="19"/>
      <c r="X9" s="153" t="s">
        <v>201</v>
      </c>
      <c r="Y9" s="154"/>
    </row>
    <row r="10" spans="1:28" ht="20.100000000000001" customHeight="1" x14ac:dyDescent="0.25">
      <c r="A10" s="12" t="s">
        <v>51</v>
      </c>
      <c r="B10" s="99">
        <v>20</v>
      </c>
      <c r="C10" s="100"/>
      <c r="D10" s="54" t="s">
        <v>134</v>
      </c>
      <c r="E10" s="113">
        <f>IF(ISNUMBER(SEARCH("sheet",O8,1)),((R9*T9*H8/540000)*U7/2000*1.3),((R9*T9*H8/540000)*U7/1000*1.08))</f>
        <v>794.88000000000011</v>
      </c>
      <c r="F10" s="114"/>
      <c r="G10" s="12" t="s">
        <v>53</v>
      </c>
      <c r="H10" s="117">
        <f>IF(ISNUMBER(SEARCH("sheet",O8,1)),(U7*T9/2000*1.08),(U7*T9/1000*1.08))</f>
        <v>4665.6000000000004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40" t="s">
        <v>44</v>
      </c>
      <c r="P10" s="141"/>
      <c r="Q10" s="16" t="s">
        <v>50</v>
      </c>
      <c r="R10" s="138" t="str">
        <f>IF(K11="NONE","None",IF(K11="INLINE","Yes",IF(K11="OUT OF LINE","Yes")))</f>
        <v>None</v>
      </c>
      <c r="S10" s="138"/>
      <c r="T10" s="16" t="s">
        <v>100</v>
      </c>
      <c r="U10" s="145"/>
      <c r="V10" s="145"/>
      <c r="W10" s="145"/>
      <c r="X10" s="145"/>
      <c r="Y10" s="146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39.744000000000007</v>
      </c>
      <c r="F11" s="116"/>
      <c r="G11" s="12" t="s">
        <v>15</v>
      </c>
      <c r="H11" s="115">
        <f>H10/B10</f>
        <v>233.28000000000003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47"/>
      <c r="V11" s="147"/>
      <c r="W11" s="147"/>
      <c r="X11" s="147"/>
      <c r="Y11" s="148"/>
    </row>
    <row r="12" spans="1:28" ht="20.100000000000001" customHeight="1" x14ac:dyDescent="0.2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44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00000000000001" customHeight="1" x14ac:dyDescent="0.25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48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/>
      <c r="X13" s="12" t="s">
        <v>76</v>
      </c>
      <c r="Y13" s="37"/>
    </row>
    <row r="14" spans="1:28" ht="20.100000000000001" customHeight="1" x14ac:dyDescent="0.3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44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00000000000001" customHeight="1" x14ac:dyDescent="0.2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169</v>
      </c>
      <c r="P16" s="100"/>
      <c r="Q16" s="12" t="s">
        <v>105</v>
      </c>
      <c r="R16" s="99" t="s">
        <v>23</v>
      </c>
      <c r="S16" s="100"/>
      <c r="T16" s="13" t="s">
        <v>103</v>
      </c>
      <c r="U16" s="111" t="s">
        <v>23</v>
      </c>
      <c r="V16" s="112"/>
      <c r="W16" s="12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37"/>
      <c r="I17" s="94"/>
      <c r="J17" s="95"/>
      <c r="K17" s="94"/>
      <c r="L17" s="95"/>
      <c r="M17" s="34"/>
      <c r="N17" s="12" t="s">
        <v>26</v>
      </c>
      <c r="O17" s="99" t="s">
        <v>37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111" t="s">
        <v>23</v>
      </c>
      <c r="V17" s="112"/>
      <c r="W17" s="12" t="str">
        <f>IF(ISNUMBER(SEARCH("roll",O8,1)),"Total Rolls","Total Ctns")</f>
        <v>Total Ctns</v>
      </c>
      <c r="X17" s="159"/>
      <c r="Y17" s="160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37"/>
      <c r="I18" s="94"/>
      <c r="J18" s="95"/>
      <c r="K18" s="94"/>
      <c r="L18" s="95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59"/>
      <c r="Y18" s="160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37"/>
      <c r="I19" s="94"/>
      <c r="J19" s="95"/>
      <c r="K19" s="94"/>
      <c r="L19" s="95"/>
      <c r="M19" s="34"/>
      <c r="N19" s="161" t="s">
        <v>116</v>
      </c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3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37"/>
      <c r="I20" s="94"/>
      <c r="J20" s="95"/>
      <c r="K20" s="94"/>
      <c r="L20" s="95"/>
      <c r="M20" s="34"/>
      <c r="N20" s="164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6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94"/>
      <c r="J21" s="95"/>
      <c r="K21" s="94"/>
      <c r="L21" s="95"/>
      <c r="M21" s="34"/>
      <c r="N21" s="164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6"/>
    </row>
    <row r="22" spans="1:25" ht="20.100000000000001" customHeight="1" x14ac:dyDescent="0.25">
      <c r="A22" s="86" t="str">
        <f>(IF(B7="NATURAL","",B7))</f>
        <v>BLUE TINT</v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90"/>
      <c r="E22" s="94">
        <v>2</v>
      </c>
      <c r="F22" s="95"/>
      <c r="G22" s="56" t="s">
        <v>86</v>
      </c>
      <c r="H22" s="37"/>
      <c r="I22" s="94"/>
      <c r="J22" s="95"/>
      <c r="K22" s="94"/>
      <c r="L22" s="95"/>
      <c r="M22" s="34"/>
      <c r="N22" s="167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9"/>
    </row>
    <row r="23" spans="1:25" ht="20.100000000000001" customHeight="1" x14ac:dyDescent="0.25">
      <c r="A23" s="91" t="s">
        <v>197</v>
      </c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0"/>
      <c r="E23" s="94">
        <v>1</v>
      </c>
      <c r="F23" s="95"/>
      <c r="G23" s="56" t="s">
        <v>87</v>
      </c>
      <c r="H23" s="37"/>
      <c r="I23" s="94"/>
      <c r="J23" s="95"/>
      <c r="K23" s="94"/>
      <c r="L23" s="95"/>
      <c r="M23" s="34"/>
      <c r="N23" s="144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94"/>
      <c r="J24" s="95"/>
      <c r="K24" s="94"/>
      <c r="L24" s="95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 t="s">
        <v>196</v>
      </c>
      <c r="P25" s="39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8" t="s">
        <v>132</v>
      </c>
      <c r="H26" s="158"/>
      <c r="I26" s="158" t="s">
        <v>131</v>
      </c>
      <c r="J26" s="158"/>
      <c r="K26" s="28" t="s">
        <v>94</v>
      </c>
      <c r="L26" s="28" t="s">
        <v>95</v>
      </c>
      <c r="M26" s="34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44448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44438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4E94267-A29D-4AE6-8D61-3F942C4CAEFE}"/>
</file>

<file path=customXml/itemProps2.xml><?xml version="1.0" encoding="utf-8"?>
<ds:datastoreItem xmlns:ds="http://schemas.openxmlformats.org/officeDocument/2006/customXml" ds:itemID="{98A9CF98-4FD5-4ABF-859F-F78E3F20C8D9}"/>
</file>

<file path=customXml/itemProps3.xml><?xml version="1.0" encoding="utf-8"?>
<ds:datastoreItem xmlns:ds="http://schemas.openxmlformats.org/officeDocument/2006/customXml" ds:itemID="{1FC4127F-EEE3-4090-90CE-39EA2EBD0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2021-07-09T03:47:57Z</cp:lastPrinted>
  <dcterms:created xsi:type="dcterms:W3CDTF">2019-11-27T23:28:06Z</dcterms:created>
  <dcterms:modified xsi:type="dcterms:W3CDTF">2021-08-09T05:29:43Z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