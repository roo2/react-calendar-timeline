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5A6716B-1D3D-46F4-A7DA-294715C0D1D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N3" i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D9" i="1" l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<sst xmlns="http://schemas.openxmlformats.org/spreadsheetml/2006/main" count="301" uniqueCount="199">
  <si>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</si>
  <si>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</si>
  <si>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</si>
  <si>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</si>
  <si>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</si>
  <si>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</si>
  <si>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</si>
  <si>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</si>
  <si>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</si>
  <si>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</si>
  <si>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</si>
  <si>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</si>
  <si>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</si>
  <si>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</si>
  <si>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</si>
  <si>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</si>
  <si>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</si>
  <si>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</si>
  <si>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</si>
  <si>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</si>
  <si>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</si>
  <si>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</si>
  <si>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</si>
  <si>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</si>
  <si>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</si>
  <si>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</si>
  <si>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</si>
  <si>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</si>
  <si>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</si>
  <si>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</si>
  <si>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</si>
  <si>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</si>
  <si>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</si>
  <si>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</si>
  <si>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</si>
  <si>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</si>
  <si>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</si>
  <si>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</si>
  <si>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</si>
  <si>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</si>
  <si>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</si>
  <si>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</si>
  <si>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</si>
  <si>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</si>
  <si>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</si>
  <si>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</si>
  <si>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</si>
  <si>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</si>
  <si>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</si>
  <si>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</si>
  <si>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</si>
  <si>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</si>
  <si>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</si>
  <si>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</si>
  <si>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</si>
  <si>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</si>
  <si>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</si>
  <si>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</si>
  <si>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</si>
  <si>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</si>
  <si>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</si>
  <si>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</si>
  <si>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</si>
  <si>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</si>
  <si>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</si>
  <si>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</si>
  <si>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</si>
  <si>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</si>
  <si>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</si>
  <si>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</si>
  <si>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</si>
  <si>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</si>
  <si>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</si>
  <si>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</si>
  <si>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</si>
  <si>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</si>
  <si>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</si>
  <si>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</si>
  <si>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</si>
  <si>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</si>
  <si>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</si>
  <si>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</si>
  <si>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</si>
  <si>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</si>
  <si>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</si>
  <si>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</si>
  <si>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</si>
  <si>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</si>
  <si>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</si>
  <si>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</si>
  <si>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</si>
  <si>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</si>
  <si>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</si>
  <si>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</si>
  <si>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</si>
  <si>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</si>
  <si>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</si>
  <si>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</si>
  <si>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</si>
  <si>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</si>
  <si>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</si>
  <si>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</si>
  <si>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</si>
  <si>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</si>
  <si>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</si>
  <si>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</si>
  <si>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</si>
  <si>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</si>
  <si>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</si>
  <si>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</si>
  <si>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</si>
  <si>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</si>
  <si>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</si>
  <si>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</si>
  <si>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</si>
  <si>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</si>
  <si>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</si>
  <si>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</si>
  <si>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</si>
  <si>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</si>
  <si>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</si>
  <si>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</si>
  <si>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</si>
  <si>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</si>
  <si>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</si>
  <si>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</si>
  <si>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</si>
  <si>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</si>
  <si>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</si>
  <si>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</si>
  <si>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</si>
  <si>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</si>
  <si>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</si>
  <si>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</si>
  <si>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</si>
  <si>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</si>
  <si>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</si>
  <si>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</si>
  <si>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</si>
  <si>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</si>
  <si>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</si>
  <si>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</si>
  <si>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</si>
  <si>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</si>
  <si>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</si>
  <si>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</si>
  <si>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</si>
  <si>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</si>
  <si>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</si>
  <si>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</si>
  <si>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</si>
  <si>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</si>
  <si>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</si>
  <si>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</si>
  <si>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</si>
  <si>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</si>
  <si>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</si>
  <si>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</si>
  <si>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</si>
  <si>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</si>
  <si>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</si>
  <si>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</si>
  <si>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</si>
  <si>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</si>
  <si>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</si>
  <si>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</si>
  <si>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</si>
  <si>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</si>
  <si>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</si>
  <si>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</si>
  <si>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</si>
  <si>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</si>
  <si>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</si>
  <si>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</si>
  <si>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</si>
  <si>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</si>
  <si>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</si>
  <si>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</si>
  <si>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</si>
  <si>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</si>
  <si>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</si>
  <si>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</si>
  <si>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</si>
  <si>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</si>
  <si>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</si>
  <si>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</si>
  <si>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</si>
  <si>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</si>
  <si>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</si>
  <si>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</si>
  <si>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</si>
  <si>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</si>
  <si>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</si>
  <si>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</si>
  <si>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</si>
  <si>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UNDER</t>
  </si>
  <si>
    <t>NEW ITEM - PLEASE ENSURE NO CREASING AND GOOD CLARITY- NO STATIC IN BAGS</t>
  </si>
  <si>
    <t>ANTISTATIC</t>
  </si>
  <si>
    <t>BK CREATIVE CABINETS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</si>
</sst>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15" fillId="5" borderId="4" xfId="0" applyNumberFormat="1" applyFont="1" applyFill="1" applyBorder="1" applyAlignment="1" applyProtection="1">
      <alignment horizontal="center"/>
      <protection locked="0"/>
    </xf>
    <xf numFmtId="10" fontId="15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center"/>
    </xf>
    <xf numFmtId="0" fontId="15" fillId="5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H18" sqref="AH18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10" t="str">
        <f>O9&amp;R9&amp;IF(X8="G","G","")&amp;IF(O8="Centrefold Roll","("&amp;E8&amp;")","")&amp;T9&amp;V9&amp;C22&amp;C23&amp;C24&amp;O11&amp;R11</f>
        <v>PBR8001300100AS</v>
      </c>
      <c r="C1" s="110"/>
      <c r="D1" s="111"/>
      <c r="E1" s="18" t="s">
        <v>56</v>
      </c>
      <c r="F1" s="124" t="s">
        <v>198</v>
      </c>
      <c r="G1" s="124"/>
      <c r="H1" s="125"/>
      <c r="I1" s="18" t="s">
        <v>180</v>
      </c>
      <c r="J1" s="121">
        <f ca="1">TODAY()</f>
        <v>44340</v>
      </c>
      <c r="K1" s="121"/>
      <c r="L1" s="122"/>
      <c r="M1" s="35"/>
      <c r="N1" s="18" t="s">
        <v>55</v>
      </c>
      <c r="O1" s="110" t="str">
        <f>B1</f>
        <v>PBR8001300100AS</v>
      </c>
      <c r="P1" s="110"/>
      <c r="Q1" s="111"/>
      <c r="R1" s="18" t="s">
        <v>56</v>
      </c>
      <c r="S1" s="110" t="str">
        <f>F1</f>
        <v>BK CREATIVE CABINETS</v>
      </c>
      <c r="T1" s="110"/>
      <c r="U1" s="111"/>
      <c r="V1" s="18" t="s">
        <v>180</v>
      </c>
      <c r="W1" s="121">
        <f ca="1">J1</f>
        <v>44340</v>
      </c>
      <c r="X1" s="121"/>
      <c r="Y1" s="122"/>
    </row>
    <row r="2" spans="1:25" ht="20.100000000000001" customHeight="1" x14ac:dyDescent="0.25">
      <c r="A2" s="18" t="s">
        <v>99</v>
      </c>
      <c r="B2" s="110" t="str">
        <f>IF(U10="","",U10)</f>
        <v/>
      </c>
      <c r="C2" s="110"/>
      <c r="D2" s="111"/>
      <c r="E2" s="18" t="s">
        <v>57</v>
      </c>
      <c r="F2" s="71">
        <v>940401</v>
      </c>
      <c r="G2" s="71"/>
      <c r="H2" s="72"/>
      <c r="I2" s="18" t="s">
        <v>58</v>
      </c>
      <c r="J2" s="133">
        <v>44371</v>
      </c>
      <c r="K2" s="71"/>
      <c r="L2" s="72"/>
      <c r="M2" s="35"/>
      <c r="N2" s="18" t="s">
        <v>99</v>
      </c>
      <c r="O2" s="110" t="str">
        <f>IF(B2="","",B2)</f>
        <v/>
      </c>
      <c r="P2" s="110"/>
      <c r="Q2" s="111"/>
      <c r="R2" s="18" t="s">
        <v>57</v>
      </c>
      <c r="S2" s="110">
        <f>IF(F2="","",F2)</f>
        <v>940401</v>
      </c>
      <c r="T2" s="110"/>
      <c r="U2" s="111"/>
      <c r="V2" s="18" t="s">
        <v>58</v>
      </c>
      <c r="W2" s="123">
        <f>J2</f>
        <v>44371</v>
      </c>
      <c r="X2" s="110"/>
      <c r="Y2" s="111"/>
    </row>
    <row r="3" spans="1:25" ht="20.100000000000001" customHeight="1" x14ac:dyDescent="0.25">
      <c r="A3" s="112" t="s">
        <v>196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35"/>
      <c r="N3" s="112" t="str">
        <f>A3</f>
        <v>NEW ITEM - PLEASE ENSURE NO CREASING AND GOOD CLARITY- NO STATIC IN BAGS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35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35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44" t="s">
        <v>1</v>
      </c>
      <c r="B6" s="145"/>
      <c r="C6" s="145"/>
      <c r="D6" s="145"/>
      <c r="E6" s="145"/>
      <c r="F6" s="145"/>
      <c r="G6" s="145"/>
      <c r="H6" s="145"/>
      <c r="I6" s="145"/>
      <c r="J6" s="90"/>
      <c r="K6" s="90"/>
      <c r="L6" s="91"/>
      <c r="M6" s="35"/>
      <c r="N6" s="128" t="s">
        <v>1</v>
      </c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30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101" t="s">
        <v>178</v>
      </c>
      <c r="K7" s="101"/>
      <c r="L7" s="102"/>
      <c r="M7" s="35"/>
      <c r="N7" s="18" t="str">
        <f>IF(ISNUMBER(SEARCH("roll",O8,1)),"No. Rolls","No. Cartons")</f>
        <v>No. Rolls</v>
      </c>
      <c r="O7" s="71">
        <v>3</v>
      </c>
      <c r="P7" s="72"/>
      <c r="Q7" s="18" t="str">
        <f>IF(ISNUMBER(SEARCH("roll",O8,1)),"Per Roll","Per Carton")</f>
        <v>Per Roll</v>
      </c>
      <c r="R7" s="71">
        <v>100</v>
      </c>
      <c r="S7" s="72"/>
      <c r="T7" s="18" t="str">
        <f>IF(ISNUMBER(SEARCH("bag",O8,1)),"Total Bags","Total Sheets")</f>
        <v>Total Bags</v>
      </c>
      <c r="U7" s="110">
        <f>R7*O7</f>
        <v>300</v>
      </c>
      <c r="V7" s="111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31">
        <f>R9</f>
        <v>800</v>
      </c>
      <c r="C8" s="132"/>
      <c r="D8" s="22" t="str">
        <f>IF(ISNUMBER(SEARCH("bag",#REF!,1)),"Gusset","Centrefold")</f>
        <v>Centrefold</v>
      </c>
      <c r="E8" s="131" t="str">
        <f>IF(O8="Centrefold Roll",B8*2,IF(X9="","None",X9))</f>
        <v>None</v>
      </c>
      <c r="F8" s="132"/>
      <c r="G8" s="19" t="s">
        <v>51</v>
      </c>
      <c r="H8" s="131">
        <f>(IF(V9&lt;30,"30",V9))</f>
        <v>100</v>
      </c>
      <c r="I8" s="132"/>
      <c r="J8" s="18" t="s">
        <v>53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35"/>
      <c r="N8" s="20" t="s">
        <v>53</v>
      </c>
      <c r="O8" s="140" t="s">
        <v>164</v>
      </c>
      <c r="P8" s="141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None</v>
      </c>
      <c r="Y8" s="127"/>
    </row>
    <row r="9" spans="1:25" ht="20.100000000000001" customHeight="1" x14ac:dyDescent="0.3">
      <c r="A9" s="23" t="s">
        <v>47</v>
      </c>
      <c r="B9" s="146" t="s">
        <v>194</v>
      </c>
      <c r="C9" s="147"/>
      <c r="D9" s="109" t="str">
        <f>IF(K10="Middle","RUN 2 UP",IF(AND(O8="Centrefold Roll",B8=380),"RUN 2 UP",""))</f>
        <v/>
      </c>
      <c r="E9" s="78"/>
      <c r="F9" s="79"/>
      <c r="G9" s="23" t="s">
        <v>47</v>
      </c>
      <c r="H9" s="146" t="s">
        <v>195</v>
      </c>
      <c r="I9" s="147"/>
      <c r="J9" s="18" t="s">
        <v>54</v>
      </c>
      <c r="K9" s="71" t="s">
        <v>33</v>
      </c>
      <c r="L9" s="72"/>
      <c r="M9" s="35"/>
      <c r="N9" s="24"/>
      <c r="O9" s="154" t="str">
        <f>IF(O8="Poly Bag","PB",IF(O8="Poly Bag Roll","PBR",IF(O8="Centrefold Roll","CFR",IF(O8="Sheet","S",IF(O8="Sheet Roll","SR")))))</f>
        <v>PBR</v>
      </c>
      <c r="P9" s="155"/>
      <c r="Q9" s="24"/>
      <c r="R9" s="36">
        <v>800</v>
      </c>
      <c r="S9" s="25" t="s">
        <v>77</v>
      </c>
      <c r="T9" s="36">
        <v>1300</v>
      </c>
      <c r="U9" s="25" t="s">
        <v>77</v>
      </c>
      <c r="V9" s="36">
        <v>100</v>
      </c>
      <c r="W9" s="24"/>
      <c r="X9" s="138"/>
      <c r="Y9" s="139"/>
    </row>
    <row r="10" spans="1:25" ht="20.100000000000001" customHeight="1" x14ac:dyDescent="0.25">
      <c r="A10" s="18" t="s">
        <v>50</v>
      </c>
      <c r="B10" s="71">
        <v>3</v>
      </c>
      <c r="C10" s="72"/>
      <c r="D10" s="56" t="s">
        <v>133</v>
      </c>
      <c r="E10" s="148">
        <f>IF(ISNUMBER(SEARCH("sheet",O8,1)),((R9*T9*H8/540000)*U7/2000*1.3),((R9*T9*H8/540000)*U7/1000*1.08))</f>
        <v>62.4</v>
      </c>
      <c r="F10" s="149"/>
      <c r="G10" s="18" t="s">
        <v>52</v>
      </c>
      <c r="H10" s="152">
        <f>IF(ISNUMBER(SEARCH("sheet",O8,1)),(U7*T9/2000*1.08),(U7*T9/1000*1.08))</f>
        <v>421.20000000000005</v>
      </c>
      <c r="I10" s="153"/>
      <c r="J10" s="18" t="s">
        <v>40</v>
      </c>
      <c r="K10" s="71" t="s">
        <v>43</v>
      </c>
      <c r="L10" s="72"/>
      <c r="M10" s="35"/>
      <c r="N10" s="26" t="s">
        <v>140</v>
      </c>
      <c r="O10" s="140" t="s">
        <v>43</v>
      </c>
      <c r="P10" s="141"/>
      <c r="Q10" s="20" t="s">
        <v>49</v>
      </c>
      <c r="R10" s="126" t="str">
        <f>IF(K11="NONE","None",IF(K11="INLINE","Yes",IF(K11="OUT OF LINE","Yes")))</f>
        <v>None</v>
      </c>
      <c r="S10" s="126"/>
      <c r="T10" s="20" t="s">
        <v>99</v>
      </c>
      <c r="U10" s="134"/>
      <c r="V10" s="134"/>
      <c r="W10" s="134"/>
      <c r="X10" s="134"/>
      <c r="Y10" s="135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8" t="s">
        <v>134</v>
      </c>
      <c r="E11" s="150">
        <f>E10/B10</f>
        <v>20.8</v>
      </c>
      <c r="F11" s="151"/>
      <c r="G11" s="18" t="s">
        <v>14</v>
      </c>
      <c r="H11" s="150">
        <f>H10/B10</f>
        <v>140.4</v>
      </c>
      <c r="I11" s="151"/>
      <c r="J11" s="18" t="s">
        <v>49</v>
      </c>
      <c r="K11" s="71" t="s">
        <v>43</v>
      </c>
      <c r="L11" s="72"/>
      <c r="M11" s="35"/>
      <c r="N11" s="19"/>
      <c r="O11" s="131" t="str">
        <f>IF(O10="NONE","","V")</f>
        <v/>
      </c>
      <c r="P11" s="132"/>
      <c r="Q11" s="19"/>
      <c r="R11" s="131" t="str">
        <f>IF(R10="None","","P")</f>
        <v/>
      </c>
      <c r="S11" s="131"/>
      <c r="T11" s="19"/>
      <c r="U11" s="136"/>
      <c r="V11" s="136"/>
      <c r="W11" s="136"/>
      <c r="X11" s="136"/>
      <c r="Y11" s="137"/>
    </row>
    <row r="12" spans="1:25" ht="20.100000000000001" customHeight="1" x14ac:dyDescent="0.25">
      <c r="A12" s="142" t="s">
        <v>12</v>
      </c>
      <c r="B12" s="143"/>
      <c r="C12" s="143"/>
      <c r="D12" s="143"/>
      <c r="E12" s="107"/>
      <c r="F12" s="107"/>
      <c r="G12" s="107"/>
      <c r="H12" s="107"/>
      <c r="I12" s="107"/>
      <c r="J12" s="107"/>
      <c r="K12" s="107"/>
      <c r="L12" s="108"/>
      <c r="M12" s="35"/>
      <c r="N12" s="103" t="s">
        <v>70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5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3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6" t="s">
        <v>181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8"/>
      <c r="M15" s="35"/>
      <c r="N15" s="100" t="s">
        <v>107</v>
      </c>
      <c r="O15" s="101"/>
      <c r="P15" s="102"/>
      <c r="Q15" s="100" t="s">
        <v>106</v>
      </c>
      <c r="R15" s="101"/>
      <c r="S15" s="102"/>
      <c r="T15" s="100" t="s">
        <v>117</v>
      </c>
      <c r="U15" s="101"/>
      <c r="V15" s="102"/>
      <c r="W15" s="100" t="s">
        <v>116</v>
      </c>
      <c r="X15" s="101"/>
      <c r="Y15" s="102"/>
    </row>
    <row r="16" spans="1:25" ht="20.100000000000001" customHeight="1" x14ac:dyDescent="0.25">
      <c r="A16" s="100" t="s">
        <v>2</v>
      </c>
      <c r="B16" s="102"/>
      <c r="C16" s="100" t="s">
        <v>141</v>
      </c>
      <c r="D16" s="102"/>
      <c r="E16" s="100" t="s">
        <v>3</v>
      </c>
      <c r="F16" s="102"/>
      <c r="G16" s="100" t="s">
        <v>4</v>
      </c>
      <c r="H16" s="102"/>
      <c r="I16" s="100" t="s">
        <v>10</v>
      </c>
      <c r="J16" s="102"/>
      <c r="K16" s="101" t="s">
        <v>11</v>
      </c>
      <c r="L16" s="102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8"/>
      <c r="J17" s="169"/>
      <c r="K17" s="168"/>
      <c r="L17" s="169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8"/>
      <c r="J18" s="169"/>
      <c r="K18" s="168"/>
      <c r="L18" s="169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8"/>
      <c r="J19" s="169"/>
      <c r="K19" s="168"/>
      <c r="L19" s="169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8"/>
      <c r="J20" s="169"/>
      <c r="K20" s="168"/>
      <c r="L20" s="169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8"/>
      <c r="J21" s="169"/>
      <c r="K21" s="168"/>
      <c r="L21" s="169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8"/>
      <c r="J22" s="169"/>
      <c r="K22" s="168"/>
      <c r="L22" s="169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3">
      <c r="A23" s="159" t="s">
        <v>197</v>
      </c>
      <c r="B23" s="159"/>
      <c r="C23" s="16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63"/>
      <c r="E23" s="98">
        <v>0.02</v>
      </c>
      <c r="F23" s="99"/>
      <c r="G23" s="39" t="s">
        <v>86</v>
      </c>
      <c r="H23" s="40"/>
      <c r="I23" s="168"/>
      <c r="J23" s="169"/>
      <c r="K23" s="168"/>
      <c r="L23" s="169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60"/>
      <c r="B24" s="161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8"/>
      <c r="J24" s="169"/>
      <c r="K24" s="168"/>
      <c r="L24" s="169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6" t="s">
        <v>0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7"/>
      <c r="H27" s="167"/>
      <c r="I27" s="167"/>
      <c r="J27" s="167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7"/>
      <c r="H28" s="167"/>
      <c r="I28" s="167"/>
      <c r="J28" s="167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4" t="s">
        <v>98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6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6" t="s">
        <v>135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8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44371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44361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0D23E54-80C1-4E6F-879C-C720D56198DB}"/>
</file>

<file path=customXml/itemProps2.xml><?xml version="1.0" encoding="utf-8"?>
<ds:datastoreItem xmlns:ds="http://schemas.openxmlformats.org/officeDocument/2006/customXml" ds:itemID="{5295AE4C-E582-4320-9C5E-1F7ACFF07772}"/>
</file>

<file path=customXml/itemProps3.xml><?xml version="1.0" encoding="utf-8"?>
<ds:datastoreItem xmlns:ds="http://schemas.openxmlformats.org/officeDocument/2006/customXml" ds:itemID="{614AA476-20D4-4795-8A8B-C92256454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2021-05-24T02:26:34Z</cp:lastPrinted>
  <dcterms:created xsi:type="dcterms:W3CDTF">2019-11-27T23:28:06Z</dcterms:created>
  <dcterms:modified xsi:type="dcterms:W3CDTF">2021-05-24T02:27:16Z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