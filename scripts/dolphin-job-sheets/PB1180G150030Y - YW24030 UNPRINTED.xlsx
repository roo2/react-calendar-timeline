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950F6EE-D9BC-4247-823E-CE63BAC9A8E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<sst xmlns="http://schemas.openxmlformats.org/spreadsheetml/2006/main" count="304" uniqueCount="200">
  <si>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</si>
  <si>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</si>
  <si>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</si>
  <si>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</si>
  <si>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</si>
  <si>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</si>
  <si>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</si>
  <si>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</si>
  <si>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</si>
  <si>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</si>
  <si>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</si>
  <si>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</si>
  <si>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</si>
  <si>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</si>
  <si>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</si>
  <si>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</si>
  <si>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</si>
  <si>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</si>
  <si>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</si>
  <si>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</si>
  <si>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</si>
  <si>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</si>
  <si>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</si>
  <si>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</si>
  <si>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</si>
  <si>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</si>
  <si>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</si>
  <si>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</si>
  <si>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</si>
  <si>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</si>
  <si>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</si>
  <si>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</si>
  <si>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</si>
  <si>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</si>
  <si>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</si>
  <si>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</si>
  <si>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</si>
  <si>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</si>
  <si>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</si>
  <si>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</si>
  <si>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</si>
  <si>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</si>
  <si>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</si>
  <si>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</si>
  <si>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</si>
  <si>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</si>
  <si>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</si>
  <si>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</si>
  <si>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</si>
  <si>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</si>
  <si>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</si>
  <si>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</si>
  <si>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</si>
  <si>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</si>
  <si>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</si>
  <si>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</si>
  <si>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</si>
  <si>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</si>
  <si>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</si>
  <si>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</si>
  <si>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</si>
  <si>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</si>
  <si>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</si>
  <si>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</si>
  <si>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</si>
  <si>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</si>
  <si>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</si>
  <si>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</si>
  <si>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</si>
  <si>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</si>
  <si>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</si>
  <si>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</si>
  <si>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</si>
  <si>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</si>
  <si>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</si>
  <si>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</si>
  <si>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</si>
  <si>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</si>
  <si>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</si>
  <si>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</si>
  <si>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</si>
  <si>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</si>
  <si>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</si>
  <si>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</si>
  <si>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</si>
  <si>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</si>
  <si>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</si>
  <si>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</si>
  <si>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</si>
  <si>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</si>
  <si>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</si>
  <si>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</si>
  <si>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</si>
  <si>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</si>
  <si>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</si>
  <si>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</si>
  <si>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</si>
  <si>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</si>
  <si>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</si>
  <si>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</si>
  <si>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</si>
  <si>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</si>
  <si>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</si>
  <si>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</si>
  <si>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</si>
  <si>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</si>
  <si>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</si>
  <si>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</si>
  <si>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</si>
  <si>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</si>
  <si>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</si>
  <si>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</si>
  <si>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</si>
  <si>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</si>
  <si>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</si>
  <si>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</si>
  <si>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</si>
  <si>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</si>
  <si>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</si>
  <si>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</si>
  <si>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</si>
  <si>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</si>
  <si>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</si>
  <si>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</si>
  <si>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</si>
  <si>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</si>
  <si>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</si>
  <si>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</si>
  <si>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</si>
  <si>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</si>
  <si>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</si>
  <si>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</si>
  <si>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</si>
  <si>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</si>
  <si>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</si>
  <si>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</si>
  <si>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</si>
  <si>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</si>
  <si>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</si>
  <si>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</si>
  <si>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</si>
  <si>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</si>
  <si>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</si>
  <si>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</si>
  <si>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</si>
  <si>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</si>
  <si>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</si>
  <si>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</si>
  <si>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</si>
  <si>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</si>
  <si>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</si>
  <si>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</si>
  <si>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</si>
  <si>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</si>
  <si>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</si>
  <si>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</si>
  <si>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</si>
  <si>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</si>
  <si>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</si>
  <si>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</si>
  <si>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</si>
  <si>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</si>
  <si>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</si>
  <si>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</si>
  <si>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</si>
  <si>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</si>
  <si>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</si>
  <si>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</si>
  <si>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</si>
  <si>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</si>
  <si>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</si>
  <si>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</si>
  <si>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</si>
  <si>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</si>
  <si>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</si>
  <si>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</si>
  <si>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</si>
  <si>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</si>
  <si>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</si>
  <si>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</si>
  <si>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</si>
  <si>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</si>
  <si>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</si>
  <si>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</si>
  <si>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</si>
  <si>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</si>
  <si>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</si>
  <si>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</si>
  <si>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</si>
  <si>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</si>
  <si>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</si>
  <si>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</si>
  <si>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</si>
  <si>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</si>
  <si>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(750+430)</t>
  </si>
  <si>
    <t>LIMAX</t>
  </si>
  <si>
    <t>RECHENBERG SPECIALIST</t>
  </si>
  <si>
    <t>YW24030 UNPRINTED</t>
  </si>
  <si>
    <t xml:space="preserve"> +/-10mm</t>
  </si>
  <si>
    <t xml:space="preserve"> +/-3um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</si>
</sst>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PB1180G150030Y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45534</v>
      </c>
      <c r="K1" s="84"/>
      <c r="L1" s="85"/>
      <c r="M1" s="29"/>
      <c r="N1" s="11" t="s">
        <v>56</v>
      </c>
      <c r="O1" s="111" t="str">
        <f>B1</f>
        <v>PB1180G150030Y</v>
      </c>
      <c r="P1" s="111"/>
      <c r="Q1" s="112"/>
      <c r="R1" s="11" t="s">
        <v>57</v>
      </c>
      <c r="S1" s="111" t="str">
        <f>F1</f>
        <v>RECHENBERG SPECIALIST</v>
      </c>
      <c r="T1" s="111"/>
      <c r="U1" s="112"/>
      <c r="V1" s="11" t="s">
        <v>181</v>
      </c>
      <c r="W1" s="84">
        <f ca="1">J1</f>
        <v>45534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YW24030 UNPRINTED</v>
      </c>
      <c r="C2" s="111"/>
      <c r="D2" s="112"/>
      <c r="E2" s="11" t="s">
        <v>58</v>
      </c>
      <c r="F2" s="87">
        <v>948513</v>
      </c>
      <c r="G2" s="87"/>
      <c r="H2" s="88"/>
      <c r="I2" s="11" t="s">
        <v>59</v>
      </c>
      <c r="J2" s="86">
        <v>45555</v>
      </c>
      <c r="K2" s="87"/>
      <c r="L2" s="88"/>
      <c r="M2" s="29"/>
      <c r="N2" s="11" t="s">
        <v>100</v>
      </c>
      <c r="O2" s="111" t="str">
        <f>IF(B2="","",B2)</f>
        <v>YW24030 UNPRINTED</v>
      </c>
      <c r="P2" s="111"/>
      <c r="Q2" s="112"/>
      <c r="R2" s="11" t="s">
        <v>58</v>
      </c>
      <c r="S2" s="111">
        <f>IF(F2="","",F2)</f>
        <v>948513</v>
      </c>
      <c r="T2" s="111"/>
      <c r="U2" s="112"/>
      <c r="V2" s="11" t="s">
        <v>59</v>
      </c>
      <c r="W2" s="122">
        <f>J2</f>
        <v>45555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148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65</v>
      </c>
      <c r="P7" s="88"/>
      <c r="Q7" s="11" t="str">
        <f>IF(ISNUMBER(SEARCH("roll",O8,1)),"Per Roll","Per Carton")</f>
        <v>Per Carton</v>
      </c>
      <c r="R7" s="87">
        <v>100</v>
      </c>
      <c r="S7" s="88"/>
      <c r="T7" s="11" t="str">
        <f>IF(ISNUMBER(SEARCH("bag",O8,1)),"Total Bags","Total Sheets")</f>
        <v>Total Bags</v>
      </c>
      <c r="U7" s="111">
        <f>R7*O7</f>
        <v>6500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1180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(750+430)</v>
      </c>
      <c r="F8" s="90"/>
      <c r="G8" s="13" t="s">
        <v>52</v>
      </c>
      <c r="H8" s="89">
        <v>40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198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199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1180</v>
      </c>
      <c r="S9" s="18" t="s">
        <v>78</v>
      </c>
      <c r="T9" s="30">
        <v>1500</v>
      </c>
      <c r="U9" s="18" t="s">
        <v>78</v>
      </c>
      <c r="V9" s="30">
        <v>30</v>
      </c>
      <c r="W9" s="17"/>
      <c r="X9" s="136" t="s">
        <v>194</v>
      </c>
      <c r="Y9" s="137"/>
    </row>
    <row r="10" spans="1:25" ht="20.149999999999999" customHeight="1" x14ac:dyDescent="0.8">
      <c r="A10" s="11" t="s">
        <v>51</v>
      </c>
      <c r="B10" s="87">
        <v>22</v>
      </c>
      <c r="C10" s="88"/>
      <c r="D10" s="47" t="s">
        <v>134</v>
      </c>
      <c r="E10" s="101">
        <f>IF(ISNUMBER(SEARCH("sheet",O8,1)),((R9*T9*H8/540000)*U7/2000*1.3),((R9*T9*H8/540000)*U7/1000*1.08))</f>
        <v>920.40000000000009</v>
      </c>
      <c r="F10" s="102"/>
      <c r="G10" s="11" t="s">
        <v>53</v>
      </c>
      <c r="H10" s="105">
        <f>IF(ISNUMBER(SEARCH("sheet",O8,1)),(U7*T9/2000*1.08),(U7*T9/1000*1.08))</f>
        <v>10530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41.836363636363643</v>
      </c>
      <c r="F11" s="104"/>
      <c r="G11" s="11" t="s">
        <v>15</v>
      </c>
      <c r="H11" s="103">
        <f>H10/B10</f>
        <v>478.63636363636363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23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>YELLOW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195</v>
      </c>
      <c r="P25" s="34"/>
      <c r="Q25" s="10">
        <v>24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45565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45555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83B0285-CB62-485C-A826-30E5DF081F25}"/>
</file>

<file path=customXml/itemProps2.xml><?xml version="1.0" encoding="utf-8"?>
<ds:datastoreItem xmlns:ds="http://schemas.openxmlformats.org/officeDocument/2006/customXml" ds:itemID="{829C28C3-FFDF-4D00-B75B-62C9B39ED32B}"/>
</file>

<file path=customXml/itemProps3.xml><?xml version="1.0" encoding="utf-8"?>
<ds:datastoreItem xmlns:ds="http://schemas.openxmlformats.org/officeDocument/2006/customXml" ds:itemID="{C6F544F3-A985-4AEB-8D7E-64F2107BE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2024-08-29T23:45:46Z</cp:lastPrinted>
  <dcterms:created xsi:type="dcterms:W3CDTF">2019-11-27T23:28:06Z</dcterms:created>
  <dcterms:modified xsi:type="dcterms:W3CDTF">2024-09-03T00:29:21Z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