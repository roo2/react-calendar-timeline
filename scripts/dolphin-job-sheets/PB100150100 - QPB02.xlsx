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EB37852-23F7-43EB-A7EE-E8A591FB2380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H11" i="1" s="1"/>
  <c r="U13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<sst xmlns="http://schemas.openxmlformats.org/spreadsheetml/2006/main" count="311" uniqueCount="207">
  <si>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</si>
  <si>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</si>
  <si>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</si>
  <si>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</si>
  <si>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</si>
  <si>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</si>
  <si>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</si>
  <si>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</si>
  <si>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</si>
  <si>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</si>
  <si>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</si>
  <si>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</si>
  <si>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</si>
  <si>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</si>
  <si>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</si>
  <si>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</si>
  <si>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</si>
  <si>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</si>
  <si>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</si>
  <si>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</si>
  <si>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</si>
  <si>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</si>
  <si>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</si>
  <si>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</si>
  <si>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</si>
  <si>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</si>
  <si>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</si>
  <si>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</si>
  <si>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</si>
  <si>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</si>
  <si>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</si>
  <si>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</si>
  <si>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</si>
  <si>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</si>
  <si>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</si>
  <si>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</si>
  <si>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</si>
  <si>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</si>
  <si>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</si>
  <si>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</si>
  <si>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</si>
  <si>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</si>
  <si>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</si>
  <si>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</si>
  <si>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</si>
  <si>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</si>
  <si>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</si>
  <si>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</si>
  <si>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</si>
  <si>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</si>
  <si>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</si>
  <si>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</si>
  <si>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</si>
  <si>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</si>
  <si>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</si>
  <si>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</si>
  <si>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</si>
  <si>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</si>
  <si>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</si>
  <si>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</si>
  <si>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</si>
  <si>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</si>
  <si>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</si>
  <si>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</si>
  <si>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</si>
  <si>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</si>
  <si>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</si>
  <si>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</si>
  <si>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</si>
  <si>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</si>
  <si>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</si>
  <si>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</si>
  <si>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</si>
  <si>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</si>
  <si>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</si>
  <si>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</si>
  <si>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</si>
  <si>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</si>
  <si>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</si>
  <si>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</si>
  <si>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</si>
  <si>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</si>
  <si>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</si>
  <si>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</si>
  <si>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</si>
  <si>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</si>
  <si>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</si>
  <si>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</si>
  <si>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</si>
  <si>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</si>
  <si>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</si>
  <si>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</si>
  <si>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</si>
  <si>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</si>
  <si>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</si>
  <si>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</si>
  <si>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</si>
  <si>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</si>
  <si>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</si>
  <si>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</si>
  <si>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</si>
  <si>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</si>
  <si>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</si>
  <si>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</si>
  <si>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</si>
  <si>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</si>
  <si>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</si>
  <si>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</si>
  <si>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</si>
  <si>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</si>
  <si>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</si>
  <si>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</si>
  <si>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</si>
  <si>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</si>
  <si>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</si>
  <si>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</si>
  <si>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</si>
  <si>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</si>
  <si>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</si>
  <si>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</si>
  <si>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</si>
  <si>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</si>
  <si>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</si>
  <si>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</si>
  <si>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</si>
  <si>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</si>
  <si>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</si>
  <si>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</si>
  <si>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</si>
  <si>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</si>
  <si>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</si>
  <si>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</si>
  <si>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</si>
  <si>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</si>
  <si>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</si>
  <si>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</si>
  <si>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</si>
  <si>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</si>
  <si>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</si>
  <si>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</si>
  <si>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</si>
  <si>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</si>
  <si>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</si>
  <si>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</si>
  <si>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</si>
  <si>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</si>
  <si>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</si>
  <si>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</si>
  <si>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</si>
  <si>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</si>
  <si>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</si>
  <si>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</si>
  <si>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</si>
  <si>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</si>
  <si>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</si>
  <si>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</si>
  <si>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</si>
  <si>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</si>
  <si>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</si>
  <si>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</si>
  <si>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</si>
  <si>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</si>
  <si>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</si>
  <si>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</si>
  <si>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</si>
  <si>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</si>
  <si>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</si>
  <si>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</si>
  <si>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</si>
  <si>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</si>
  <si>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</si>
  <si>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</si>
  <si>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</si>
  <si>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</si>
  <si>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</si>
  <si>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</si>
  <si>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</si>
  <si>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</si>
  <si>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</si>
  <si>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</si>
  <si>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</si>
  <si>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</si>
  <si>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</si>
  <si>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</si>
  <si>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</si>
  <si>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</si>
  <si>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</si>
  <si>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</si>
  <si>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</si>
  <si>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</si>
  <si>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</si>
  <si>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</si>
  <si>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</si>
  <si>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</si>
  <si>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</si>
  <si>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</si>
  <si>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QPB02</t>
  </si>
  <si>
    <t>ROLLS MUST HAVE AIR IN THEM, BEEN BLOCKED BEFORE - RUN 2 UP.</t>
  </si>
  <si>
    <t>TRIPLE M</t>
  </si>
  <si>
    <t>ANTIBLOCK</t>
  </si>
  <si>
    <t>LIMAX/ORION 1</t>
  </si>
  <si>
    <t>24/26</t>
  </si>
  <si>
    <t>17/185</t>
  </si>
  <si>
    <t>13/185</t>
  </si>
  <si>
    <t>#1</t>
  </si>
  <si>
    <t>60/17</t>
  </si>
  <si>
    <t>3.4/4.9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</si>
</sst>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PB1001501000</v>
      </c>
      <c r="C1" s="108"/>
      <c r="D1" s="109"/>
      <c r="E1" s="10" t="s">
        <v>57</v>
      </c>
      <c r="F1" s="62" t="s">
        <v>198</v>
      </c>
      <c r="G1" s="62"/>
      <c r="H1" s="63"/>
      <c r="I1" s="11" t="s">
        <v>181</v>
      </c>
      <c r="J1" s="119">
        <f ca="1">TODAY()</f>
        <v>45945</v>
      </c>
      <c r="K1" s="119"/>
      <c r="L1" s="120"/>
      <c r="M1" s="28"/>
      <c r="N1" s="10" t="s">
        <v>56</v>
      </c>
      <c r="O1" s="108" t="str">
        <f>B1</f>
        <v>PB1001501000</v>
      </c>
      <c r="P1" s="108"/>
      <c r="Q1" s="109"/>
      <c r="R1" s="10" t="s">
        <v>57</v>
      </c>
      <c r="S1" s="108" t="str">
        <f>F1</f>
        <v>TRIPLE M</v>
      </c>
      <c r="T1" s="108"/>
      <c r="U1" s="109"/>
      <c r="V1" s="10" t="s">
        <v>181</v>
      </c>
      <c r="W1" s="119">
        <f ca="1">J1</f>
        <v>45945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>QPB02</v>
      </c>
      <c r="C2" s="108"/>
      <c r="D2" s="109"/>
      <c r="E2" s="10" t="s">
        <v>58</v>
      </c>
      <c r="F2" s="62">
        <v>57964</v>
      </c>
      <c r="G2" s="62"/>
      <c r="H2" s="63"/>
      <c r="I2" s="10" t="s">
        <v>59</v>
      </c>
      <c r="J2" s="122">
        <v>45811</v>
      </c>
      <c r="K2" s="62"/>
      <c r="L2" s="63"/>
      <c r="M2" s="28"/>
      <c r="N2" s="10" t="s">
        <v>100</v>
      </c>
      <c r="O2" s="108" t="str">
        <f>IF(B2="","",B2)</f>
        <v>QPB02</v>
      </c>
      <c r="P2" s="108"/>
      <c r="Q2" s="109"/>
      <c r="R2" s="10" t="s">
        <v>58</v>
      </c>
      <c r="S2" s="108">
        <f>IF(F2="","",F2)</f>
        <v>57964</v>
      </c>
      <c r="T2" s="108"/>
      <c r="U2" s="109"/>
      <c r="V2" s="10" t="s">
        <v>59</v>
      </c>
      <c r="W2" s="121">
        <f>J2</f>
        <v>45811</v>
      </c>
      <c r="X2" s="108"/>
      <c r="Y2" s="109"/>
    </row>
    <row r="3" spans="1:25" ht="20.149999999999999" customHeight="1" x14ac:dyDescent="0.7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>
        <f>A3</f>
        <v>0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50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50000</v>
      </c>
      <c r="V7" s="109"/>
      <c r="W7" s="10" t="s">
        <v>102</v>
      </c>
      <c r="X7" s="62" t="s">
        <v>31</v>
      </c>
      <c r="Y7" s="63"/>
    </row>
    <row r="8" spans="1:25" ht="20.149999999999999" customHeight="1" x14ac:dyDescent="0.8">
      <c r="A8" s="12" t="s">
        <v>16</v>
      </c>
      <c r="B8" s="96">
        <f>R9</f>
        <v>100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100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193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195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100</v>
      </c>
      <c r="S9" s="17" t="s">
        <v>78</v>
      </c>
      <c r="T9" s="29">
        <v>150</v>
      </c>
      <c r="U9" s="17" t="s">
        <v>78</v>
      </c>
      <c r="V9" s="29">
        <v>100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12</v>
      </c>
      <c r="C10" s="63"/>
      <c r="D10" s="46" t="s">
        <v>134</v>
      </c>
      <c r="E10" s="127">
        <f>IF(ISNUMBER(SEARCH("sheet",O8,1)),((R9*T9*H8/540000)*U7/2000*1.3),((R9*T9*H8/540000)*U7/1000*1.08))</f>
        <v>150</v>
      </c>
      <c r="F10" s="128"/>
      <c r="G10" s="10" t="s">
        <v>53</v>
      </c>
      <c r="H10" s="131">
        <f>IF(ISNUMBER(SEARCH("sheet",O8,1)),(U7*T9/2000*1.08),(U7*T9/1000*1.08))</f>
        <v>8100.0000000000009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 t="s">
        <v>196</v>
      </c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12.5</v>
      </c>
      <c r="F11" s="130"/>
      <c r="G11" s="10" t="s">
        <v>15</v>
      </c>
      <c r="H11" s="129">
        <f>H10/B10</f>
        <v>675.00000000000011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36</v>
      </c>
      <c r="P13" s="10" t="s">
        <v>73</v>
      </c>
      <c r="Q13" s="19">
        <f>O7</f>
        <v>50</v>
      </c>
      <c r="R13" s="10" t="s">
        <v>74</v>
      </c>
      <c r="S13" s="30" t="s">
        <v>138</v>
      </c>
      <c r="T13" s="10" t="s">
        <v>178</v>
      </c>
      <c r="U13" s="19">
        <f>IF(S13="No","",(ROUNDUP(U7/W13/24,0)))</f>
        <v>21</v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46" t="s">
        <v>4</v>
      </c>
      <c r="F16" s="146"/>
      <c r="G16" s="146" t="s">
        <v>5</v>
      </c>
      <c r="H16" s="146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 t="s">
        <v>168</v>
      </c>
      <c r="P16" s="63"/>
      <c r="Q16" s="10" t="s">
        <v>105</v>
      </c>
      <c r="R16" s="62" t="s">
        <v>23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23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23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197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47" t="s">
        <v>199</v>
      </c>
      <c r="B23" s="147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48"/>
      <c r="B24" s="149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200</v>
      </c>
      <c r="P25" s="33"/>
      <c r="Q25" s="9" t="s">
        <v>201</v>
      </c>
      <c r="R25" s="9"/>
      <c r="S25" s="9"/>
      <c r="T25" s="9"/>
      <c r="U25" s="9"/>
      <c r="V25" s="9"/>
      <c r="W25" s="9" t="s">
        <v>202</v>
      </c>
      <c r="X25" s="9" t="s">
        <v>203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204</v>
      </c>
      <c r="C27" s="7"/>
      <c r="D27" s="9" t="s">
        <v>205</v>
      </c>
      <c r="E27" s="58" t="s">
        <v>206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134" t="s">
        <v>116</v>
      </c>
      <c r="B33" s="135"/>
      <c r="C33" s="135"/>
      <c r="D33" s="135"/>
      <c r="E33" s="135"/>
      <c r="F33" s="135"/>
      <c r="G33" s="135"/>
      <c r="H33" s="135"/>
      <c r="I33" s="135"/>
      <c r="J33" s="135"/>
      <c r="K33" s="135"/>
      <c r="L33" s="136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137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9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140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2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43" t="s">
        <v>136</v>
      </c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5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45976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45966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194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3D458B0-E171-43CD-A102-80067F8EF63F}"/>
</file>

<file path=customXml/itemProps2.xml><?xml version="1.0" encoding="utf-8"?>
<ds:datastoreItem xmlns:ds="http://schemas.openxmlformats.org/officeDocument/2006/customXml" ds:itemID="{F8C10FCF-0D39-422C-9E3C-0859FD9B766F}"/>
</file>

<file path=customXml/itemProps3.xml><?xml version="1.0" encoding="utf-8"?>
<ds:datastoreItem xmlns:ds="http://schemas.openxmlformats.org/officeDocument/2006/customXml" ds:itemID="{9728E0A0-5175-421B-9422-E20E09DDA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2025-10-15T00:29:53Z</cp:lastPrinted>
  <dcterms:created xsi:type="dcterms:W3CDTF">2019-11-27T23:28:06Z</dcterms:created>
  <dcterms:modified xsi:type="dcterms:W3CDTF">2025-10-16T01:36:00Z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