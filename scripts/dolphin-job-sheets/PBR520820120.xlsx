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2D7800D-13BE-42FC-BECC-CF0EB36B20E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<sst xmlns="http://schemas.openxmlformats.org/spreadsheetml/2006/main" count="301" uniqueCount="199">
  <si>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</si>
  <si>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</si>
  <si>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</si>
  <si>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</si>
  <si>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</si>
  <si>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</si>
  <si>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</si>
  <si>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</si>
  <si>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</si>
  <si>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</si>
  <si>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</si>
  <si>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</si>
  <si>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</si>
  <si>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</si>
  <si>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</si>
  <si>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</si>
  <si>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</si>
  <si>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</si>
  <si>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</si>
  <si>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</si>
  <si>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</si>
  <si>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</si>
  <si>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</si>
  <si>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</si>
  <si>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</si>
  <si>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</si>
  <si>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</si>
  <si>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</si>
  <si>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</si>
  <si>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</si>
  <si>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</si>
  <si>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</si>
  <si>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</si>
  <si>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</si>
  <si>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</si>
  <si>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</si>
  <si>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</si>
  <si>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</si>
  <si>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</si>
  <si>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</si>
  <si>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</si>
  <si>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</si>
  <si>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</si>
  <si>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</si>
  <si>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</si>
  <si>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</si>
  <si>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</si>
  <si>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</si>
  <si>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</si>
  <si>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</si>
  <si>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</si>
  <si>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</si>
  <si>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</si>
  <si>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</si>
  <si>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</si>
  <si>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</si>
  <si>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</si>
  <si>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</si>
  <si>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</si>
  <si>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</si>
  <si>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</si>
  <si>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</si>
  <si>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</si>
  <si>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</si>
  <si>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</si>
  <si>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</si>
  <si>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</si>
  <si>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</si>
  <si>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</si>
  <si>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</si>
  <si>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</si>
  <si>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</si>
  <si>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</si>
  <si>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</si>
  <si>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</si>
  <si>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</si>
  <si>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</si>
  <si>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</si>
  <si>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</si>
  <si>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</si>
  <si>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</si>
  <si>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</si>
  <si>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</si>
  <si>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</si>
  <si>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</si>
  <si>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</si>
  <si>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</si>
  <si>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</si>
  <si>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</si>
  <si>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</si>
  <si>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</si>
  <si>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</si>
  <si>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</si>
  <si>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</si>
  <si>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</si>
  <si>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</si>
  <si>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</si>
  <si>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</si>
  <si>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</si>
  <si>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</si>
  <si>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</si>
  <si>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</si>
  <si>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</si>
  <si>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</si>
  <si>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</si>
  <si>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</si>
  <si>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</si>
  <si>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</si>
  <si>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</si>
  <si>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</si>
  <si>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</si>
  <si>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</si>
  <si>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</si>
  <si>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</si>
  <si>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</si>
  <si>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</si>
  <si>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</si>
  <si>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</si>
  <si>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</si>
  <si>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</si>
  <si>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</si>
  <si>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</si>
  <si>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</si>
  <si>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</si>
  <si>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</si>
  <si>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</si>
  <si>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</si>
  <si>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</si>
  <si>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</si>
  <si>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</si>
  <si>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</si>
  <si>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</si>
  <si>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</si>
  <si>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</si>
  <si>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</si>
  <si>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</si>
  <si>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</si>
  <si>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</si>
  <si>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</si>
  <si>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</si>
  <si>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</si>
  <si>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</si>
  <si>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</si>
  <si>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</si>
  <si>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</si>
  <si>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</si>
  <si>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</si>
  <si>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</si>
  <si>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</si>
  <si>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</si>
  <si>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</si>
  <si>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</si>
  <si>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</si>
  <si>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</si>
  <si>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</si>
  <si>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</si>
  <si>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</si>
  <si>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</si>
  <si>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</si>
  <si>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</si>
  <si>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</si>
  <si>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</si>
  <si>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</si>
  <si>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</si>
  <si>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</si>
  <si>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</si>
  <si>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</si>
  <si>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</si>
  <si>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</si>
  <si>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</si>
  <si>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</si>
  <si>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</si>
  <si>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</si>
  <si>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</si>
  <si>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</si>
  <si>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</si>
  <si>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</si>
  <si>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</si>
  <si>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</si>
  <si>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</si>
  <si>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</si>
  <si>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</si>
  <si>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</si>
  <si>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</si>
  <si>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</si>
  <si>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</si>
  <si>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</si>
  <si>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</si>
  <si>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</si>
  <si>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</si>
  <si>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</si>
  <si>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</si>
  <si>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</si>
  <si>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</si>
  <si>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</si>
  <si>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 xml:space="preserve">MUST HAVE WATER TIGHT SEALS - PLEASE CHECK FREQUENTLY  </t>
  </si>
  <si>
    <t>GREENPET</t>
  </si>
  <si>
    <t>21.10.2022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</si>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</sst>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E15" sqref="AE1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PBR520820120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44820</v>
      </c>
      <c r="K1" s="106"/>
      <c r="L1" s="107"/>
      <c r="M1" s="30"/>
      <c r="N1" s="16" t="s">
        <v>55</v>
      </c>
      <c r="O1" s="95" t="str">
        <f>B1</f>
        <v>PBR520820120</v>
      </c>
      <c r="P1" s="95"/>
      <c r="Q1" s="96"/>
      <c r="R1" s="16" t="s">
        <v>56</v>
      </c>
      <c r="S1" s="95" t="str">
        <f>F1</f>
        <v>GREENPET</v>
      </c>
      <c r="T1" s="95"/>
      <c r="U1" s="96"/>
      <c r="V1" s="16" t="s">
        <v>180</v>
      </c>
      <c r="W1" s="106">
        <f ca="1">J1</f>
        <v>44820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944177</v>
      </c>
      <c r="G2" s="61"/>
      <c r="H2" s="62"/>
      <c r="I2" s="16" t="s">
        <v>58</v>
      </c>
      <c r="J2" s="116" t="s">
        <v>197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944177</v>
      </c>
      <c r="T2" s="95"/>
      <c r="U2" s="96"/>
      <c r="V2" s="16" t="s">
        <v>58</v>
      </c>
      <c r="W2" s="108" t="str">
        <f>J2</f>
        <v>21.10.2022</v>
      </c>
      <c r="X2" s="95"/>
      <c r="Y2" s="96"/>
    </row>
    <row r="3" spans="1:25" ht="20.149999999999999" customHeight="1" x14ac:dyDescent="0.75">
      <c r="A3" s="97" t="s">
        <v>195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 xml:space="preserve">MUST HAVE WATER TIGHT SEALS - PLEASE CHECK FREQUENTLY  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5</v>
      </c>
      <c r="P7" s="62"/>
      <c r="Q7" s="16" t="str">
        <f>IF(ISNUMBER(SEARCH("roll",O8,1)),"Per Roll","Per Carton")</f>
        <v>Per Roll</v>
      </c>
      <c r="R7" s="61">
        <v>150</v>
      </c>
      <c r="S7" s="62"/>
      <c r="T7" s="16" t="str">
        <f>IF(ISNUMBER(SEARCH("bag",O8,1)),"Total Bags","Total Sheets")</f>
        <v>Total Bags</v>
      </c>
      <c r="U7" s="95">
        <f>R7*O7</f>
        <v>750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520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None</v>
      </c>
      <c r="F8" s="115"/>
      <c r="G8" s="17" t="s">
        <v>51</v>
      </c>
      <c r="H8" s="114">
        <f>(IF(V9&lt;30,"30",V9))</f>
        <v>120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198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520</v>
      </c>
      <c r="S9" s="23" t="s">
        <v>77</v>
      </c>
      <c r="T9" s="31">
        <v>820</v>
      </c>
      <c r="U9" s="23" t="s">
        <v>77</v>
      </c>
      <c r="V9" s="31">
        <v>120</v>
      </c>
      <c r="W9" s="22"/>
      <c r="X9" s="121"/>
      <c r="Y9" s="122"/>
    </row>
    <row r="10" spans="1:25" ht="20.149999999999999" customHeight="1" x14ac:dyDescent="0.8">
      <c r="A10" s="16" t="s">
        <v>50</v>
      </c>
      <c r="B10" s="61">
        <v>5</v>
      </c>
      <c r="C10" s="62"/>
      <c r="D10" s="49" t="s">
        <v>133</v>
      </c>
      <c r="E10" s="131">
        <f>IF(ISNUMBER(SEARCH("sheet",O8,1)),((R9*T9*H8/540000)*U7/2000*1.3),((R9*T9*H8/540000)*U7/1000*1.08))</f>
        <v>76.75200000000001</v>
      </c>
      <c r="F10" s="132"/>
      <c r="G10" s="16" t="s">
        <v>52</v>
      </c>
      <c r="H10" s="135">
        <f>IF(ISNUMBER(SEARCH("sheet",O8,1)),(U7*T9/2000*1.08),(U7*T9/1000*1.08))</f>
        <v>664.2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15.350400000000002</v>
      </c>
      <c r="F11" s="134"/>
      <c r="G11" s="16" t="s">
        <v>14</v>
      </c>
      <c r="H11" s="133">
        <f>H10/B10</f>
        <v>132.84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44850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5FB2E06-0F8A-4ECC-8E6D-BD4F32432DEC}"/>
</file>

<file path=customXml/itemProps2.xml><?xml version="1.0" encoding="utf-8"?>
<ds:datastoreItem xmlns:ds="http://schemas.openxmlformats.org/officeDocument/2006/customXml" ds:itemID="{4E451C79-0C32-4E06-AD4B-B40AB1AF4AEA}"/>
</file>

<file path=customXml/itemProps3.xml><?xml version="1.0" encoding="utf-8"?>
<ds:datastoreItem xmlns:ds="http://schemas.openxmlformats.org/officeDocument/2006/customXml" ds:itemID="{C296DF64-CA68-44F1-AA11-FA35B780B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2022-09-14T23:48:48Z</cp:lastPrinted>
  <dcterms:created xsi:type="dcterms:W3CDTF">2019-11-27T23:28:06Z</dcterms:created>
  <dcterms:modified xsi:type="dcterms:W3CDTF">2022-09-16T00:22:15Z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