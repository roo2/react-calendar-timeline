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7D43ACE-6465-4A9F-A681-5D7D7DA7471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<sst xmlns="http://schemas.openxmlformats.org/spreadsheetml/2006/main" count="300" uniqueCount="199">
  <si>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</si>
  <si>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</si>
  <si>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</si>
  <si>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</si>
  <si>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</si>
  <si>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</si>
  <si>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</si>
  <si>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</si>
  <si>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</si>
  <si>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</si>
  <si>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</si>
  <si>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</si>
  <si>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</si>
  <si>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</si>
  <si>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</si>
  <si>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</si>
  <si>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</si>
  <si>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</si>
  <si>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</si>
  <si>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</si>
  <si>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</si>
  <si>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</si>
  <si>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</si>
  <si>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</si>
  <si>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</si>
  <si>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</si>
  <si>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</si>
  <si>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</si>
  <si>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</si>
  <si>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</si>
  <si>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</si>
  <si>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</si>
  <si>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</si>
  <si>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</si>
  <si>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</si>
  <si>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</si>
  <si>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</si>
  <si>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</si>
  <si>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</si>
  <si>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</si>
  <si>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</si>
  <si>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</si>
  <si>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</si>
  <si>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</si>
  <si>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</si>
  <si>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</si>
  <si>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</si>
  <si>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</si>
  <si>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</si>
  <si>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</si>
  <si>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</si>
  <si>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</si>
  <si>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</si>
  <si>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</si>
  <si>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</si>
  <si>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</si>
  <si>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</si>
  <si>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</si>
  <si>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</si>
  <si>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</si>
  <si>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</si>
  <si>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</si>
  <si>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</si>
  <si>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</si>
  <si>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</si>
  <si>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</si>
  <si>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</si>
  <si>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</si>
  <si>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</si>
  <si>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</si>
  <si>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</si>
  <si>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</si>
  <si>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</si>
  <si>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</si>
  <si>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</si>
  <si>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</si>
  <si>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</si>
  <si>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</si>
  <si>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</si>
  <si>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</si>
  <si>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</si>
  <si>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</si>
  <si>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</si>
  <si>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</si>
  <si>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</si>
  <si>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</si>
  <si>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</si>
  <si>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</si>
  <si>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</si>
  <si>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</si>
  <si>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</si>
  <si>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</si>
  <si>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</si>
  <si>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</si>
  <si>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</si>
  <si>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</si>
  <si>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</si>
  <si>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</si>
  <si>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</si>
  <si>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</si>
  <si>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</si>
  <si>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</si>
  <si>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</si>
  <si>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</si>
  <si>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</si>
  <si>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</si>
  <si>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</si>
  <si>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</si>
  <si>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</si>
  <si>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</si>
  <si>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</si>
  <si>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</si>
  <si>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</si>
  <si>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</si>
  <si>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</si>
  <si>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</si>
  <si>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</si>
  <si>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</si>
  <si>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</si>
  <si>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</si>
  <si>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</si>
  <si>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</si>
  <si>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</si>
  <si>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</si>
  <si>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</si>
  <si>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</si>
  <si>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</si>
  <si>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</si>
  <si>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</si>
  <si>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</si>
  <si>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</si>
  <si>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</si>
  <si>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</si>
  <si>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</si>
  <si>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</si>
  <si>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</si>
  <si>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</si>
  <si>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</si>
  <si>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</si>
  <si>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</si>
  <si>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</si>
  <si>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</si>
  <si>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</si>
  <si>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</si>
  <si>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</si>
  <si>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</si>
  <si>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</si>
  <si>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</si>
  <si>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</si>
  <si>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</si>
  <si>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</si>
  <si>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</si>
  <si>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</si>
  <si>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</si>
  <si>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</si>
  <si>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</si>
  <si>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</si>
  <si>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</si>
  <si>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</si>
  <si>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</si>
  <si>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</si>
  <si>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</si>
  <si>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</si>
  <si>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</si>
  <si>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</si>
  <si>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</si>
  <si>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</si>
  <si>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</si>
  <si>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</si>
  <si>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</si>
  <si>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</si>
  <si>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</si>
  <si>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</si>
  <si>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</si>
  <si>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</si>
  <si>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</si>
  <si>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</si>
  <si>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</si>
  <si>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</si>
  <si>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</si>
  <si>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</si>
  <si>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</si>
  <si>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</si>
  <si>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</si>
  <si>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</si>
  <si>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</si>
  <si>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</si>
  <si>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</si>
  <si>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</si>
  <si>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</si>
  <si>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</si>
  <si>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</si>
  <si>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</si>
  <si>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</si>
  <si>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</si>
  <si>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ANSTEL</t>
  </si>
  <si>
    <t>PLEASE CHECK SEALS - MUST BE NEAT ROLLS -  PERF INLINE</t>
  </si>
  <si>
    <t>RUN AT 50um</t>
  </si>
  <si>
    <t>art@digitalsynergy.com.au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</si>
</sst>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6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5" fillId="0" borderId="7" xfId="2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t@digitalsynergy.com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PBR545110050</v>
      </c>
      <c r="C1" s="108"/>
      <c r="D1" s="109"/>
      <c r="E1" s="18" t="s">
        <v>56</v>
      </c>
      <c r="F1" s="122" t="s">
        <v>195</v>
      </c>
      <c r="G1" s="122"/>
      <c r="H1" s="123"/>
      <c r="I1" s="18" t="s">
        <v>180</v>
      </c>
      <c r="J1" s="119">
        <f ca="1">TODAY()</f>
        <v>44524</v>
      </c>
      <c r="K1" s="119"/>
      <c r="L1" s="120"/>
      <c r="M1" s="35"/>
      <c r="N1" s="18" t="s">
        <v>55</v>
      </c>
      <c r="O1" s="108" t="str">
        <f>B1</f>
        <v>PBR545110050</v>
      </c>
      <c r="P1" s="108"/>
      <c r="Q1" s="109"/>
      <c r="R1" s="18" t="s">
        <v>56</v>
      </c>
      <c r="S1" s="108" t="str">
        <f>F1</f>
        <v>ANSTEL</v>
      </c>
      <c r="T1" s="108"/>
      <c r="U1" s="109"/>
      <c r="V1" s="18" t="s">
        <v>180</v>
      </c>
      <c r="W1" s="119">
        <f ca="1">J1</f>
        <v>44524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940795</v>
      </c>
      <c r="G2" s="71"/>
      <c r="H2" s="72"/>
      <c r="I2" s="18" t="s">
        <v>58</v>
      </c>
      <c r="J2" s="131">
        <v>44417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940795</v>
      </c>
      <c r="T2" s="108"/>
      <c r="U2" s="109"/>
      <c r="V2" s="18" t="s">
        <v>58</v>
      </c>
      <c r="W2" s="121">
        <f>J2</f>
        <v>44417</v>
      </c>
      <c r="X2" s="108"/>
      <c r="Y2" s="109"/>
    </row>
    <row r="3" spans="1:25" ht="20.100000000000001" customHeight="1" x14ac:dyDescent="0.25">
      <c r="A3" s="110" t="s">
        <v>196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PLEASE CHECK SEALS - MUST BE NEAT ROLLS -  PERF INLINE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10</v>
      </c>
      <c r="P7" s="72"/>
      <c r="Q7" s="18" t="str">
        <f>IF(ISNUMBER(SEARCH("roll",O8,1)),"Per Roll","Per Carton")</f>
        <v>Per Roll</v>
      </c>
      <c r="R7" s="71">
        <v>400</v>
      </c>
      <c r="S7" s="72"/>
      <c r="T7" s="18" t="str">
        <f>IF(ISNUMBER(SEARCH("bag",O8,1)),"Total Bags","Total Sheets")</f>
        <v>Total Bags</v>
      </c>
      <c r="U7" s="108">
        <f>R7*O7</f>
        <v>4000</v>
      </c>
      <c r="V7" s="109"/>
      <c r="W7" s="18" t="s">
        <v>101</v>
      </c>
      <c r="X7" s="71" t="s">
        <v>30</v>
      </c>
      <c r="Y7" s="72"/>
    </row>
    <row r="8" spans="1:25" ht="20.100000000000001" customHeight="1" x14ac:dyDescent="0.25">
      <c r="A8" s="19" t="s">
        <v>15</v>
      </c>
      <c r="B8" s="129">
        <f>R9</f>
        <v>545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50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197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545</v>
      </c>
      <c r="S9" s="25" t="s">
        <v>77</v>
      </c>
      <c r="T9" s="36">
        <v>1100</v>
      </c>
      <c r="U9" s="25" t="s">
        <v>77</v>
      </c>
      <c r="V9" s="36">
        <v>50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6</v>
      </c>
      <c r="C10" s="72"/>
      <c r="D10" s="56" t="s">
        <v>133</v>
      </c>
      <c r="E10" s="146">
        <f>IF(ISNUMBER(SEARCH("sheet",O8,1)),((R9*T9*H8/540000)*U7/2000*1.3),((R9*T9*H8/540000)*U7/1000*1.08))</f>
        <v>239.8</v>
      </c>
      <c r="F10" s="147"/>
      <c r="G10" s="18" t="s">
        <v>52</v>
      </c>
      <c r="H10" s="150">
        <f>IF(ISNUMBER(SEARCH("sheet",O8,1)),(U7*T9/2000*1.08),(U7*T9/1000*1.08))</f>
        <v>4752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/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39.966666666666669</v>
      </c>
      <c r="F11" s="149"/>
      <c r="G11" s="18" t="s">
        <v>14</v>
      </c>
      <c r="H11" s="148">
        <f>H10/B10</f>
        <v>792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166" t="s">
        <v>198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hyperlinks>
    <hyperlink ref="N19" r:id="rId1" xr:uid="{41454A1E-1E33-44C0-9DB4-E816926D5812}"/>
  </hyperlink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2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44554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44545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43326B8-C398-43F8-85BE-839BEAF67AD6}"/>
</file>

<file path=customXml/itemProps2.xml><?xml version="1.0" encoding="utf-8"?>
<ds:datastoreItem xmlns:ds="http://schemas.openxmlformats.org/officeDocument/2006/customXml" ds:itemID="{A417D688-FFA3-445C-B17D-DA7E7D525BA3}"/>
</file>

<file path=customXml/itemProps3.xml><?xml version="1.0" encoding="utf-8"?>
<ds:datastoreItem xmlns:ds="http://schemas.openxmlformats.org/officeDocument/2006/customXml" ds:itemID="{C4459241-ABC4-4DC3-A53A-14626E9B1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2021-07-09T03:20:15Z</cp:lastPrinted>
  <dcterms:created xsi:type="dcterms:W3CDTF">2019-11-27T23:28:06Z</dcterms:created>
  <dcterms:modified xsi:type="dcterms:W3CDTF">2021-11-24T03:46:58Z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