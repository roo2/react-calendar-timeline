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665D2AD1-01AE-4340-B96C-EC5E20E813D7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<sst xmlns="http://schemas.openxmlformats.org/spreadsheetml/2006/main" count="305" uniqueCount="200">
  <si>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</si>
  <si>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</si>
  <si>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</si>
  <si>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</si>
  <si>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</si>
  <si>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</si>
  <si>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</si>
  <si>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</si>
  <si>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</si>
  <si>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</si>
  <si>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</si>
  <si>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</si>
  <si>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</si>
  <si>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</si>
  <si>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</si>
  <si>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</si>
  <si>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</si>
  <si>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</si>
  <si>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</si>
  <si>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</si>
  <si>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</si>
  <si>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</si>
  <si>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</si>
  <si>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</si>
  <si>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</si>
  <si>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</si>
  <si>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</si>
  <si>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</si>
  <si>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</si>
  <si>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</si>
  <si>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</si>
  <si>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</si>
  <si>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</si>
  <si>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</si>
  <si>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</si>
  <si>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</si>
  <si>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</si>
  <si>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</si>
  <si>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</si>
  <si>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</si>
  <si>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</si>
  <si>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</si>
  <si>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</si>
  <si>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</si>
  <si>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</si>
  <si>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</si>
  <si>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</si>
  <si>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</si>
  <si>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</si>
  <si>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</si>
  <si>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</si>
  <si>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</si>
  <si>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</si>
  <si>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</si>
  <si>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</si>
  <si>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</si>
  <si>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</si>
  <si>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</si>
  <si>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</si>
  <si>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</si>
  <si>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</si>
  <si>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</si>
  <si>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</si>
  <si>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</si>
  <si>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</si>
  <si>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</si>
  <si>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</si>
  <si>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</si>
  <si>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</si>
  <si>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</si>
  <si>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</si>
  <si>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</si>
  <si>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</si>
  <si>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</si>
  <si>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</si>
  <si>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</si>
  <si>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</si>
  <si>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</si>
  <si>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</si>
  <si>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</si>
  <si>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</si>
  <si>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</si>
  <si>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</si>
  <si>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</si>
  <si>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</si>
  <si>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</si>
  <si>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</si>
  <si>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</si>
  <si>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</si>
  <si>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</si>
  <si>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</si>
  <si>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</si>
  <si>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</si>
  <si>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</si>
  <si>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</si>
  <si>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</si>
  <si>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</si>
  <si>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</si>
  <si>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</si>
  <si>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</si>
  <si>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</si>
  <si>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</si>
  <si>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</si>
  <si>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</si>
  <si>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</si>
  <si>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</si>
  <si>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</si>
  <si>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</si>
  <si>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</si>
  <si>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</si>
  <si>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</si>
  <si>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</si>
  <si>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</si>
  <si>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</si>
  <si>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</si>
  <si>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</si>
  <si>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</si>
  <si>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</si>
  <si>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</si>
  <si>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</si>
  <si>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</si>
  <si>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</si>
  <si>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</si>
  <si>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</si>
  <si>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</si>
  <si>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</si>
  <si>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</si>
  <si>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</si>
  <si>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</si>
  <si>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</si>
  <si>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</si>
  <si>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</si>
  <si>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</si>
  <si>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</si>
  <si>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</si>
  <si>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</si>
  <si>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</si>
  <si>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</si>
  <si>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</si>
  <si>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</si>
  <si>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</si>
  <si>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</si>
  <si>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</si>
  <si>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</si>
  <si>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</si>
  <si>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</si>
  <si>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</si>
  <si>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</si>
  <si>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</si>
  <si>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</si>
  <si>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</si>
  <si>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</si>
  <si>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</si>
  <si>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</si>
  <si>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</si>
  <si>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</si>
  <si>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</si>
  <si>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</si>
  <si>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</si>
  <si>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</si>
  <si>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</si>
  <si>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</si>
  <si>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</si>
  <si>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</si>
  <si>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</si>
  <si>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</si>
  <si>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</si>
  <si>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</si>
  <si>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</si>
  <si>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</si>
  <si>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</si>
  <si>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</si>
  <si>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</si>
  <si>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</si>
  <si>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</si>
  <si>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</si>
  <si>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</si>
  <si>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</si>
  <si>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</si>
  <si>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</si>
  <si>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</si>
  <si>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</si>
  <si>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</si>
  <si>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</si>
  <si>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</si>
  <si>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</si>
  <si>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</si>
  <si>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</si>
  <si>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</si>
  <si>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</si>
  <si>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</si>
  <si>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</si>
  <si>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</si>
  <si>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</si>
  <si>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</si>
  <si>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HT CONCEPTS</t>
  </si>
  <si>
    <t>(135+120)</t>
  </si>
  <si>
    <t>UV</t>
  </si>
  <si>
    <t>NEW ITEM - MUST HAVE UV &amp; SOLID WHITE - MUST HAVE GOOD SEALS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</si>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</sst>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H9" sqref="H9:I9"/>
    </sheetView>
  </sheetViews>
  <sheetFormatPr defaultRowHeight="15.05" x14ac:dyDescent="0.3"/>
  <sheetData>
    <row r="1" spans="1:28" ht="20.05" customHeight="1" x14ac:dyDescent="0.3">
      <c r="A1" s="12" t="s">
        <v>56</v>
      </c>
      <c r="B1" s="122" t="str">
        <f>O9&amp;R9&amp;IF(X8="G","G","")&amp;IF(O8="Centrefold Roll","("&amp;E8&amp;")","")&amp;T9&amp;V9&amp;C22&amp;C23&amp;C24&amp;O11&amp;R11</f>
        <v>PB255G370120WHUVV</v>
      </c>
      <c r="C1" s="122"/>
      <c r="D1" s="123"/>
      <c r="E1" s="12" t="s">
        <v>57</v>
      </c>
      <c r="F1" s="133" t="s">
        <v>195</v>
      </c>
      <c r="G1" s="133"/>
      <c r="H1" s="134"/>
      <c r="I1" s="13" t="s">
        <v>181</v>
      </c>
      <c r="J1" s="95">
        <f ca="1">TODAY()</f>
        <v>43969</v>
      </c>
      <c r="K1" s="95"/>
      <c r="L1" s="96"/>
      <c r="M1" s="34"/>
      <c r="N1" s="12" t="s">
        <v>56</v>
      </c>
      <c r="O1" s="122" t="str">
        <f>B1</f>
        <v>PB255G370120WHUVV</v>
      </c>
      <c r="P1" s="122"/>
      <c r="Q1" s="123"/>
      <c r="R1" s="12" t="s">
        <v>57</v>
      </c>
      <c r="S1" s="122" t="str">
        <f>F1</f>
        <v>HT CONCEPTS</v>
      </c>
      <c r="T1" s="122"/>
      <c r="U1" s="123"/>
      <c r="V1" s="12" t="s">
        <v>181</v>
      </c>
      <c r="W1" s="95">
        <f ca="1">J1</f>
        <v>43969</v>
      </c>
      <c r="X1" s="95"/>
      <c r="Y1" s="96"/>
    </row>
    <row r="2" spans="1:28" ht="20.05" customHeight="1" x14ac:dyDescent="0.3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937286</v>
      </c>
      <c r="G2" s="98"/>
      <c r="H2" s="99"/>
      <c r="I2" s="12" t="s">
        <v>59</v>
      </c>
      <c r="J2" s="97">
        <v>43990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937286</v>
      </c>
      <c r="T2" s="122"/>
      <c r="U2" s="123"/>
      <c r="V2" s="12" t="s">
        <v>59</v>
      </c>
      <c r="W2" s="135">
        <f>J2</f>
        <v>43990</v>
      </c>
      <c r="X2" s="122"/>
      <c r="Y2" s="123"/>
    </row>
    <row r="3" spans="1:28" ht="20.05" customHeight="1" x14ac:dyDescent="0.3">
      <c r="A3" s="124" t="s">
        <v>198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NEW ITEM - MUST HAVE UV &amp; SOLID WHITE - MUST HAVE GOOD SEALS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05" customHeight="1" x14ac:dyDescent="0.3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05" customHeight="1" x14ac:dyDescent="0.3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05" customHeight="1" x14ac:dyDescent="0.3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05" customHeight="1" x14ac:dyDescent="0.35">
      <c r="A7" s="12" t="s">
        <v>49</v>
      </c>
      <c r="B7" s="119" t="s">
        <v>155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10</v>
      </c>
      <c r="P7" s="99"/>
      <c r="Q7" s="12" t="str">
        <f>IF(ISNUMBER(SEARCH("roll",O8,1)),"Per Roll","Per Carton")</f>
        <v>Per Carton</v>
      </c>
      <c r="R7" s="98">
        <v>500</v>
      </c>
      <c r="S7" s="99"/>
      <c r="T7" s="12" t="str">
        <f>IF(ISNUMBER(SEARCH("bag",O8,1)),"Total Bags","Total Sheets")</f>
        <v>Total Bags</v>
      </c>
      <c r="U7" s="122">
        <f>R7*O7</f>
        <v>5000</v>
      </c>
      <c r="V7" s="123"/>
      <c r="W7" s="12" t="s">
        <v>102</v>
      </c>
      <c r="X7" s="98" t="s">
        <v>23</v>
      </c>
      <c r="Y7" s="99"/>
      <c r="AB7" s="14"/>
    </row>
    <row r="8" spans="1:28" ht="20.05" customHeight="1" x14ac:dyDescent="0.3">
      <c r="A8" s="15" t="s">
        <v>16</v>
      </c>
      <c r="B8" s="100">
        <f>R9</f>
        <v>255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(135+120)</v>
      </c>
      <c r="F8" s="101"/>
      <c r="G8" s="15" t="s">
        <v>52</v>
      </c>
      <c r="H8" s="100">
        <f>(IF(V9&lt;30,"30",V9))</f>
        <v>120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Gusset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G</v>
      </c>
      <c r="Y8" s="137"/>
    </row>
    <row r="9" spans="1:28" ht="20.05" customHeight="1" x14ac:dyDescent="0.35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199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255</v>
      </c>
      <c r="S9" s="20" t="s">
        <v>78</v>
      </c>
      <c r="T9" s="35">
        <v>370</v>
      </c>
      <c r="U9" s="20" t="s">
        <v>78</v>
      </c>
      <c r="V9" s="35">
        <v>120</v>
      </c>
      <c r="W9" s="19"/>
      <c r="X9" s="151" t="s">
        <v>196</v>
      </c>
      <c r="Y9" s="152"/>
    </row>
    <row r="10" spans="1:28" ht="20.05" customHeight="1" x14ac:dyDescent="0.3">
      <c r="A10" s="12" t="s">
        <v>51</v>
      </c>
      <c r="B10" s="98">
        <v>8</v>
      </c>
      <c r="C10" s="99"/>
      <c r="D10" s="54" t="s">
        <v>134</v>
      </c>
      <c r="E10" s="112">
        <f>IF(ISNUMBER(SEARCH("sheet",O8,1)),((R9*T9*H8/540000)*U7/2000*1.3),((R9*T9*H8/540000)*U7/1000*1.08))</f>
        <v>113.22</v>
      </c>
      <c r="F10" s="113"/>
      <c r="G10" s="12" t="s">
        <v>53</v>
      </c>
      <c r="H10" s="116">
        <f>IF(ISNUMBER(SEARCH("sheet",O8,1)),(U7*T9/2000*1.08),(U7*T9/1000*1.08))</f>
        <v>1998.0000000000002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140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05" customHeight="1" x14ac:dyDescent="0.3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14.1525</v>
      </c>
      <c r="F11" s="115"/>
      <c r="G11" s="12" t="s">
        <v>15</v>
      </c>
      <c r="H11" s="114">
        <f>H10/B10</f>
        <v>249.75000000000003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>V</v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05" customHeight="1" x14ac:dyDescent="0.3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05" customHeight="1" x14ac:dyDescent="0.3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05" customHeight="1" x14ac:dyDescent="0.35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05" customHeight="1" x14ac:dyDescent="0.3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05" customHeight="1" x14ac:dyDescent="0.3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38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05" customHeight="1" x14ac:dyDescent="0.3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37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05" customHeight="1" x14ac:dyDescent="0.3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05" customHeight="1" x14ac:dyDescent="0.3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05" customHeight="1" x14ac:dyDescent="0.3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05" customHeight="1" x14ac:dyDescent="0.3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05" customHeight="1" x14ac:dyDescent="0.3">
      <c r="A22" s="85" t="str">
        <f>(IF(B7="NATURAL","",B7))</f>
        <v>WHITE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05" customHeight="1" x14ac:dyDescent="0.3">
      <c r="A23" s="90" t="s">
        <v>197</v>
      </c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05" customHeight="1" x14ac:dyDescent="0.3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44000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43990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E1B5506-CA7E-4114-9CB3-64917660DA6D}"/>
</file>

<file path=customXml/itemProps2.xml><?xml version="1.0" encoding="utf-8"?>
<ds:datastoreItem xmlns:ds="http://schemas.openxmlformats.org/officeDocument/2006/customXml" ds:itemID="{8B5119DC-3E9D-4D3C-9F39-6BF60B21CD82}"/>
</file>

<file path=customXml/itemProps3.xml><?xml version="1.0" encoding="utf-8"?>
<ds:datastoreItem xmlns:ds="http://schemas.openxmlformats.org/officeDocument/2006/customXml" ds:itemID="{E85763E6-E904-4981-A13E-9FF51530EB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2020-05-18T05:30:46Z</cp:lastPrinted>
  <dcterms:created xsi:type="dcterms:W3CDTF">2019-11-27T23:28:06Z</dcterms:created>
  <dcterms:modified xsi:type="dcterms:W3CDTF">2020-05-18T05:32:38Z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