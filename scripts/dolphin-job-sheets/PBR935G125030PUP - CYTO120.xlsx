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787D1F98-10BA-4682-B0C8-C5A40936FE3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3" i="1" l="1"/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<sst xmlns="http://schemas.openxmlformats.org/spreadsheetml/2006/main" count="306" uniqueCount="202">
  <si>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</si>
  <si>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</si>
  <si>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</si>
  <si>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</si>
  <si>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</si>
  <si>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</si>
  <si>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</si>
  <si>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</si>
  <si>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</si>
  <si>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</si>
  <si>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</si>
  <si>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</si>
  <si>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</si>
  <si>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</si>
  <si>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</si>
  <si>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</si>
  <si>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</si>
  <si>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</si>
  <si>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</si>
  <si>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</si>
  <si>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</si>
  <si>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</si>
  <si>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</si>
  <si>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</si>
  <si>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</si>
  <si>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</si>
  <si>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</si>
  <si>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</si>
  <si>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</si>
  <si>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</si>
  <si>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</si>
  <si>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</si>
  <si>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</si>
  <si>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</si>
  <si>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</si>
  <si>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</si>
  <si>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</si>
  <si>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</si>
  <si>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</si>
  <si>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</si>
  <si>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</si>
  <si>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</si>
  <si>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</si>
  <si>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</si>
  <si>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</si>
  <si>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</si>
  <si>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</si>
  <si>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</si>
  <si>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</si>
  <si>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</si>
  <si>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</si>
  <si>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</si>
  <si>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</si>
  <si>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</si>
  <si>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</si>
  <si>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</si>
  <si>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</si>
  <si>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</si>
  <si>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</si>
  <si>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</si>
  <si>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</si>
  <si>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</si>
  <si>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</si>
  <si>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</si>
  <si>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</si>
  <si>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</si>
  <si>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</si>
  <si>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</si>
  <si>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</si>
  <si>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</si>
  <si>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</si>
  <si>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</si>
  <si>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</si>
  <si>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</si>
  <si>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</si>
  <si>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</si>
  <si>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</si>
  <si>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</si>
  <si>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</si>
  <si>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</si>
  <si>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</si>
  <si>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</si>
  <si>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</si>
  <si>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</si>
  <si>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</si>
  <si>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</si>
  <si>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</si>
  <si>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</si>
  <si>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</si>
  <si>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</si>
  <si>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</si>
  <si>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</si>
  <si>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</si>
  <si>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</si>
  <si>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</si>
  <si>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</si>
  <si>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</si>
  <si>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</si>
  <si>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</si>
  <si>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</si>
  <si>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</si>
  <si>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</si>
  <si>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</si>
  <si>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</si>
  <si>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</si>
  <si>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</si>
  <si>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</si>
  <si>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</si>
  <si>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</si>
  <si>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</si>
  <si>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</si>
  <si>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</si>
  <si>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</si>
  <si>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</si>
  <si>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</si>
  <si>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</si>
  <si>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</si>
  <si>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</si>
  <si>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</si>
  <si>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</si>
  <si>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</si>
  <si>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</si>
  <si>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</si>
  <si>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</si>
  <si>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</si>
  <si>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</si>
  <si>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</si>
  <si>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</si>
  <si>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</si>
  <si>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</si>
  <si>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</si>
  <si>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</si>
  <si>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</si>
  <si>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</si>
  <si>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</si>
  <si>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</si>
  <si>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</si>
  <si>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</si>
  <si>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</si>
  <si>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</si>
  <si>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</si>
  <si>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</si>
  <si>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</si>
  <si>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</si>
  <si>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</si>
  <si>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</si>
  <si>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</si>
  <si>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</si>
  <si>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</si>
  <si>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</si>
  <si>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</si>
  <si>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</si>
  <si>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</si>
  <si>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</si>
  <si>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</si>
  <si>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</si>
  <si>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</si>
  <si>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</si>
  <si>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</si>
  <si>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</si>
  <si>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</si>
  <si>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</si>
  <si>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</si>
  <si>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</si>
  <si>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</si>
  <si>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</si>
  <si>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</si>
  <si>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</si>
  <si>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</si>
  <si>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</si>
  <si>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</si>
  <si>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</si>
  <si>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</si>
  <si>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</si>
  <si>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</si>
  <si>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</si>
  <si>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</si>
  <si>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</si>
  <si>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</si>
  <si>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</si>
  <si>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</si>
  <si>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</si>
  <si>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</si>
  <si>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</si>
  <si>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</si>
  <si>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</si>
  <si>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</si>
  <si>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</si>
  <si>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</si>
  <si>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</si>
  <si>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</si>
  <si>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</si>
  <si>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</si>
  <si>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</si>
  <si>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"CYTOTOXIC WASTE"</t>
  </si>
  <si>
    <t xml:space="preserve"> +/- 5mm</t>
  </si>
  <si>
    <t xml:space="preserve"> +/- 5um</t>
  </si>
  <si>
    <t>CYTO120</t>
  </si>
  <si>
    <t>(470+465)</t>
  </si>
  <si>
    <t>J J RICHARDS</t>
  </si>
  <si>
    <t>Notes - 48 CARTONS PER PALLET</t>
  </si>
  <si>
    <t>MUST BE BY 11.04.2022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</si>
</sst>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PBR935G125050LIWHP</v>
      </c>
      <c r="C1" s="122"/>
      <c r="D1" s="123"/>
      <c r="E1" s="12" t="s">
        <v>57</v>
      </c>
      <c r="F1" s="133" t="s">
        <v>199</v>
      </c>
      <c r="G1" s="133"/>
      <c r="H1" s="134"/>
      <c r="I1" s="13" t="s">
        <v>181</v>
      </c>
      <c r="J1" s="95">
        <f ca="1">TODAY()</f>
        <v>44636</v>
      </c>
      <c r="K1" s="95"/>
      <c r="L1" s="96"/>
      <c r="M1" s="34"/>
      <c r="N1" s="12" t="s">
        <v>56</v>
      </c>
      <c r="O1" s="122" t="str">
        <f>B1</f>
        <v>PBR935G125050LIWHP</v>
      </c>
      <c r="P1" s="122"/>
      <c r="Q1" s="123"/>
      <c r="R1" s="12" t="s">
        <v>57</v>
      </c>
      <c r="S1" s="122" t="str">
        <f>F1</f>
        <v>J J RICHARDS</v>
      </c>
      <c r="T1" s="122"/>
      <c r="U1" s="123"/>
      <c r="V1" s="12" t="s">
        <v>181</v>
      </c>
      <c r="W1" s="95">
        <f ca="1">J1</f>
        <v>44636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>CYTO120</v>
      </c>
      <c r="C2" s="122"/>
      <c r="D2" s="123"/>
      <c r="E2" s="12" t="s">
        <v>58</v>
      </c>
      <c r="F2" s="98">
        <v>942862</v>
      </c>
      <c r="G2" s="98"/>
      <c r="H2" s="99"/>
      <c r="I2" s="12" t="s">
        <v>59</v>
      </c>
      <c r="J2" s="97">
        <v>44657</v>
      </c>
      <c r="K2" s="98"/>
      <c r="L2" s="99"/>
      <c r="M2" s="34"/>
      <c r="N2" s="12" t="s">
        <v>100</v>
      </c>
      <c r="O2" s="122" t="str">
        <f>IF(B2="","",B2)</f>
        <v>CYTO120</v>
      </c>
      <c r="P2" s="122"/>
      <c r="Q2" s="123"/>
      <c r="R2" s="12" t="s">
        <v>58</v>
      </c>
      <c r="S2" s="122">
        <f>IF(F2="","",F2)</f>
        <v>942862</v>
      </c>
      <c r="T2" s="122"/>
      <c r="U2" s="123"/>
      <c r="V2" s="12" t="s">
        <v>59</v>
      </c>
      <c r="W2" s="135">
        <f>J2</f>
        <v>44657</v>
      </c>
      <c r="X2" s="122"/>
      <c r="Y2" s="123"/>
    </row>
    <row r="3" spans="1:28" ht="20.100000000000001" customHeight="1" x14ac:dyDescent="0.25">
      <c r="A3" s="124" t="s">
        <v>201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MUST BE BY 11.04.2022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174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Rolls</v>
      </c>
      <c r="O7" s="98">
        <v>50</v>
      </c>
      <c r="P7" s="99"/>
      <c r="Q7" s="12" t="str">
        <f>IF(ISNUMBER(SEARCH("roll",O8,1)),"Per Roll","Per Carton")</f>
        <v>Per Roll</v>
      </c>
      <c r="R7" s="98">
        <v>100</v>
      </c>
      <c r="S7" s="99"/>
      <c r="T7" s="12" t="str">
        <f>IF(ISNUMBER(SEARCH("bag",O8,1)),"Total Bags","Total Sheets")</f>
        <v>Total Bags</v>
      </c>
      <c r="U7" s="122">
        <f>R7*O7</f>
        <v>5000</v>
      </c>
      <c r="V7" s="123"/>
      <c r="W7" s="12" t="s">
        <v>102</v>
      </c>
      <c r="X7" s="98" t="s">
        <v>31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935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(470+465)</v>
      </c>
      <c r="F8" s="101"/>
      <c r="G8" s="15" t="s">
        <v>52</v>
      </c>
      <c r="H8" s="100">
        <f>(IF(V9&lt;30,"30",V9))</f>
        <v>50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Gusset Tube</v>
      </c>
      <c r="L8" s="123"/>
      <c r="M8" s="34"/>
      <c r="N8" s="16" t="s">
        <v>54</v>
      </c>
      <c r="O8" s="138" t="s">
        <v>165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G</v>
      </c>
      <c r="Y8" s="137"/>
    </row>
    <row r="9" spans="1:28" ht="20.100000000000001" customHeight="1" x14ac:dyDescent="0.3">
      <c r="A9" s="18" t="s">
        <v>48</v>
      </c>
      <c r="B9" s="110" t="s">
        <v>195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196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PBR</v>
      </c>
      <c r="P9" s="141"/>
      <c r="Q9" s="19"/>
      <c r="R9" s="35">
        <v>935</v>
      </c>
      <c r="S9" s="20" t="s">
        <v>78</v>
      </c>
      <c r="T9" s="35">
        <v>1250</v>
      </c>
      <c r="U9" s="20" t="s">
        <v>78</v>
      </c>
      <c r="V9" s="35">
        <v>50</v>
      </c>
      <c r="W9" s="19"/>
      <c r="X9" s="151" t="s">
        <v>198</v>
      </c>
      <c r="Y9" s="152"/>
    </row>
    <row r="10" spans="1:28" ht="20.100000000000001" customHeight="1" x14ac:dyDescent="0.25">
      <c r="A10" s="12" t="s">
        <v>51</v>
      </c>
      <c r="B10" s="98">
        <v>50</v>
      </c>
      <c r="C10" s="99"/>
      <c r="D10" s="54" t="s">
        <v>134</v>
      </c>
      <c r="E10" s="112">
        <f>IF(ISNUMBER(SEARCH("sheet",O8,1)),((R9*T9*H8/540000)*U7/2000*1.3),((R9*T9*H8/540000)*U7/1000*1.08))</f>
        <v>584.375</v>
      </c>
      <c r="F10" s="113"/>
      <c r="G10" s="12" t="s">
        <v>53</v>
      </c>
      <c r="H10" s="116">
        <f>IF(ISNUMBER(SEARCH("sheet",O8,1)),(U7*T9/2000*1.08),(U7*T9/1000*1.08))</f>
        <v>6750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Yes</v>
      </c>
      <c r="S10" s="136"/>
      <c r="T10" s="16" t="s">
        <v>100</v>
      </c>
      <c r="U10" s="143" t="s">
        <v>197</v>
      </c>
      <c r="V10" s="143"/>
      <c r="W10" s="143"/>
      <c r="X10" s="143"/>
      <c r="Y10" s="144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11.6875</v>
      </c>
      <c r="F11" s="115"/>
      <c r="G11" s="12" t="s">
        <v>15</v>
      </c>
      <c r="H11" s="114">
        <f>H10/B10</f>
        <v>135</v>
      </c>
      <c r="I11" s="115"/>
      <c r="J11" s="12" t="s">
        <v>50</v>
      </c>
      <c r="K11" s="98" t="s">
        <v>64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>P</v>
      </c>
      <c r="S11" s="101"/>
      <c r="T11" s="15"/>
      <c r="U11" s="145"/>
      <c r="V11" s="145"/>
      <c r="W11" s="145"/>
      <c r="X11" s="145"/>
      <c r="Y11" s="146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70</v>
      </c>
      <c r="C13" s="98"/>
      <c r="D13" s="99"/>
      <c r="E13" s="22" t="s">
        <v>61</v>
      </c>
      <c r="F13" s="98" t="s">
        <v>66</v>
      </c>
      <c r="G13" s="98"/>
      <c r="H13" s="99"/>
      <c r="I13" s="23" t="s">
        <v>62</v>
      </c>
      <c r="J13" s="98" t="s">
        <v>155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50</v>
      </c>
      <c r="R13" s="12" t="s">
        <v>74</v>
      </c>
      <c r="S13" s="36" t="s">
        <v>138</v>
      </c>
      <c r="T13" s="12" t="s">
        <v>178</v>
      </c>
      <c r="U13" s="24">
        <f>IF(S13="No","",(ROUNDUP(U7/W13/24,0)))</f>
        <v>5</v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 t="s">
        <v>194</v>
      </c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110</v>
      </c>
      <c r="P16" s="99"/>
      <c r="Q16" s="12" t="s">
        <v>105</v>
      </c>
      <c r="R16" s="98" t="s">
        <v>23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7"/>
      <c r="Y16" s="158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Rolls</v>
      </c>
      <c r="U17" s="98" t="s">
        <v>23</v>
      </c>
      <c r="V17" s="99"/>
      <c r="W17" s="12" t="str">
        <f>IF(ISNUMBER(SEARCH("roll",O8,1)),"Total Rolls","Total Ctns")</f>
        <v>Total Rolls</v>
      </c>
      <c r="X17" s="157"/>
      <c r="Y17" s="158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23</v>
      </c>
      <c r="S18" s="99"/>
      <c r="T18" s="25" t="s">
        <v>27</v>
      </c>
      <c r="U18" s="98" t="s">
        <v>36</v>
      </c>
      <c r="V18" s="99"/>
      <c r="W18" s="12" t="s">
        <v>109</v>
      </c>
      <c r="X18" s="157"/>
      <c r="Y18" s="158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71" t="s">
        <v>200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100000000000001" customHeight="1" x14ac:dyDescent="0.25">
      <c r="A22" s="85" t="str">
        <f>(IF(B7="NATURAL","",B7))</f>
        <v>LILAC</v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LI</v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77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9"/>
    </row>
    <row r="23" spans="1:25" ht="20.100000000000001" customHeight="1" x14ac:dyDescent="0.25">
      <c r="A23" s="90" t="s">
        <v>155</v>
      </c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WH</v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6" t="s">
        <v>132</v>
      </c>
      <c r="H26" s="156"/>
      <c r="I26" s="156" t="s">
        <v>131</v>
      </c>
      <c r="J26" s="156"/>
      <c r="K26" s="28" t="s">
        <v>94</v>
      </c>
      <c r="L26" s="28" t="s">
        <v>95</v>
      </c>
      <c r="M26" s="34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44667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44657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E9A57E4-5BFB-4D6A-8D57-DAE9A42C96B9}"/>
</file>

<file path=customXml/itemProps2.xml><?xml version="1.0" encoding="utf-8"?>
<ds:datastoreItem xmlns:ds="http://schemas.openxmlformats.org/officeDocument/2006/customXml" ds:itemID="{1F628174-A896-4BC4-B0B4-D4A90BD92859}"/>
</file>

<file path=customXml/itemProps3.xml><?xml version="1.0" encoding="utf-8"?>
<ds:datastoreItem xmlns:ds="http://schemas.openxmlformats.org/officeDocument/2006/customXml" ds:itemID="{C6BA418B-0BD4-4690-BF3A-F0DC291388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2022-03-16T01:16:43Z</cp:lastPrinted>
  <dcterms:created xsi:type="dcterms:W3CDTF">2019-11-27T23:28:06Z</dcterms:created>
  <dcterms:modified xsi:type="dcterms:W3CDTF">2022-03-16T01:30:37Z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