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947C89C-4504-475C-A03D-F7D082E041F8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<sst xmlns="http://schemas.openxmlformats.org/spreadsheetml/2006/main" count="305" uniqueCount="201">
  <si>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</si>
  <si>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</si>
  <si>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</si>
  <si>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</si>
  <si>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</si>
  <si>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</si>
  <si>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</si>
  <si>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</si>
  <si>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</si>
  <si>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</si>
  <si>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</si>
  <si>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</si>
  <si>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</si>
  <si>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</si>
  <si>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</si>
  <si>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</si>
  <si>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</si>
  <si>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</si>
  <si>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</si>
  <si>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</si>
  <si>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</si>
  <si>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</si>
  <si>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</si>
  <si>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</si>
  <si>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</si>
  <si>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</si>
  <si>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</si>
  <si>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</si>
  <si>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</si>
  <si>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</si>
  <si>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</si>
  <si>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</si>
  <si>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</si>
  <si>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</si>
  <si>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</si>
  <si>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</si>
  <si>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</si>
  <si>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</si>
  <si>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</si>
  <si>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</si>
  <si>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</si>
  <si>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</si>
  <si>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</si>
  <si>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</si>
  <si>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</si>
  <si>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</si>
  <si>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</si>
  <si>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</si>
  <si>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</si>
  <si>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</si>
  <si>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</si>
  <si>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</si>
  <si>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</si>
  <si>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</si>
  <si>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</si>
  <si>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</si>
  <si>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</si>
  <si>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</si>
  <si>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</si>
  <si>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</si>
  <si>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</si>
  <si>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</si>
  <si>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</si>
  <si>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</si>
  <si>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</si>
  <si>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</si>
  <si>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</si>
  <si>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</si>
  <si>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</si>
  <si>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</si>
  <si>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</si>
  <si>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</si>
  <si>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</si>
  <si>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</si>
  <si>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</si>
  <si>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</si>
  <si>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</si>
  <si>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</si>
  <si>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</si>
  <si>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</si>
  <si>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</si>
  <si>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</si>
  <si>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</si>
  <si>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</si>
  <si>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</si>
  <si>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</si>
  <si>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</si>
  <si>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</si>
  <si>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</si>
  <si>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</si>
  <si>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</si>
  <si>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</si>
  <si>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</si>
  <si>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</si>
  <si>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</si>
  <si>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</si>
  <si>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</si>
  <si>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</si>
  <si>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</si>
  <si>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</si>
  <si>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</si>
  <si>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</si>
  <si>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</si>
  <si>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</si>
  <si>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</si>
  <si>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</si>
  <si>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</si>
  <si>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</si>
  <si>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</si>
  <si>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</si>
  <si>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</si>
  <si>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</si>
  <si>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</si>
  <si>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</si>
  <si>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</si>
  <si>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</si>
  <si>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</si>
  <si>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</si>
  <si>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</si>
  <si>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</si>
  <si>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</si>
  <si>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</si>
  <si>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</si>
  <si>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</si>
  <si>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</si>
  <si>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</si>
  <si>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</si>
  <si>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</si>
  <si>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</si>
  <si>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</si>
  <si>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</si>
  <si>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</si>
  <si>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</si>
  <si>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</si>
  <si>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</si>
  <si>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</si>
  <si>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</si>
  <si>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</si>
  <si>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</si>
  <si>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</si>
  <si>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</si>
  <si>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</si>
  <si>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</si>
  <si>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</si>
  <si>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</si>
  <si>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</si>
  <si>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</si>
  <si>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</si>
  <si>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</si>
  <si>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</si>
  <si>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</si>
  <si>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</si>
  <si>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</si>
  <si>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</si>
  <si>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</si>
  <si>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</si>
  <si>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</si>
  <si>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</si>
  <si>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</si>
  <si>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</si>
  <si>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</si>
  <si>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</si>
  <si>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</si>
  <si>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</si>
  <si>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</si>
  <si>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</si>
  <si>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</si>
  <si>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</si>
  <si>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</si>
  <si>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</si>
  <si>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</si>
  <si>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</si>
  <si>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</si>
  <si>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</si>
  <si>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</si>
  <si>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</si>
  <si>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</si>
  <si>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</si>
  <si>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</si>
  <si>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</si>
  <si>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</si>
  <si>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</si>
  <si>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</si>
  <si>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</si>
  <si>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</si>
  <si>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</si>
  <si>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</si>
  <si>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</si>
  <si>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</si>
  <si>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</si>
  <si>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</si>
  <si>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</si>
  <si>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</si>
  <si>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</si>
  <si>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SAXON AGENCIES</t>
  </si>
  <si>
    <t>BROWN</t>
  </si>
  <si>
    <t>BIO DEGRADABLE</t>
  </si>
  <si>
    <t xml:space="preserve"> +/- 3mm</t>
  </si>
  <si>
    <t>RUN AT 30um</t>
  </si>
  <si>
    <t>ANTISTATIC</t>
  </si>
  <si>
    <t>FILM MUST NOT BE SPLITTY - OPAQUE BROWN - NEEDS 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</si>
</sst>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PB740135030BBDAS</v>
      </c>
      <c r="C1" s="108"/>
      <c r="D1" s="109"/>
      <c r="E1" s="11" t="s">
        <v>57</v>
      </c>
      <c r="F1" s="62" t="s">
        <v>194</v>
      </c>
      <c r="G1" s="62"/>
      <c r="H1" s="63"/>
      <c r="I1" s="12" t="s">
        <v>181</v>
      </c>
      <c r="J1" s="119">
        <f ca="1">TODAY()</f>
        <v>46078</v>
      </c>
      <c r="K1" s="119"/>
      <c r="L1" s="120"/>
      <c r="M1" s="29"/>
      <c r="N1" s="11" t="s">
        <v>56</v>
      </c>
      <c r="O1" s="108" t="str">
        <f>B1</f>
        <v>PB740135030BBDAS</v>
      </c>
      <c r="P1" s="108"/>
      <c r="Q1" s="109"/>
      <c r="R1" s="11" t="s">
        <v>57</v>
      </c>
      <c r="S1" s="108" t="str">
        <f>F1</f>
        <v>SAXON AGENCIES</v>
      </c>
      <c r="T1" s="108"/>
      <c r="U1" s="109"/>
      <c r="V1" s="11" t="s">
        <v>181</v>
      </c>
      <c r="W1" s="119">
        <f ca="1">J1</f>
        <v>46078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951583</v>
      </c>
      <c r="G2" s="62"/>
      <c r="H2" s="63"/>
      <c r="I2" s="11" t="s">
        <v>59</v>
      </c>
      <c r="J2" s="122">
        <v>43926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951583</v>
      </c>
      <c r="T2" s="108"/>
      <c r="U2" s="109"/>
      <c r="V2" s="11" t="s">
        <v>59</v>
      </c>
      <c r="W2" s="121">
        <f>J2</f>
        <v>43926</v>
      </c>
      <c r="X2" s="108"/>
      <c r="Y2" s="109"/>
    </row>
    <row r="3" spans="1:25" ht="20.100000000000001" customHeight="1" x14ac:dyDescent="0.25">
      <c r="A3" s="110" t="s">
        <v>200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FILM MUST NOT BE SPLITTY - OPAQUE BROWN - NEEDS ANTISTATIC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195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34</v>
      </c>
      <c r="P7" s="63"/>
      <c r="Q7" s="11" t="str">
        <f>IF(ISNUMBER(SEARCH("roll",O8,1)),"Per Roll","Per Carton")</f>
        <v>Per Carton</v>
      </c>
      <c r="R7" s="62">
        <v>300</v>
      </c>
      <c r="S7" s="63"/>
      <c r="T7" s="11" t="str">
        <f>IF(ISNUMBER(SEARCH("bag",O8,1)),"Total Bags","Total Sheets")</f>
        <v>Total Bags</v>
      </c>
      <c r="U7" s="108">
        <f>R7*O7</f>
        <v>10200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740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197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198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740</v>
      </c>
      <c r="S9" s="18" t="s">
        <v>78</v>
      </c>
      <c r="T9" s="30">
        <v>1350</v>
      </c>
      <c r="U9" s="18" t="s">
        <v>78</v>
      </c>
      <c r="V9" s="30">
        <v>30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4</v>
      </c>
      <c r="C10" s="63"/>
      <c r="D10" s="47" t="s">
        <v>134</v>
      </c>
      <c r="E10" s="127">
        <f>IF(ISNUMBER(SEARCH("sheet",O8,1)),((R9*T9*H8/540000)*U7/2000*1.3),((R9*T9*H8/540000)*U7/1000*1.08))</f>
        <v>611.38800000000003</v>
      </c>
      <c r="F10" s="128"/>
      <c r="G10" s="11" t="s">
        <v>53</v>
      </c>
      <c r="H10" s="131">
        <f>IF(ISNUMBER(SEARCH("sheet",O8,1)),(U7*T9/2000*1.08),(U7*T9/1000*1.08))</f>
        <v>14871.6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152.84700000000001</v>
      </c>
      <c r="F11" s="130"/>
      <c r="G11" s="11" t="s">
        <v>15</v>
      </c>
      <c r="H11" s="129">
        <f>H10/B10</f>
        <v>3717.9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34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BROWN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IF(A22="","",IF(A22="NATURAL","",IF(A22="BLACK","BK",IF(A22="WHITE","WH",IF(A22="YELLOW","Y",IF(A22="PURPLE","PU",IF(A22="BLUE","BL",IF(A22="RED","R",IF(A22="GREEN","GR",IF(A22="ORANGE","OR",IF(A22="LILAC","LI",IF(A22="MAROON","MA",IF(A22="BROWN","B",IF(A22="WHITE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196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BD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199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E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F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46106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46099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195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162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175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5" t="s">
        <v>184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7" t="s">
        <v>46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 t="s">
        <v>34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7" t="s">
        <v>47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5" t="s">
        <v>45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2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7" t="s">
        <v>63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44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65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" t="s">
        <v>64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7" t="s">
        <v>68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44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70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5" t="s">
        <v>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2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7" t="s">
        <v>61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5" t="s">
        <v>67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21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56" t="s">
        <v>62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21" t="s">
        <v>44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177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155</v>
      </c>
    </row>
    <row r="60" spans="1:20" x14ac:dyDescent="0.25">
      <c r="A60" s="55" t="s">
        <v>148</v>
      </c>
      <c r="O60" s="1"/>
      <c r="Q60" s="1"/>
      <c r="R60" s="3"/>
      <c r="S60" s="1"/>
    </row>
    <row r="61" spans="1:20" x14ac:dyDescent="0.25">
      <c r="A61" s="55" t="s">
        <v>149</v>
      </c>
      <c r="O61" s="1"/>
      <c r="Q61" s="1"/>
      <c r="R61" s="1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  <c r="T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22729B6-CDCE-488E-8880-54D62240334C}"/>
</file>

<file path=customXml/itemProps2.xml><?xml version="1.0" encoding="utf-8"?>
<ds:datastoreItem xmlns:ds="http://schemas.openxmlformats.org/officeDocument/2006/customXml" ds:itemID="{00DFBD84-3881-4112-8BE8-C4FF6B765954}"/>
</file>

<file path=customXml/itemProps3.xml><?xml version="1.0" encoding="utf-8"?>
<ds:datastoreItem xmlns:ds="http://schemas.openxmlformats.org/officeDocument/2006/customXml" ds:itemID="{816A3586-8BE3-43FD-99ED-D86FA3940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2020-03-05T00:35:38Z</cp:lastPrinted>
  <dcterms:created xsi:type="dcterms:W3CDTF">2019-11-27T23:28:06Z</dcterms:created>
  <dcterms:modified xsi:type="dcterms:W3CDTF">2026-02-25T06:49:30Z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