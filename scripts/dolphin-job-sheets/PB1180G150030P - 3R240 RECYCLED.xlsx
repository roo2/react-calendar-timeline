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8B2E1CC-86F6-4D5A-9153-B320B1AC8602}" xr6:coauthVersionLast="47" xr6:coauthVersionMax="47" xr10:uidLastSave="{00000000-0000-0000-0000-000000000000}"/>
  <bookViews>
    <workbookView xWindow="35235" yWindow="2805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W8" i="1" l="1"/>
  <c r="X8" i="1" s="1"/>
  <c r="D8" i="1"/>
  <c r="E8" i="1"/>
  <c r="A11" i="1" l="1"/>
  <c r="O9" i="1"/>
  <c r="W13" i="1" l="1"/>
  <c r="W16" i="1" l="1"/>
  <c r="B2" i="1" l="1"/>
  <c r="T7" i="1"/>
  <c r="T17" i="1"/>
  <c r="W17" i="1"/>
  <c r="Q7" i="1"/>
  <c r="N7" i="1"/>
  <c r="O11" i="1"/>
  <c r="K8" i="1" l="1"/>
  <c r="C23" i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W2" i="1"/>
  <c r="A5" i="2"/>
  <c r="W1" i="1"/>
  <c r="S1" i="1" l="1"/>
  <c r="O1" i="1" l="1"/>
</calcChain>
</file>

<file path=xl/sharedStrings.xml><?xml version="1.0" encoding="utf-8"?>
<sst xmlns="http://schemas.openxmlformats.org/spreadsheetml/2006/main" count="309" uniqueCount="204">
  <si>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</si>
  <si>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</si>
  <si>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</si>
  <si>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</si>
  <si>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</si>
  <si>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</si>
  <si>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</si>
  <si>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</si>
  <si>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</si>
  <si>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</si>
  <si>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</si>
  <si>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</si>
  <si>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</si>
  <si>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</si>
  <si>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</si>
  <si>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</si>
  <si>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</si>
  <si>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</si>
  <si>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</si>
  <si>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</si>
  <si>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</si>
  <si>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</si>
  <si>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</si>
  <si>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</si>
  <si>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</si>
  <si>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</si>
  <si>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</si>
  <si>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</si>
  <si>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</si>
  <si>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</si>
  <si>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</si>
  <si>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</si>
  <si>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</si>
  <si>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</si>
  <si>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</si>
  <si>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</si>
  <si>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</si>
  <si>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</si>
  <si>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</si>
  <si>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</si>
  <si>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</si>
  <si>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</si>
  <si>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</si>
  <si>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</si>
  <si>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</si>
  <si>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</si>
  <si>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</si>
  <si>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</si>
  <si>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</si>
  <si>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</si>
  <si>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</si>
  <si>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</si>
  <si>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</si>
  <si>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</si>
  <si>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</si>
  <si>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</si>
  <si>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</si>
  <si>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</si>
  <si>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</si>
  <si>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</si>
  <si>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</si>
  <si>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</si>
  <si>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</si>
  <si>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</si>
  <si>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</si>
  <si>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</si>
  <si>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</si>
  <si>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</si>
  <si>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</si>
  <si>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</si>
  <si>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</si>
  <si>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</si>
  <si>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</si>
  <si>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</si>
  <si>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</si>
  <si>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</si>
  <si>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</si>
  <si>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</si>
  <si>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</si>
  <si>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</si>
  <si>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</si>
  <si>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</si>
  <si>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</si>
  <si>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</si>
  <si>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</si>
  <si>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</si>
  <si>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</si>
  <si>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</si>
  <si>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</si>
  <si>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</si>
  <si>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</si>
  <si>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</si>
  <si>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</si>
  <si>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</si>
  <si>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</si>
  <si>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</si>
  <si>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</si>
  <si>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</si>
  <si>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</si>
  <si>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</si>
  <si>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</si>
  <si>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</si>
  <si>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</si>
  <si>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</si>
  <si>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</si>
  <si>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</si>
  <si>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</si>
  <si>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</si>
  <si>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</si>
  <si>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</si>
  <si>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</si>
  <si>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</si>
  <si>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</si>
  <si>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</si>
  <si>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</si>
  <si>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</si>
  <si>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</si>
  <si>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</si>
  <si>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</si>
  <si>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</si>
  <si>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</si>
  <si>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</si>
  <si>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</si>
  <si>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</si>
  <si>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</si>
  <si>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</si>
  <si>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</si>
  <si>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</si>
  <si>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</si>
  <si>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</si>
  <si>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</si>
  <si>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</si>
  <si>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</si>
  <si>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</si>
  <si>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</si>
  <si>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</si>
  <si>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</si>
  <si>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</si>
  <si>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</si>
  <si>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</si>
  <si>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</si>
  <si>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</si>
  <si>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</si>
  <si>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</si>
  <si>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</si>
  <si>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</si>
  <si>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</si>
  <si>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</si>
  <si>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</si>
  <si>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</si>
  <si>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</si>
  <si>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</si>
  <si>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</si>
  <si>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</si>
  <si>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</si>
  <si>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</si>
  <si>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</si>
  <si>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</si>
  <si>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</si>
  <si>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</si>
  <si>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</si>
  <si>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</si>
  <si>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</si>
  <si>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</si>
  <si>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</si>
  <si>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</si>
  <si>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</si>
  <si>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</si>
  <si>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</si>
  <si>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</si>
  <si>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</si>
  <si>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</si>
  <si>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</si>
  <si>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</si>
  <si>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</si>
  <si>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</si>
  <si>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</si>
  <si>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</si>
  <si>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</si>
  <si>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</si>
  <si>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</si>
  <si>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</si>
  <si>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</si>
  <si>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</si>
  <si>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</si>
  <si>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</si>
  <si>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</si>
  <si>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</si>
  <si>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</si>
  <si>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</si>
  <si>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</si>
  <si>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</si>
  <si>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QLD HEALTH</t>
  </si>
  <si>
    <t>ASAP</t>
  </si>
  <si>
    <t>Centrefold Roll</t>
  </si>
  <si>
    <t>(750+430)</t>
  </si>
  <si>
    <t>3R240</t>
  </si>
  <si>
    <t>RUN AT 28UM</t>
  </si>
  <si>
    <t>"3R RECYCLABLE WASTE"</t>
  </si>
  <si>
    <t xml:space="preserve"> +/- 10mm</t>
  </si>
  <si>
    <t>ANTISTATIC</t>
  </si>
  <si>
    <t>ANTIBLOCK</t>
  </si>
  <si>
    <t>AB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</si>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</sst>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1" t="str">
        <f>O9&amp;R9&amp;IF(X8="G","G","")&amp;IF(O8="Centrefold Roll","("&amp;E8&amp;")","")&amp;T9&amp;V9&amp;C22&amp;C23&amp;C24&amp;O11&amp;R11</f>
        <v>PB1180G150030ASABP</v>
      </c>
      <c r="C1" s="111"/>
      <c r="D1" s="112"/>
      <c r="E1" s="10" t="s">
        <v>57</v>
      </c>
      <c r="F1" s="87" t="s">
        <v>192</v>
      </c>
      <c r="G1" s="87"/>
      <c r="H1" s="88"/>
      <c r="I1" s="11" t="s">
        <v>181</v>
      </c>
      <c r="J1" s="84">
        <f ca="1">TODAY()</f>
        <v>46083</v>
      </c>
      <c r="K1" s="84"/>
      <c r="L1" s="85"/>
      <c r="M1" s="28"/>
      <c r="N1" s="10" t="s">
        <v>56</v>
      </c>
      <c r="O1" s="111" t="str">
        <f>B1</f>
        <v>PB1180G150030ASABP</v>
      </c>
      <c r="P1" s="111"/>
      <c r="Q1" s="112"/>
      <c r="R1" s="10" t="s">
        <v>57</v>
      </c>
      <c r="S1" s="111" t="str">
        <f>F1</f>
        <v>QLD HEALTH</v>
      </c>
      <c r="T1" s="111"/>
      <c r="U1" s="112"/>
      <c r="V1" s="10" t="s">
        <v>181</v>
      </c>
      <c r="W1" s="84">
        <f ca="1">J1</f>
        <v>46083</v>
      </c>
      <c r="X1" s="84"/>
      <c r="Y1" s="85"/>
    </row>
    <row r="2" spans="1:25" ht="20.100000000000001" customHeight="1" x14ac:dyDescent="0.25">
      <c r="A2" s="10" t="s">
        <v>100</v>
      </c>
      <c r="B2" s="111" t="str">
        <f>IF(U10="","",U10)</f>
        <v>3R240</v>
      </c>
      <c r="C2" s="111"/>
      <c r="D2" s="112"/>
      <c r="E2" s="10" t="s">
        <v>58</v>
      </c>
      <c r="F2" s="87"/>
      <c r="G2" s="87"/>
      <c r="H2" s="88"/>
      <c r="I2" s="10" t="s">
        <v>59</v>
      </c>
      <c r="J2" s="86" t="s">
        <v>193</v>
      </c>
      <c r="K2" s="87"/>
      <c r="L2" s="88"/>
      <c r="M2" s="28"/>
      <c r="N2" s="10" t="s">
        <v>100</v>
      </c>
      <c r="O2" s="111" t="str">
        <f>IF(B2="","",B2)</f>
        <v>3R240</v>
      </c>
      <c r="P2" s="111"/>
      <c r="Q2" s="112"/>
      <c r="R2" s="10" t="s">
        <v>58</v>
      </c>
      <c r="S2" s="111" t="str">
        <f>IF(F2="","",F2)</f>
        <v/>
      </c>
      <c r="T2" s="111"/>
      <c r="U2" s="112"/>
      <c r="V2" s="10" t="s">
        <v>59</v>
      </c>
      <c r="W2" s="122" t="str">
        <f>J2</f>
        <v>ASAP</v>
      </c>
      <c r="X2" s="111"/>
      <c r="Y2" s="112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Cartons</v>
      </c>
      <c r="O7" s="87">
        <v>27</v>
      </c>
      <c r="P7" s="88"/>
      <c r="Q7" s="10" t="str">
        <f>IF(ISNUMBER(SEARCH("roll",O8,1)),"Per Roll","Per Carton")</f>
        <v>Per Carton</v>
      </c>
      <c r="R7" s="87">
        <v>100</v>
      </c>
      <c r="S7" s="88"/>
      <c r="T7" s="10" t="str">
        <f>IF(ISNUMBER(SEARCH("bag",O8,1)),"Total Bags","Total Sheets")</f>
        <v>Total Bags</v>
      </c>
      <c r="U7" s="111">
        <f>R7*O7</f>
        <v>2700</v>
      </c>
      <c r="V7" s="112"/>
      <c r="W7" s="10" t="s">
        <v>102</v>
      </c>
      <c r="X7" s="87" t="s">
        <v>23</v>
      </c>
      <c r="Y7" s="88"/>
    </row>
    <row r="8" spans="1:25" ht="20.100000000000001" customHeight="1" x14ac:dyDescent="0.25">
      <c r="A8" s="12" t="s">
        <v>16</v>
      </c>
      <c r="B8" s="89">
        <f>R9</f>
        <v>1180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(750+430)</v>
      </c>
      <c r="F8" s="90"/>
      <c r="G8" s="12" t="s">
        <v>52</v>
      </c>
      <c r="H8" s="89">
        <f>(IF(V9&lt;30,"30",V9))</f>
        <v>30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8"/>
      <c r="N8" s="13" t="s">
        <v>54</v>
      </c>
      <c r="O8" s="125" t="s">
        <v>164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00000000000001" customHeight="1" x14ac:dyDescent="0.3">
      <c r="A9" s="15" t="s">
        <v>48</v>
      </c>
      <c r="B9" s="99" t="s">
        <v>199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197</v>
      </c>
      <c r="I9" s="100"/>
      <c r="J9" s="10" t="s">
        <v>55</v>
      </c>
      <c r="K9" s="87" t="s">
        <v>30</v>
      </c>
      <c r="L9" s="88"/>
      <c r="M9" s="28"/>
      <c r="N9" s="16"/>
      <c r="O9" s="127" t="str">
        <f>IF(O8="Poly Bag","PB",IF(O8="Poly Bag Roll","PBR",IF(O8="Centrefold Roll","CFR",IF(O8="Sheet","S",IF(O8="Sheet Roll","SR")))))</f>
        <v>PB</v>
      </c>
      <c r="P9" s="128"/>
      <c r="Q9" s="16"/>
      <c r="R9" s="29">
        <v>1180</v>
      </c>
      <c r="S9" s="17" t="s">
        <v>78</v>
      </c>
      <c r="T9" s="29">
        <v>1500</v>
      </c>
      <c r="U9" s="17" t="s">
        <v>78</v>
      </c>
      <c r="V9" s="29">
        <v>30</v>
      </c>
      <c r="W9" s="16"/>
      <c r="X9" s="136" t="s">
        <v>195</v>
      </c>
      <c r="Y9" s="137"/>
    </row>
    <row r="10" spans="1:25" ht="20.100000000000001" customHeight="1" x14ac:dyDescent="0.25">
      <c r="A10" s="10" t="s">
        <v>51</v>
      </c>
      <c r="B10" s="87">
        <v>8</v>
      </c>
      <c r="C10" s="88"/>
      <c r="D10" s="46" t="s">
        <v>134</v>
      </c>
      <c r="E10" s="101">
        <f>IF(ISNUMBER(SEARCH("sheet",O8,1)),((R9*T9*H8/540000)*U7/2000*1.3),((R9*T9*H8/540000)*U7/1000*1.08))</f>
        <v>286.74</v>
      </c>
      <c r="F10" s="102"/>
      <c r="G10" s="10" t="s">
        <v>53</v>
      </c>
      <c r="H10" s="105">
        <f>IF(ISNUMBER(SEARCH("sheet",O8,1)),(U7*T9/2000*1.08),(U7*T9/1000*1.08))</f>
        <v>4374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Yes</v>
      </c>
      <c r="S10" s="123"/>
      <c r="T10" s="13" t="s">
        <v>100</v>
      </c>
      <c r="U10" s="130" t="s">
        <v>196</v>
      </c>
      <c r="V10" s="130"/>
      <c r="W10" s="130"/>
      <c r="X10" s="130"/>
      <c r="Y10" s="131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35.842500000000001</v>
      </c>
      <c r="F11" s="104"/>
      <c r="G11" s="10" t="s">
        <v>15</v>
      </c>
      <c r="H11" s="103">
        <f>H10/B10</f>
        <v>546.75</v>
      </c>
      <c r="I11" s="104"/>
      <c r="J11" s="10" t="s">
        <v>50</v>
      </c>
      <c r="K11" s="87" t="s">
        <v>65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>P</v>
      </c>
      <c r="S11" s="90"/>
      <c r="T11" s="12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0" t="s">
        <v>68</v>
      </c>
      <c r="B13" s="87" t="s">
        <v>70</v>
      </c>
      <c r="C13" s="87"/>
      <c r="D13" s="88"/>
      <c r="E13" s="18" t="s">
        <v>61</v>
      </c>
      <c r="F13" s="87" t="s">
        <v>66</v>
      </c>
      <c r="G13" s="87"/>
      <c r="H13" s="88"/>
      <c r="I13" s="10" t="s">
        <v>62</v>
      </c>
      <c r="J13" s="87" t="s">
        <v>177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27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3</v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8" t="s">
        <v>198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>
        <v>150</v>
      </c>
      <c r="P16" s="88"/>
      <c r="Q16" s="10" t="s">
        <v>105</v>
      </c>
      <c r="R16" s="87" t="s">
        <v>23</v>
      </c>
      <c r="S16" s="88"/>
      <c r="T16" s="11" t="s">
        <v>103</v>
      </c>
      <c r="U16" s="87" t="s">
        <v>23</v>
      </c>
      <c r="V16" s="88"/>
      <c r="W16" s="10" t="str">
        <f>IF(ISNUMBER(SEARCH("bag",O8,1)),"Total Bags","Total Sheets")</f>
        <v>Total Bags</v>
      </c>
      <c r="X16" s="140"/>
      <c r="Y16" s="141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138"/>
      <c r="F17" s="83"/>
      <c r="G17" s="47" t="s">
        <v>81</v>
      </c>
      <c r="H17" s="31"/>
      <c r="I17" s="82"/>
      <c r="J17" s="83"/>
      <c r="K17" s="82"/>
      <c r="L17" s="83"/>
      <c r="M17" s="28"/>
      <c r="N17" s="10" t="s">
        <v>26</v>
      </c>
      <c r="O17" s="87" t="s">
        <v>35</v>
      </c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Ctns</v>
      </c>
      <c r="U17" s="87" t="s">
        <v>23</v>
      </c>
      <c r="V17" s="88"/>
      <c r="W17" s="10" t="str">
        <f>IF(ISNUMBER(SEARCH("roll",O8,1)),"Total Rolls","Total Ctns")</f>
        <v>Total Ctns</v>
      </c>
      <c r="X17" s="140"/>
      <c r="Y17" s="141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82"/>
      <c r="J18" s="83"/>
      <c r="K18" s="82"/>
      <c r="L18" s="83"/>
      <c r="M18" s="28"/>
      <c r="N18" s="10" t="s">
        <v>101</v>
      </c>
      <c r="O18" s="87" t="s">
        <v>38</v>
      </c>
      <c r="P18" s="88"/>
      <c r="Q18" s="10" t="s">
        <v>106</v>
      </c>
      <c r="R18" s="87" t="s">
        <v>31</v>
      </c>
      <c r="S18" s="88"/>
      <c r="T18" s="20" t="s">
        <v>27</v>
      </c>
      <c r="U18" s="87" t="s">
        <v>36</v>
      </c>
      <c r="V18" s="88"/>
      <c r="W18" s="10" t="s">
        <v>109</v>
      </c>
      <c r="X18" s="140"/>
      <c r="Y18" s="141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82"/>
      <c r="J19" s="83"/>
      <c r="K19" s="82"/>
      <c r="L19" s="83"/>
      <c r="M19" s="28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82"/>
      <c r="J20" s="83"/>
      <c r="K20" s="82"/>
      <c r="L20" s="83"/>
      <c r="M20" s="28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82"/>
      <c r="J21" s="83"/>
      <c r="K21" s="82"/>
      <c r="L21" s="83"/>
      <c r="M21" s="28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7" t="s">
        <v>86</v>
      </c>
      <c r="H22" s="31"/>
      <c r="I22" s="82"/>
      <c r="J22" s="83"/>
      <c r="K22" s="82"/>
      <c r="L22" s="83"/>
      <c r="M22" s="2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200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82"/>
      <c r="F23" s="83"/>
      <c r="G23" s="47" t="s">
        <v>87</v>
      </c>
      <c r="H23" s="31"/>
      <c r="I23" s="82"/>
      <c r="J23" s="83"/>
      <c r="K23" s="82"/>
      <c r="L23" s="83"/>
      <c r="M23" s="28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 t="s">
        <v>201</v>
      </c>
      <c r="B24" s="81"/>
      <c r="C24" s="77" t="s">
        <v>202</v>
      </c>
      <c r="D24" s="78"/>
      <c r="E24" s="82"/>
      <c r="F24" s="83"/>
      <c r="G24" s="47" t="s">
        <v>88</v>
      </c>
      <c r="H24" s="31"/>
      <c r="I24" s="82"/>
      <c r="J24" s="83"/>
      <c r="K24" s="82"/>
      <c r="L24" s="83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/>
      <c r="P25" s="33"/>
      <c r="Q25" s="9">
        <v>24</v>
      </c>
      <c r="R25" s="9"/>
      <c r="S25" s="9"/>
      <c r="T25" s="9"/>
      <c r="U25" s="9"/>
      <c r="V25" s="9"/>
      <c r="W25" s="9">
        <v>12</v>
      </c>
      <c r="X25" s="9">
        <v>17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9" t="s">
        <v>132</v>
      </c>
      <c r="H26" s="139"/>
      <c r="I26" s="139" t="s">
        <v>131</v>
      </c>
      <c r="J26" s="139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1" t="s">
        <v>96</v>
      </c>
      <c r="B27" s="7" t="s">
        <v>203</v>
      </c>
      <c r="C27" s="7"/>
      <c r="D27" s="9">
        <v>8.6</v>
      </c>
      <c r="E27" s="58">
        <v>8.6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B7:I7">
    <cfRule type="containsText" dxfId="3" priority="3" operator="containsText" text="BLACK">
      <formula>NOT(ISERROR(SEARCH("BLACK",B7)))</formula>
    </cfRule>
  </conditionalFormatting>
  <conditionalFormatting sqref="J2 W2">
    <cfRule type="containsText" dxfId="2" priority="2" operator="containsText" text="ASAP">
      <formula>NOT(ISERROR(SEARCH("ASAP",J2)))</formula>
    </cfRule>
  </conditionalFormatting>
  <conditionalFormatting sqref="J13 B7">
    <cfRule type="containsText" dxfId="1" priority="5" operator="containsText" text="LILAC">
      <formula>NOT(ISERROR(SEARCH("LILAC",B7)))</formula>
    </cfRule>
  </conditionalFormatting>
  <conditionalFormatting sqref="J13">
    <cfRule type="containsText" dxfId="0" priority="4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46114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46104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A0206B3-D353-4F7D-BC85-6ECC338EB8DA}"/>
</file>

<file path=customXml/itemProps2.xml><?xml version="1.0" encoding="utf-8"?>
<ds:datastoreItem xmlns:ds="http://schemas.openxmlformats.org/officeDocument/2006/customXml" ds:itemID="{D6CA66FD-004A-4AC8-8D32-41F3CBEDD75F}"/>
</file>

<file path=customXml/itemProps3.xml><?xml version="1.0" encoding="utf-8"?>
<ds:datastoreItem xmlns:ds="http://schemas.openxmlformats.org/officeDocument/2006/customXml" ds:itemID="{D23FE96E-C4F8-4223-8AC8-0D97DBDB5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2025-08-27T23:06:30Z</cp:lastPrinted>
  <dcterms:created xsi:type="dcterms:W3CDTF">2019-11-27T23:28:06Z</dcterms:created>
  <dcterms:modified xsi:type="dcterms:W3CDTF">2026-03-02T04:05:32Z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