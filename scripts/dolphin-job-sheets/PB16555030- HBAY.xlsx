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52E92A5-C678-4433-96CB-0F99063B65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B1" i="1" s="1"/>
  <c r="O1" i="1" s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<sst xmlns="http://schemas.openxmlformats.org/spreadsheetml/2006/main" count="309" uniqueCount="205">
  <si>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</si>
  <si>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</si>
  <si>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</si>
  <si>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</si>
  <si>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</si>
  <si>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</si>
  <si>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</si>
  <si>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</si>
  <si>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</si>
  <si>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</si>
  <si>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</si>
  <si>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</si>
  <si>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</si>
  <si>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</si>
  <si>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</si>
  <si>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</si>
  <si>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</si>
  <si>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</si>
  <si>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</si>
  <si>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</si>
  <si>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</si>
  <si>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</si>
  <si>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</si>
  <si>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</si>
  <si>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</si>
  <si>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</si>
  <si>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</si>
  <si>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</si>
  <si>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</si>
  <si>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</si>
  <si>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</si>
  <si>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</si>
  <si>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</si>
  <si>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</si>
  <si>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</si>
  <si>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</si>
  <si>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</si>
  <si>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</si>
  <si>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</si>
  <si>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</si>
  <si>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</si>
  <si>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</si>
  <si>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</si>
  <si>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</si>
  <si>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</si>
  <si>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</si>
  <si>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</si>
  <si>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</si>
  <si>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</si>
  <si>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</si>
  <si>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</si>
  <si>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</si>
  <si>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</si>
  <si>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</si>
  <si>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</si>
  <si>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</si>
  <si>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</si>
  <si>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</si>
  <si>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</si>
  <si>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</si>
  <si>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</si>
  <si>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</si>
  <si>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</si>
  <si>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</si>
  <si>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</si>
  <si>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</si>
  <si>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</si>
  <si>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</si>
  <si>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</si>
  <si>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</si>
  <si>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</si>
  <si>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</si>
  <si>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</si>
  <si>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</si>
  <si>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</si>
  <si>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</si>
  <si>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</si>
  <si>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</si>
  <si>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</si>
  <si>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</si>
  <si>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</si>
  <si>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</si>
  <si>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</si>
  <si>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</si>
  <si>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</si>
  <si>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</si>
  <si>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</si>
  <si>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</si>
  <si>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</si>
  <si>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</si>
  <si>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</si>
  <si>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</si>
  <si>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</si>
  <si>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</si>
  <si>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</si>
  <si>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</si>
  <si>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</si>
  <si>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</si>
  <si>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</si>
  <si>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</si>
  <si>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</si>
  <si>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</si>
  <si>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</si>
  <si>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</si>
  <si>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</si>
  <si>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</si>
  <si>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</si>
  <si>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</si>
  <si>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</si>
  <si>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</si>
  <si>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</si>
  <si>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</si>
  <si>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</si>
  <si>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</si>
  <si>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</si>
  <si>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</si>
  <si>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</si>
  <si>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</si>
  <si>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</si>
  <si>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</si>
  <si>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</si>
  <si>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</si>
  <si>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</si>
  <si>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</si>
  <si>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</si>
  <si>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</si>
  <si>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</si>
  <si>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</si>
  <si>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</si>
  <si>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</si>
  <si>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</si>
  <si>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</si>
  <si>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</si>
  <si>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</si>
  <si>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</si>
  <si>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</si>
  <si>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</si>
  <si>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</si>
  <si>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</si>
  <si>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</si>
  <si>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</si>
  <si>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</si>
  <si>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</si>
  <si>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</si>
  <si>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</si>
  <si>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</si>
  <si>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</si>
  <si>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</si>
  <si>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</si>
  <si>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</si>
  <si>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</si>
  <si>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</si>
  <si>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</si>
  <si>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</si>
  <si>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</si>
  <si>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</si>
  <si>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</si>
  <si>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</si>
  <si>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</si>
  <si>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</si>
  <si>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</si>
  <si>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</si>
  <si>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</si>
  <si>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</si>
  <si>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</si>
  <si>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</si>
  <si>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</si>
  <si>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</si>
  <si>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</si>
  <si>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</si>
  <si>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</si>
  <si>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</si>
  <si>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</si>
  <si>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</si>
  <si>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</si>
  <si>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</si>
  <si>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</si>
  <si>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</si>
  <si>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</si>
  <si>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</si>
  <si>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</si>
  <si>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</si>
  <si>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</si>
  <si>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</si>
  <si>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</si>
  <si>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</si>
  <si>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</si>
  <si>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</si>
  <si>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</si>
  <si>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</si>
  <si>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</si>
  <si>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</si>
  <si>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</si>
  <si>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</si>
  <si>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+0mm/- 5mm</t>
  </si>
  <si>
    <t>NOT OVER</t>
  </si>
  <si>
    <t>LIMAX</t>
  </si>
  <si>
    <t>HERVEY BAY ADVERTISER</t>
  </si>
  <si>
    <t>ANTISTATIC</t>
  </si>
  <si>
    <t>ANITBLOCK</t>
  </si>
  <si>
    <t>FISHBOWL</t>
  </si>
  <si>
    <t>#2 /5/LINE 2</t>
  </si>
  <si>
    <t>35/2.8</t>
  </si>
  <si>
    <t>7.6/6.3</t>
  </si>
  <si>
    <t>25.03.26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</si>
</sst>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B5" sqref="AB5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7" t="str">
        <f>O9&amp;R9&amp;IF(X8="G","G","")&amp;IF(O8="Centrefold Roll","("&amp;E8&amp;")","")&amp;T9&amp;V9&amp;C22&amp;C23&amp;C24&amp;O11&amp;R11</f>
        <v>PB16555030AS0</v>
      </c>
      <c r="C1" s="107"/>
      <c r="D1" s="108"/>
      <c r="E1" s="9" t="s">
        <v>57</v>
      </c>
      <c r="F1" s="118" t="s">
        <v>197</v>
      </c>
      <c r="G1" s="61"/>
      <c r="H1" s="62"/>
      <c r="I1" s="10" t="s">
        <v>181</v>
      </c>
      <c r="J1" s="119">
        <f ca="1">TODAY()</f>
        <v>46058</v>
      </c>
      <c r="K1" s="119"/>
      <c r="L1" s="120"/>
      <c r="M1" s="27"/>
      <c r="N1" s="9" t="s">
        <v>56</v>
      </c>
      <c r="O1" s="107" t="str">
        <f>B1</f>
        <v>PB16555030AS0</v>
      </c>
      <c r="P1" s="107"/>
      <c r="Q1" s="108"/>
      <c r="R1" s="9" t="s">
        <v>57</v>
      </c>
      <c r="S1" s="107" t="str">
        <f>F1</f>
        <v>HERVEY BAY ADVERTISER</v>
      </c>
      <c r="T1" s="107"/>
      <c r="U1" s="108"/>
      <c r="V1" s="9" t="s">
        <v>181</v>
      </c>
      <c r="W1" s="119">
        <f ca="1">J1</f>
        <v>46058</v>
      </c>
      <c r="X1" s="119"/>
      <c r="Y1" s="120"/>
    </row>
    <row r="2" spans="1:25" ht="20.100000000000001" customHeight="1" x14ac:dyDescent="0.25">
      <c r="A2" s="9" t="s">
        <v>100</v>
      </c>
      <c r="B2" s="107" t="str">
        <f>IF(U10="","",U10)</f>
        <v/>
      </c>
      <c r="C2" s="107"/>
      <c r="D2" s="108"/>
      <c r="E2" s="9" t="s">
        <v>58</v>
      </c>
      <c r="F2" s="61">
        <v>950551</v>
      </c>
      <c r="G2" s="61"/>
      <c r="H2" s="62"/>
      <c r="I2" s="9" t="s">
        <v>59</v>
      </c>
      <c r="J2" s="122" t="s">
        <v>204</v>
      </c>
      <c r="K2" s="61"/>
      <c r="L2" s="62"/>
      <c r="M2" s="27"/>
      <c r="N2" s="9" t="s">
        <v>100</v>
      </c>
      <c r="O2" s="107" t="str">
        <f>IF(B2="","",B2)</f>
        <v/>
      </c>
      <c r="P2" s="107"/>
      <c r="Q2" s="108"/>
      <c r="R2" s="9" t="s">
        <v>58</v>
      </c>
      <c r="S2" s="107">
        <f>IF(F2="","",F2)</f>
        <v>950551</v>
      </c>
      <c r="T2" s="107"/>
      <c r="U2" s="108"/>
      <c r="V2" s="9" t="s">
        <v>59</v>
      </c>
      <c r="W2" s="121" t="s">
        <v>204</v>
      </c>
      <c r="X2" s="107"/>
      <c r="Y2" s="108"/>
    </row>
    <row r="3" spans="1:25" ht="20.100000000000001" customHeight="1" x14ac:dyDescent="0.25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3" t="s">
        <v>200</v>
      </c>
      <c r="B6" s="124"/>
      <c r="C6" s="124"/>
      <c r="D6" s="124"/>
      <c r="E6" s="124"/>
      <c r="F6" s="124"/>
      <c r="G6" s="124"/>
      <c r="H6" s="124"/>
      <c r="I6" s="124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200</v>
      </c>
      <c r="P7" s="62"/>
      <c r="Q7" s="9" t="str">
        <f>IF(ISNUMBER(SEARCH("roll",O8,1)),"Per Roll","Per Carton")</f>
        <v>Per Carton</v>
      </c>
      <c r="R7" s="61">
        <v>5000</v>
      </c>
      <c r="S7" s="62"/>
      <c r="T7" s="9" t="str">
        <f>IF(ISNUMBER(SEARCH("bag",O8,1)),"Total Bags","Total Sheets")</f>
        <v>Total Bags</v>
      </c>
      <c r="U7" s="107">
        <v>150000</v>
      </c>
      <c r="V7" s="108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5">
        <f>R9</f>
        <v>165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30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164</v>
      </c>
      <c r="P8" s="9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4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99"/>
      <c r="F9" s="100"/>
      <c r="G9" s="14" t="s">
        <v>48</v>
      </c>
      <c r="H9" s="125" t="s">
        <v>195</v>
      </c>
      <c r="I9" s="126"/>
      <c r="J9" s="9" t="s">
        <v>55</v>
      </c>
      <c r="K9" s="61" t="s">
        <v>30</v>
      </c>
      <c r="L9" s="62"/>
      <c r="M9" s="27"/>
      <c r="N9" s="15"/>
      <c r="O9" s="101" t="str">
        <f>IF(O8="Poly Bag","PB",IF(O8="Poly Bag Roll","PBR",IF(O8="Centrefold Roll","CFR",IF(O8="Sheet","S",IF(O8="Sheet Roll","SR")))))</f>
        <v>PB</v>
      </c>
      <c r="P9" s="102"/>
      <c r="Q9" s="15"/>
      <c r="R9" s="28">
        <v>165</v>
      </c>
      <c r="S9" s="16" t="s">
        <v>78</v>
      </c>
      <c r="T9" s="28">
        <v>550</v>
      </c>
      <c r="U9" s="16" t="s">
        <v>78</v>
      </c>
      <c r="V9" s="28">
        <v>30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30</v>
      </c>
      <c r="C10" s="62"/>
      <c r="D10" s="45" t="s">
        <v>134</v>
      </c>
      <c r="E10" s="127">
        <f>IF(ISNUMBER(SEARCH("sheet",O8,1)),((R9*T9*H8/540000)*U7/2000*1.3),((R9*T9*H8/540000)*U7/1000*1.08))</f>
        <v>816.75</v>
      </c>
      <c r="F10" s="128"/>
      <c r="G10" s="9" t="s">
        <v>53</v>
      </c>
      <c r="H10" s="131">
        <f>IF(ISNUMBER(SEARCH("sheet",O8,1)),(U7*T9/2000*1.08),(U7*T9/1000*1.08))</f>
        <v>89100</v>
      </c>
      <c r="I10" s="132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/>
      <c r="V10" s="103"/>
      <c r="W10" s="103"/>
      <c r="X10" s="103"/>
      <c r="Y10" s="104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9">
        <f>E10/B10</f>
        <v>27.225000000000001</v>
      </c>
      <c r="F11" s="130"/>
      <c r="G11" s="9" t="s">
        <v>15</v>
      </c>
      <c r="H11" s="129">
        <f>H10/B10</f>
        <v>2970</v>
      </c>
      <c r="I11" s="130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200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6" t="s">
        <v>4</v>
      </c>
      <c r="F16" s="146"/>
      <c r="G16" s="146" t="s">
        <v>5</v>
      </c>
      <c r="H16" s="146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130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7" t="s">
        <v>198</v>
      </c>
      <c r="B23" s="147"/>
      <c r="C23" s="9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8" t="s">
        <v>199</v>
      </c>
      <c r="B24" s="149"/>
      <c r="C24" s="91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196</v>
      </c>
      <c r="P25" s="32"/>
      <c r="Q25" s="8">
        <v>30</v>
      </c>
      <c r="R25" s="8"/>
      <c r="S25" s="8"/>
      <c r="T25" s="8"/>
      <c r="U25" s="8"/>
      <c r="V25" s="8"/>
      <c r="W25" s="8">
        <v>16</v>
      </c>
      <c r="X25" s="8">
        <v>11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8">
        <v>1</v>
      </c>
      <c r="C27" s="7"/>
      <c r="D27" s="8">
        <v>4.2</v>
      </c>
      <c r="E27" s="57">
        <v>4.4000000000000004</v>
      </c>
      <c r="F27" s="7"/>
      <c r="G27" s="89"/>
      <c r="H27" s="89"/>
      <c r="I27" s="89"/>
      <c r="J27" s="8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8" t="s">
        <v>201</v>
      </c>
      <c r="C28" s="7"/>
      <c r="D28" s="8" t="s">
        <v>202</v>
      </c>
      <c r="E28" s="57" t="s">
        <v>203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46086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46079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890A9E8-BE89-4BD1-8B26-35875D12C31F}"/>
</file>

<file path=customXml/itemProps2.xml><?xml version="1.0" encoding="utf-8"?>
<ds:datastoreItem xmlns:ds="http://schemas.openxmlformats.org/officeDocument/2006/customXml" ds:itemID="{F1AD8FDD-BA74-4818-A733-D3A288388DA6}"/>
</file>

<file path=customXml/itemProps3.xml><?xml version="1.0" encoding="utf-8"?>
<ds:datastoreItem xmlns:ds="http://schemas.openxmlformats.org/officeDocument/2006/customXml" ds:itemID="{A27D5A19-BEF6-455C-AD2D-76B58E557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2026-02-05T03:45:18Z</cp:lastPrinted>
  <dcterms:created xsi:type="dcterms:W3CDTF">2019-11-27T23:28:06Z</dcterms:created>
  <dcterms:modified xsi:type="dcterms:W3CDTF">2026-02-05T04:55:09Z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