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33F1B1C-240C-40D6-BF5C-29AE3F3A7565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<sst xmlns="http://schemas.openxmlformats.org/spreadsheetml/2006/main" count="305" uniqueCount="201">
  <si>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</si>
  <si>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</si>
  <si>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</si>
  <si>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</si>
  <si>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</si>
  <si>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</si>
  <si>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</si>
  <si>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</si>
  <si>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</si>
  <si>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</si>
  <si>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</si>
  <si>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</si>
  <si>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</si>
  <si>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</si>
  <si>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</si>
  <si>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</si>
  <si>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</si>
  <si>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</si>
  <si>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</si>
  <si>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</si>
  <si>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</si>
  <si>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</si>
  <si>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</si>
  <si>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</si>
  <si>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</si>
  <si>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</si>
  <si>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</si>
  <si>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</si>
  <si>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</si>
  <si>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</si>
  <si>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</si>
  <si>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</si>
  <si>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</si>
  <si>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</si>
  <si>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</si>
  <si>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</si>
  <si>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</si>
  <si>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</si>
  <si>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</si>
  <si>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</si>
  <si>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</si>
  <si>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</si>
  <si>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</si>
  <si>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</si>
  <si>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</si>
  <si>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</si>
  <si>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</si>
  <si>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</si>
  <si>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</si>
  <si>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</si>
  <si>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</si>
  <si>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</si>
  <si>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</si>
  <si>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</si>
  <si>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</si>
  <si>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</si>
  <si>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</si>
  <si>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</si>
  <si>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</si>
  <si>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</si>
  <si>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</si>
  <si>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</si>
  <si>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</si>
  <si>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</si>
  <si>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</si>
  <si>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</si>
  <si>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</si>
  <si>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</si>
  <si>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</si>
  <si>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</si>
  <si>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</si>
  <si>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</si>
  <si>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</si>
  <si>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</si>
  <si>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</si>
  <si>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</si>
  <si>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</si>
  <si>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</si>
  <si>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</si>
  <si>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</si>
  <si>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</si>
  <si>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</si>
  <si>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</si>
  <si>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</si>
  <si>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</si>
  <si>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</si>
  <si>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</si>
  <si>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</si>
  <si>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</si>
  <si>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</si>
  <si>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</si>
  <si>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</si>
  <si>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</si>
  <si>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</si>
  <si>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</si>
  <si>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</si>
  <si>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</si>
  <si>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</si>
  <si>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</si>
  <si>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</si>
  <si>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</si>
  <si>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</si>
  <si>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</si>
  <si>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</si>
  <si>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</si>
  <si>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</si>
  <si>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</si>
  <si>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</si>
  <si>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</si>
  <si>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</si>
  <si>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</si>
  <si>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</si>
  <si>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</si>
  <si>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</si>
  <si>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</si>
  <si>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</si>
  <si>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</si>
  <si>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</si>
  <si>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</si>
  <si>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</si>
  <si>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</si>
  <si>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</si>
  <si>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</si>
  <si>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</si>
  <si>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</si>
  <si>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</si>
  <si>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</si>
  <si>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</si>
  <si>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</si>
  <si>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</si>
  <si>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</si>
  <si>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</si>
  <si>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</si>
  <si>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</si>
  <si>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</si>
  <si>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</si>
  <si>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</si>
  <si>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</si>
  <si>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</si>
  <si>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</si>
  <si>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</si>
  <si>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</si>
  <si>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</si>
  <si>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</si>
  <si>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</si>
  <si>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</si>
  <si>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</si>
  <si>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</si>
  <si>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</si>
  <si>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</si>
  <si>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</si>
  <si>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</si>
  <si>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</si>
  <si>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</si>
  <si>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</si>
  <si>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</si>
  <si>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</si>
  <si>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</si>
  <si>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</si>
  <si>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</si>
  <si>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</si>
  <si>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</si>
  <si>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</si>
  <si>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</si>
  <si>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</si>
  <si>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</si>
  <si>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</si>
  <si>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</si>
  <si>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</si>
  <si>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</si>
  <si>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</si>
  <si>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</si>
  <si>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</si>
  <si>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</si>
  <si>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</si>
  <si>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</si>
  <si>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</si>
  <si>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</si>
  <si>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</si>
  <si>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</si>
  <si>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</si>
  <si>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</si>
  <si>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</si>
  <si>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</si>
  <si>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</si>
  <si>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</si>
  <si>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</si>
  <si>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</si>
  <si>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</si>
  <si>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</si>
  <si>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</si>
  <si>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</si>
  <si>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</si>
  <si>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</si>
  <si>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</si>
  <si>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 xml:space="preserve"> +/-5mm</t>
  </si>
  <si>
    <t>LIMAX</t>
  </si>
  <si>
    <t>ANTIBLOCK</t>
  </si>
  <si>
    <t>%</t>
  </si>
  <si>
    <t>BLACKWOODS</t>
  </si>
  <si>
    <t xml:space="preserve"> - MUST HAVE WATER TIGHT SEALS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</si>
</sst>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PB3555001000</v>
      </c>
      <c r="C1" s="111"/>
      <c r="D1" s="112"/>
      <c r="E1" s="11" t="s">
        <v>57</v>
      </c>
      <c r="F1" s="122" t="s">
        <v>199</v>
      </c>
      <c r="G1" s="87"/>
      <c r="H1" s="88"/>
      <c r="I1" s="12" t="s">
        <v>181</v>
      </c>
      <c r="J1" s="84">
        <f ca="1">TODAY()</f>
        <v>45674</v>
      </c>
      <c r="K1" s="84"/>
      <c r="L1" s="85"/>
      <c r="M1" s="29"/>
      <c r="N1" s="11" t="s">
        <v>56</v>
      </c>
      <c r="O1" s="111" t="str">
        <f>B1</f>
        <v>PB3555001000</v>
      </c>
      <c r="P1" s="111"/>
      <c r="Q1" s="112"/>
      <c r="R1" s="11" t="s">
        <v>57</v>
      </c>
      <c r="S1" s="111" t="str">
        <f>F1</f>
        <v>BLACKWOODS</v>
      </c>
      <c r="T1" s="111"/>
      <c r="U1" s="112"/>
      <c r="V1" s="11" t="s">
        <v>181</v>
      </c>
      <c r="W1" s="84">
        <f ca="1">J1</f>
        <v>45674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949312</v>
      </c>
      <c r="G2" s="87"/>
      <c r="H2" s="88"/>
      <c r="I2" s="11" t="s">
        <v>59</v>
      </c>
      <c r="J2" s="86">
        <v>45705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949312</v>
      </c>
      <c r="T2" s="111"/>
      <c r="U2" s="112"/>
      <c r="V2" s="11" t="s">
        <v>59</v>
      </c>
      <c r="W2" s="123">
        <f>J2</f>
        <v>45705</v>
      </c>
      <c r="X2" s="111"/>
      <c r="Y2" s="112"/>
    </row>
    <row r="3" spans="1:25" ht="20.149999999999999" customHeight="1" x14ac:dyDescent="0.75">
      <c r="A3" s="113" t="s">
        <v>200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 xml:space="preserve"> - MUST HAVE WATER TIGHT SEALS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130</v>
      </c>
      <c r="P7" s="88"/>
      <c r="Q7" s="11" t="str">
        <f>IF(ISNUMBER(SEARCH("roll",O8,1)),"Per Roll","Per Carton")</f>
        <v>Per Carton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32500</v>
      </c>
      <c r="V7" s="112"/>
      <c r="W7" s="11" t="s">
        <v>102</v>
      </c>
      <c r="X7" s="87" t="s">
        <v>23</v>
      </c>
      <c r="Y7" s="88"/>
    </row>
    <row r="8" spans="1:25" ht="20.149999999999999" customHeight="1" x14ac:dyDescent="0.8">
      <c r="A8" s="13" t="s">
        <v>16</v>
      </c>
      <c r="B8" s="89">
        <f>R9</f>
        <v>355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49999999999999" customHeight="1" x14ac:dyDescent="0.9">
      <c r="A9" s="16" t="s">
        <v>48</v>
      </c>
      <c r="B9" s="99" t="s">
        <v>195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194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355</v>
      </c>
      <c r="S9" s="18" t="s">
        <v>78</v>
      </c>
      <c r="T9" s="30">
        <v>500</v>
      </c>
      <c r="U9" s="18" t="s">
        <v>78</v>
      </c>
      <c r="V9" s="30">
        <v>100</v>
      </c>
      <c r="W9" s="17"/>
      <c r="X9" s="137"/>
      <c r="Y9" s="138"/>
    </row>
    <row r="10" spans="1:25" ht="20.149999999999999" customHeight="1" x14ac:dyDescent="0.8">
      <c r="A10" s="11" t="s">
        <v>51</v>
      </c>
      <c r="B10" s="87">
        <v>50</v>
      </c>
      <c r="C10" s="88"/>
      <c r="D10" s="47" t="s">
        <v>134</v>
      </c>
      <c r="E10" s="101">
        <f>IF(ISNUMBER(SEARCH("sheet",O8,1)),((R9*T9*H8/540000)*U7/2000*1.3),((R9*T9*H8/540000)*U7/1000*1.08))</f>
        <v>1153.7500000000002</v>
      </c>
      <c r="F10" s="102"/>
      <c r="G10" s="11" t="s">
        <v>53</v>
      </c>
      <c r="H10" s="105">
        <f>IF(ISNUMBER(SEARCH("sheet",O8,1)),(U7*T9/2000*1.08),(U7*T9/1000*1.08))</f>
        <v>17550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44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23.075000000000003</v>
      </c>
      <c r="F11" s="104"/>
      <c r="G11" s="11" t="s">
        <v>15</v>
      </c>
      <c r="H11" s="103">
        <f>H10/B10</f>
        <v>351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130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180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37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0"/>
      <c r="Y18" s="141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142" t="s">
        <v>116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79" t="s">
        <v>197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 t="s">
        <v>198</v>
      </c>
      <c r="F23" s="83"/>
      <c r="G23" s="48" t="s">
        <v>87</v>
      </c>
      <c r="H23" s="32"/>
      <c r="I23" s="82"/>
      <c r="J23" s="83"/>
      <c r="K23" s="82"/>
      <c r="L23" s="83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196</v>
      </c>
      <c r="P25" s="34"/>
      <c r="Q25" s="10">
        <v>26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45705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45695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52B38E8-EB6B-4B04-9A71-2A8BF11FDB18}"/>
</file>

<file path=customXml/itemProps2.xml><?xml version="1.0" encoding="utf-8"?>
<ds:datastoreItem xmlns:ds="http://schemas.openxmlformats.org/officeDocument/2006/customXml" ds:itemID="{97F22E8D-CFCE-4929-8961-EE6BDB7EA01C}"/>
</file>

<file path=customXml/itemProps3.xml><?xml version="1.0" encoding="utf-8"?>
<ds:datastoreItem xmlns:ds="http://schemas.openxmlformats.org/officeDocument/2006/customXml" ds:itemID="{88A4E30C-2C3F-45E0-8C71-765F7B08FD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2025-01-17T01:14:08Z</cp:lastPrinted>
  <dcterms:created xsi:type="dcterms:W3CDTF">2019-11-27T23:28:06Z</dcterms:created>
  <dcterms:modified xsi:type="dcterms:W3CDTF">2025-02-03T01:37:23Z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