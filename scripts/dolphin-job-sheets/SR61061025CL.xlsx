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E35D91C-E3C0-4D88-B0C6-1114924102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<sst xmlns="http://schemas.openxmlformats.org/spreadsheetml/2006/main" count="310" uniqueCount="202">
  <si>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</si>
  <si>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</si>
  <si>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</si>
  <si>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</si>
  <si>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</si>
  <si>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</si>
  <si>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</si>
  <si>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</si>
  <si>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</si>
  <si>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</si>
  <si>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</si>
  <si>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</si>
  <si>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</si>
  <si>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</si>
  <si>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</si>
  <si>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</si>
  <si>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</si>
  <si>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</si>
  <si>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</si>
  <si>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</si>
  <si>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</si>
  <si>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</si>
  <si>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</si>
  <si>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</si>
  <si>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</si>
  <si>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</si>
  <si>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</si>
  <si>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</si>
  <si>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</si>
  <si>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</si>
  <si>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</si>
  <si>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</si>
  <si>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</si>
  <si>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</si>
  <si>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</si>
  <si>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</si>
  <si>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</si>
  <si>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</si>
  <si>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</si>
  <si>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</si>
  <si>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</si>
  <si>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</si>
  <si>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</si>
  <si>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</si>
  <si>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</si>
  <si>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</si>
  <si>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</si>
  <si>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</si>
  <si>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</si>
  <si>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</si>
  <si>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</si>
  <si>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</si>
  <si>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</si>
  <si>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</si>
  <si>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</si>
  <si>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</si>
  <si>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</si>
  <si>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</si>
  <si>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</si>
  <si>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</si>
  <si>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</si>
  <si>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</si>
  <si>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</si>
  <si>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</si>
  <si>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</si>
  <si>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</si>
  <si>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</si>
  <si>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</si>
  <si>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</si>
  <si>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</si>
  <si>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</si>
  <si>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</si>
  <si>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</si>
  <si>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</si>
  <si>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</si>
  <si>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</si>
  <si>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</si>
  <si>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</si>
  <si>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</si>
  <si>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</si>
  <si>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</si>
  <si>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</si>
  <si>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</si>
  <si>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</si>
  <si>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</si>
  <si>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</si>
  <si>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</si>
  <si>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</si>
  <si>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</si>
  <si>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</si>
  <si>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</si>
  <si>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</si>
  <si>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</si>
  <si>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</si>
  <si>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</si>
  <si>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</si>
  <si>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</si>
  <si>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</si>
  <si>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</si>
  <si>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</si>
  <si>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</si>
  <si>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</si>
  <si>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</si>
  <si>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</si>
  <si>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</si>
  <si>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</si>
  <si>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</si>
  <si>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</si>
  <si>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</si>
  <si>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</si>
  <si>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</si>
  <si>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</si>
  <si>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</si>
  <si>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</si>
  <si>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</si>
  <si>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</si>
  <si>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</si>
  <si>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</si>
  <si>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</si>
  <si>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</si>
  <si>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</si>
  <si>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</si>
  <si>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</si>
  <si>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</si>
  <si>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</si>
  <si>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</si>
  <si>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</si>
  <si>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</si>
  <si>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</si>
  <si>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</si>
  <si>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</si>
  <si>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</si>
  <si>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</si>
  <si>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</si>
  <si>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</si>
  <si>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</si>
  <si>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</si>
  <si>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</si>
  <si>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</si>
  <si>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</si>
  <si>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</si>
  <si>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</si>
  <si>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</si>
  <si>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</si>
  <si>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</si>
  <si>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</si>
  <si>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</si>
  <si>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</si>
  <si>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</si>
  <si>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</si>
  <si>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</si>
  <si>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</si>
  <si>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</si>
  <si>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</si>
  <si>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</si>
  <si>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</si>
  <si>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</si>
  <si>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</si>
  <si>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</si>
  <si>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</si>
  <si>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</si>
  <si>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</si>
  <si>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</si>
  <si>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</si>
  <si>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</si>
  <si>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</si>
  <si>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</si>
  <si>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</si>
  <si>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</si>
  <si>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</si>
  <si>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</si>
  <si>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</si>
  <si>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</si>
  <si>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</si>
  <si>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</si>
  <si>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</si>
  <si>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</si>
  <si>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</si>
  <si>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</si>
  <si>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 xml:space="preserve"> +/- 10mm</t>
  </si>
  <si>
    <t>Extruder</t>
  </si>
  <si>
    <t>Created</t>
  </si>
  <si>
    <t>RESIN MIX</t>
  </si>
  <si>
    <t>RUN AT 35UM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</si>
  <si>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</si>
  <si>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</si>
  <si>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</si>
  <si>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</si>
  <si>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</si>
  <si>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</si>
  <si>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</si>
  <si>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</si>
  <si>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</si>
  <si>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</si>
  <si>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</si>
  <si>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</si>
  <si>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NEAT SLITS PLEASE</t>
  </si>
  <si>
    <t>ANTISTATIC</t>
  </si>
  <si>
    <t>ANTIBLOCK</t>
  </si>
  <si>
    <t>%</t>
  </si>
  <si>
    <t>VADALS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</si>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</sst>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07" t="str">
        <f>O9&amp;R9&amp;IF(X8="G","G","")&amp;IF(O8="Centrefold Roll","("&amp;E8&amp;")","")&amp;T9&amp;V9&amp;C22&amp;C23&amp;C24&amp;O11&amp;R11</f>
        <v>SR61061038AS0</v>
      </c>
      <c r="C1" s="107"/>
      <c r="D1" s="108"/>
      <c r="E1" s="26" t="s">
        <v>56</v>
      </c>
      <c r="F1" s="72" t="s">
        <v>200</v>
      </c>
      <c r="G1" s="72"/>
      <c r="H1" s="73"/>
      <c r="I1" s="26" t="s">
        <v>181</v>
      </c>
      <c r="J1" s="129">
        <f ca="1">TODAY()</f>
        <v>45611</v>
      </c>
      <c r="K1" s="129"/>
      <c r="L1" s="130"/>
      <c r="M1" s="10"/>
      <c r="N1" s="26" t="s">
        <v>55</v>
      </c>
      <c r="O1" s="107" t="str">
        <f>B1</f>
        <v>SR61061038AS0</v>
      </c>
      <c r="P1" s="107"/>
      <c r="Q1" s="108"/>
      <c r="R1" s="26" t="s">
        <v>56</v>
      </c>
      <c r="S1" s="107" t="str">
        <f>F1</f>
        <v>VADALS</v>
      </c>
      <c r="T1" s="107"/>
      <c r="U1" s="108"/>
      <c r="V1" s="26" t="s">
        <v>181</v>
      </c>
      <c r="W1" s="129">
        <f ca="1">J1</f>
        <v>45611</v>
      </c>
      <c r="X1" s="129"/>
      <c r="Y1" s="130"/>
    </row>
    <row r="2" spans="1:25" ht="20.100000000000001" customHeight="1" x14ac:dyDescent="0.25">
      <c r="A2" s="26" t="s">
        <v>99</v>
      </c>
      <c r="B2" s="107" t="str">
        <f>IF(U10="","",U10)</f>
        <v/>
      </c>
      <c r="C2" s="107"/>
      <c r="D2" s="108"/>
      <c r="E2" s="26" t="s">
        <v>57</v>
      </c>
      <c r="F2" s="72">
        <v>948820</v>
      </c>
      <c r="G2" s="72"/>
      <c r="H2" s="73"/>
      <c r="I2" s="26" t="s">
        <v>58</v>
      </c>
      <c r="J2" s="132">
        <v>45611</v>
      </c>
      <c r="K2" s="72"/>
      <c r="L2" s="73"/>
      <c r="M2" s="10"/>
      <c r="N2" s="26" t="s">
        <v>99</v>
      </c>
      <c r="O2" s="107" t="str">
        <f>IF(B2="","",B2)</f>
        <v/>
      </c>
      <c r="P2" s="107"/>
      <c r="Q2" s="108"/>
      <c r="R2" s="26" t="s">
        <v>57</v>
      </c>
      <c r="S2" s="107">
        <f>IF(F2="","",F2)</f>
        <v>948820</v>
      </c>
      <c r="T2" s="107"/>
      <c r="U2" s="108"/>
      <c r="V2" s="26" t="s">
        <v>58</v>
      </c>
      <c r="W2" s="131">
        <f>J2</f>
        <v>45611</v>
      </c>
      <c r="X2" s="107"/>
      <c r="Y2" s="108"/>
    </row>
    <row r="3" spans="1:25" ht="20.100000000000001" customHeight="1" x14ac:dyDescent="0.25">
      <c r="A3" s="115" t="s">
        <v>196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10"/>
      <c r="N3" s="115" t="str">
        <f>A3</f>
        <v>NEAT SLITS PLEASE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00000000000001" customHeight="1" x14ac:dyDescent="0.2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10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00000000000001" customHeight="1" x14ac:dyDescent="0.2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10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00000000000001" customHeight="1" x14ac:dyDescent="0.25">
      <c r="A6" s="133" t="s">
        <v>1</v>
      </c>
      <c r="B6" s="134"/>
      <c r="C6" s="134"/>
      <c r="D6" s="134"/>
      <c r="E6" s="134"/>
      <c r="F6" s="134"/>
      <c r="G6" s="134"/>
      <c r="H6" s="134"/>
      <c r="I6" s="134"/>
      <c r="J6" s="88"/>
      <c r="K6" s="88"/>
      <c r="L6" s="89"/>
      <c r="M6" s="10"/>
      <c r="N6" s="66" t="s">
        <v>1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68"/>
    </row>
    <row r="7" spans="1:25" ht="20.100000000000001" customHeight="1" x14ac:dyDescent="0.3">
      <c r="A7" s="26" t="s">
        <v>48</v>
      </c>
      <c r="B7" s="101" t="s">
        <v>162</v>
      </c>
      <c r="C7" s="101"/>
      <c r="D7" s="101"/>
      <c r="E7" s="101"/>
      <c r="F7" s="101"/>
      <c r="G7" s="101"/>
      <c r="H7" s="101"/>
      <c r="I7" s="102"/>
      <c r="J7" s="64" t="s">
        <v>178</v>
      </c>
      <c r="K7" s="64"/>
      <c r="L7" s="65"/>
      <c r="M7" s="10"/>
      <c r="N7" s="26" t="str">
        <f>IF(ISNUMBER(SEARCH("roll",O8,1)),"No. Rolls","No. Cartons")</f>
        <v>No. Rolls</v>
      </c>
      <c r="O7" s="72">
        <v>10</v>
      </c>
      <c r="P7" s="73"/>
      <c r="Q7" s="26" t="str">
        <f>IF(ISNUMBER(SEARCH("roll",O8,1)),"Per Roll","Per Carton")</f>
        <v>Per Roll</v>
      </c>
      <c r="R7" s="72">
        <v>1000</v>
      </c>
      <c r="S7" s="73"/>
      <c r="T7" s="26" t="str">
        <f>IF(ISNUMBER(SEARCH("bag",O8,1)),"Total Bags","Total Sheets")</f>
        <v>Total Sheets</v>
      </c>
      <c r="U7" s="107">
        <f>R7*O7</f>
        <v>10000</v>
      </c>
      <c r="V7" s="108"/>
      <c r="W7" s="26" t="s">
        <v>101</v>
      </c>
      <c r="X7" s="72" t="s">
        <v>22</v>
      </c>
      <c r="Y7" s="73"/>
    </row>
    <row r="8" spans="1:25" ht="20.100000000000001" customHeight="1" x14ac:dyDescent="0.25">
      <c r="A8" s="29" t="s">
        <v>15</v>
      </c>
      <c r="B8" s="97">
        <f>R9</f>
        <v>610</v>
      </c>
      <c r="C8" s="100"/>
      <c r="D8" s="30" t="str">
        <f>IF(ISNUMBER(SEARCH("bag",#REF!,1)),"Gusset","Centrefold")</f>
        <v>Centrefold</v>
      </c>
      <c r="E8" s="97" t="str">
        <f>IF(O8="Centrefold Roll",B8*2,IF(X9="","None",X9))</f>
        <v>None</v>
      </c>
      <c r="F8" s="100"/>
      <c r="G8" s="29" t="s">
        <v>51</v>
      </c>
      <c r="H8" s="97">
        <f>(IF(V9&lt;30,"30",V9))</f>
        <v>38</v>
      </c>
      <c r="I8" s="100"/>
      <c r="J8" s="26" t="s">
        <v>53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10"/>
      <c r="N8" s="27" t="s">
        <v>53</v>
      </c>
      <c r="O8" s="98" t="s">
        <v>166</v>
      </c>
      <c r="P8" s="99"/>
      <c r="Q8" s="27" t="s">
        <v>191</v>
      </c>
      <c r="R8" s="31" t="s">
        <v>15</v>
      </c>
      <c r="S8" s="31"/>
      <c r="T8" s="31" t="s">
        <v>78</v>
      </c>
      <c r="U8" s="31"/>
      <c r="V8" s="31" t="s">
        <v>79</v>
      </c>
      <c r="W8" s="30" t="str">
        <f>IF(ISNUMBER(SEARCH("bag",O8,1)),"Gusset","Centrefold")</f>
        <v>Centrefold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41" t="s">
        <v>47</v>
      </c>
      <c r="B9" s="105" t="s">
        <v>179</v>
      </c>
      <c r="C9" s="106"/>
      <c r="D9" s="128" t="str">
        <f>IF(K10="Middle","RUN 2 UP",IF(AND(O8="Centrefold Roll",B8=380),"RUN 2 UP",""))</f>
        <v/>
      </c>
      <c r="E9" s="101"/>
      <c r="F9" s="102"/>
      <c r="G9" s="41" t="s">
        <v>47</v>
      </c>
      <c r="H9" s="105" t="s">
        <v>183</v>
      </c>
      <c r="I9" s="106"/>
      <c r="J9" s="26" t="s">
        <v>54</v>
      </c>
      <c r="K9" s="72" t="s">
        <v>29</v>
      </c>
      <c r="L9" s="73"/>
      <c r="M9" s="10"/>
      <c r="N9" s="28"/>
      <c r="O9" s="103" t="str">
        <f>IF(O8="Poly Bag","PB",IF(O8="Poly Bag Roll","PBR",IF(O8="Centrefold Roll","CFR",IF(O8="Sheet","S",IF(O8="Sheet Roll","SR")))))</f>
        <v>SR</v>
      </c>
      <c r="P9" s="104"/>
      <c r="Q9" s="28"/>
      <c r="R9" s="11">
        <v>610</v>
      </c>
      <c r="S9" s="32" t="s">
        <v>77</v>
      </c>
      <c r="T9" s="11">
        <v>610</v>
      </c>
      <c r="U9" s="32" t="s">
        <v>77</v>
      </c>
      <c r="V9" s="11">
        <v>38</v>
      </c>
      <c r="W9" s="28"/>
      <c r="X9" s="93"/>
      <c r="Y9" s="94"/>
    </row>
    <row r="10" spans="1:25" ht="20.100000000000001" customHeight="1" x14ac:dyDescent="0.25">
      <c r="A10" s="26" t="s">
        <v>50</v>
      </c>
      <c r="B10" s="72">
        <v>5</v>
      </c>
      <c r="C10" s="73"/>
      <c r="D10" s="47" t="s">
        <v>133</v>
      </c>
      <c r="E10" s="109">
        <f>IF(ISNUMBER(SEARCH("sheet",O8,1)),((R9*T9*H8/540000)*U7/2000*1.3),((R9*T9*H8/540000)*U7/1000*1.08))</f>
        <v>170.20129629629631</v>
      </c>
      <c r="F10" s="110"/>
      <c r="G10" s="26" t="s">
        <v>52</v>
      </c>
      <c r="H10" s="113">
        <f>IF(ISNUMBER(SEARCH("sheet",O8,1)),(U7*T9/2000*1.08),(U7*T9/1000*1.08))</f>
        <v>3294</v>
      </c>
      <c r="I10" s="114"/>
      <c r="J10" s="26" t="s">
        <v>40</v>
      </c>
      <c r="K10" s="72" t="s">
        <v>42</v>
      </c>
      <c r="L10" s="73"/>
      <c r="M10" s="10"/>
      <c r="N10" s="27" t="s">
        <v>140</v>
      </c>
      <c r="O10" s="98" t="s">
        <v>43</v>
      </c>
      <c r="P10" s="99"/>
      <c r="Q10" s="27" t="s">
        <v>49</v>
      </c>
      <c r="R10" s="95" t="str">
        <f>IF(K11="NONE","None",IF(K11="INLINE","Yes",IF(K11="OUT OF LINE","Yes")))</f>
        <v>None</v>
      </c>
      <c r="S10" s="95"/>
      <c r="T10" s="27" t="s">
        <v>99</v>
      </c>
      <c r="U10" s="124"/>
      <c r="V10" s="124"/>
      <c r="W10" s="124"/>
      <c r="X10" s="124"/>
      <c r="Y10" s="125"/>
    </row>
    <row r="11" spans="1:25" ht="20.100000000000001" customHeight="1" x14ac:dyDescent="0.25">
      <c r="A11" s="26" t="str">
        <f>IF(O8="Centrefold Roll","CF Rolls",IF(ISNUMBER(SEARCH("sheet",O8,1)),"Sheet Rolls",""))</f>
        <v>Sheet Rolls</v>
      </c>
      <c r="B11" s="107">
        <f>IF(AND(O8="Centrefold Roll",D9="RUN 2 UP"),B10*2,IF(ISNUMBER(SEARCH("sheet",O8,1)),B10*2,""))</f>
        <v>10</v>
      </c>
      <c r="C11" s="108"/>
      <c r="D11" s="26" t="s">
        <v>134</v>
      </c>
      <c r="E11" s="111">
        <f>E10/B10</f>
        <v>34.040259259259258</v>
      </c>
      <c r="F11" s="112"/>
      <c r="G11" s="26" t="s">
        <v>14</v>
      </c>
      <c r="H11" s="111">
        <f>H10/B10</f>
        <v>658.8</v>
      </c>
      <c r="I11" s="112"/>
      <c r="J11" s="26" t="s">
        <v>49</v>
      </c>
      <c r="K11" s="72" t="s">
        <v>43</v>
      </c>
      <c r="L11" s="73"/>
      <c r="M11" s="10"/>
      <c r="N11" s="29"/>
      <c r="O11" s="97" t="str">
        <f>IF(O10="NONE","","V")</f>
        <v/>
      </c>
      <c r="P11" s="100"/>
      <c r="Q11" s="29"/>
      <c r="R11" s="97" t="str">
        <f>IF(R10="None","","P")</f>
        <v/>
      </c>
      <c r="S11" s="97"/>
      <c r="T11" s="29"/>
      <c r="U11" s="126"/>
      <c r="V11" s="126"/>
      <c r="W11" s="126"/>
      <c r="X11" s="126"/>
      <c r="Y11" s="127"/>
    </row>
    <row r="12" spans="1:25" ht="20.100000000000001" customHeight="1" x14ac:dyDescent="0.25">
      <c r="A12" s="90" t="s">
        <v>12</v>
      </c>
      <c r="B12" s="91"/>
      <c r="C12" s="91"/>
      <c r="D12" s="91"/>
      <c r="E12" s="67"/>
      <c r="F12" s="67"/>
      <c r="G12" s="67"/>
      <c r="H12" s="67"/>
      <c r="I12" s="67"/>
      <c r="J12" s="67"/>
      <c r="K12" s="67"/>
      <c r="L12" s="68"/>
      <c r="M12" s="10"/>
      <c r="N12" s="87" t="s">
        <v>70</v>
      </c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9"/>
    </row>
    <row r="13" spans="1:25" ht="20.100000000000001" customHeight="1" x14ac:dyDescent="0.25">
      <c r="A13" s="26" t="s">
        <v>67</v>
      </c>
      <c r="B13" s="72" t="s">
        <v>43</v>
      </c>
      <c r="C13" s="72"/>
      <c r="D13" s="73"/>
      <c r="E13" s="40" t="s">
        <v>60</v>
      </c>
      <c r="F13" s="72" t="s">
        <v>43</v>
      </c>
      <c r="G13" s="72"/>
      <c r="H13" s="73"/>
      <c r="I13" s="26" t="s">
        <v>61</v>
      </c>
      <c r="J13" s="72" t="s">
        <v>43</v>
      </c>
      <c r="K13" s="72"/>
      <c r="L13" s="73"/>
      <c r="M13" s="10"/>
      <c r="N13" s="26" t="s">
        <v>71</v>
      </c>
      <c r="O13" s="12" t="s">
        <v>76</v>
      </c>
      <c r="P13" s="26" t="s">
        <v>72</v>
      </c>
      <c r="Q13" s="24">
        <f>O7</f>
        <v>10</v>
      </c>
      <c r="R13" s="26" t="s">
        <v>73</v>
      </c>
      <c r="S13" s="12" t="s">
        <v>22</v>
      </c>
      <c r="T13" s="26" t="s">
        <v>177</v>
      </c>
      <c r="U13" s="24" t="str">
        <f>IF(S13="NO","",(ROUNDUP(U7/W13/24,0)))</f>
        <v/>
      </c>
      <c r="V13" s="26" t="s">
        <v>74</v>
      </c>
      <c r="W13" s="12"/>
      <c r="X13" s="26" t="s">
        <v>75</v>
      </c>
      <c r="Y13" s="13"/>
    </row>
    <row r="14" spans="1:25" ht="20.100000000000001" customHeight="1" x14ac:dyDescent="0.3">
      <c r="A14" s="29" t="s">
        <v>59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10"/>
      <c r="N14" s="87" t="s">
        <v>109</v>
      </c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9"/>
    </row>
    <row r="15" spans="1:25" ht="20.100000000000001" customHeight="1" x14ac:dyDescent="0.25">
      <c r="A15" s="66" t="s">
        <v>182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8"/>
      <c r="M15" s="10"/>
      <c r="N15" s="63" t="s">
        <v>107</v>
      </c>
      <c r="O15" s="64"/>
      <c r="P15" s="65"/>
      <c r="Q15" s="63" t="s">
        <v>106</v>
      </c>
      <c r="R15" s="64"/>
      <c r="S15" s="65"/>
      <c r="T15" s="63" t="s">
        <v>117</v>
      </c>
      <c r="U15" s="64"/>
      <c r="V15" s="65"/>
      <c r="W15" s="63" t="s">
        <v>116</v>
      </c>
      <c r="X15" s="64"/>
      <c r="Y15" s="65"/>
    </row>
    <row r="16" spans="1:25" ht="20.100000000000001" customHeight="1" x14ac:dyDescent="0.25">
      <c r="A16" s="63" t="s">
        <v>2</v>
      </c>
      <c r="B16" s="65"/>
      <c r="C16" s="63" t="s">
        <v>141</v>
      </c>
      <c r="D16" s="65"/>
      <c r="E16" s="63" t="s">
        <v>3</v>
      </c>
      <c r="F16" s="65"/>
      <c r="G16" s="63" t="s">
        <v>4</v>
      </c>
      <c r="H16" s="65"/>
      <c r="I16" s="63" t="s">
        <v>10</v>
      </c>
      <c r="J16" s="65"/>
      <c r="K16" s="64" t="s">
        <v>11</v>
      </c>
      <c r="L16" s="65"/>
      <c r="M16" s="10"/>
      <c r="N16" s="26" t="s">
        <v>27</v>
      </c>
      <c r="O16" s="72"/>
      <c r="P16" s="73"/>
      <c r="Q16" s="26" t="s">
        <v>104</v>
      </c>
      <c r="R16" s="72" t="s">
        <v>22</v>
      </c>
      <c r="S16" s="73"/>
      <c r="T16" s="26" t="s">
        <v>102</v>
      </c>
      <c r="U16" s="72" t="s">
        <v>30</v>
      </c>
      <c r="V16" s="73"/>
      <c r="W16" s="26" t="str">
        <f>IF(ISNUMBER(SEARCH("bag",O8,1)),"Total Bags","Total Sheets")</f>
        <v>Total Sheets</v>
      </c>
      <c r="X16" s="76"/>
      <c r="Y16" s="77"/>
    </row>
    <row r="17" spans="1:25" ht="20.100000000000001" customHeight="1" x14ac:dyDescent="0.25">
      <c r="A17" s="69" t="s">
        <v>5</v>
      </c>
      <c r="B17" s="69"/>
      <c r="C17" s="74" t="s">
        <v>146</v>
      </c>
      <c r="D17" s="75"/>
      <c r="E17" s="70"/>
      <c r="F17" s="71"/>
      <c r="G17" s="14" t="s">
        <v>80</v>
      </c>
      <c r="H17" s="13"/>
      <c r="I17" s="60"/>
      <c r="J17" s="61"/>
      <c r="K17" s="60"/>
      <c r="L17" s="61"/>
      <c r="M17" s="10"/>
      <c r="N17" s="26" t="s">
        <v>25</v>
      </c>
      <c r="O17" s="72"/>
      <c r="P17" s="73"/>
      <c r="Q17" s="26" t="s">
        <v>103</v>
      </c>
      <c r="R17" s="72" t="s">
        <v>22</v>
      </c>
      <c r="S17" s="73"/>
      <c r="T17" s="38" t="str">
        <f>IF(ISNUMBER(SEARCH("roll",O8,1)),"Part Rolls","Part Ctns")</f>
        <v>Part Rolls</v>
      </c>
      <c r="U17" s="72" t="s">
        <v>30</v>
      </c>
      <c r="V17" s="73"/>
      <c r="W17" s="26" t="str">
        <f>IF(ISNUMBER(SEARCH("roll",O8,1)),"Total Rolls","Total Ctns")</f>
        <v>Total Rolls</v>
      </c>
      <c r="X17" s="76"/>
      <c r="Y17" s="77"/>
    </row>
    <row r="18" spans="1:25" ht="20.100000000000001" customHeight="1" x14ac:dyDescent="0.25">
      <c r="A18" s="69" t="s">
        <v>6</v>
      </c>
      <c r="B18" s="69"/>
      <c r="C18" s="74" t="s">
        <v>145</v>
      </c>
      <c r="D18" s="75"/>
      <c r="E18" s="70"/>
      <c r="F18" s="71"/>
      <c r="G18" s="14" t="s">
        <v>81</v>
      </c>
      <c r="H18" s="13"/>
      <c r="I18" s="60"/>
      <c r="J18" s="61"/>
      <c r="K18" s="60"/>
      <c r="L18" s="61"/>
      <c r="M18" s="10"/>
      <c r="N18" s="26" t="s">
        <v>100</v>
      </c>
      <c r="O18" s="72"/>
      <c r="P18" s="73"/>
      <c r="Q18" s="26" t="s">
        <v>105</v>
      </c>
      <c r="R18" s="72" t="s">
        <v>22</v>
      </c>
      <c r="S18" s="73"/>
      <c r="T18" s="1" t="s">
        <v>26</v>
      </c>
      <c r="U18" s="72" t="s">
        <v>35</v>
      </c>
      <c r="V18" s="73"/>
      <c r="W18" s="26" t="s">
        <v>108</v>
      </c>
      <c r="X18" s="76"/>
      <c r="Y18" s="77"/>
    </row>
    <row r="19" spans="1:25" ht="20.100000000000001" customHeight="1" x14ac:dyDescent="0.25">
      <c r="A19" s="69" t="s">
        <v>7</v>
      </c>
      <c r="B19" s="69"/>
      <c r="C19" s="74" t="s">
        <v>144</v>
      </c>
      <c r="D19" s="75"/>
      <c r="E19" s="70"/>
      <c r="F19" s="71"/>
      <c r="G19" s="14" t="s">
        <v>82</v>
      </c>
      <c r="H19" s="13"/>
      <c r="I19" s="60"/>
      <c r="J19" s="61"/>
      <c r="K19" s="60"/>
      <c r="L19" s="61"/>
      <c r="M19" s="10"/>
      <c r="N19" s="78" t="s">
        <v>115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00000000000001" customHeight="1" x14ac:dyDescent="0.25">
      <c r="A20" s="69" t="s">
        <v>8</v>
      </c>
      <c r="B20" s="69"/>
      <c r="C20" s="74" t="s">
        <v>143</v>
      </c>
      <c r="D20" s="75"/>
      <c r="E20" s="70"/>
      <c r="F20" s="71"/>
      <c r="G20" s="14" t="s">
        <v>83</v>
      </c>
      <c r="H20" s="13"/>
      <c r="I20" s="60"/>
      <c r="J20" s="61"/>
      <c r="K20" s="60"/>
      <c r="L20" s="61"/>
      <c r="M20" s="1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00000000000001" customHeight="1" x14ac:dyDescent="0.25">
      <c r="A21" s="69" t="s">
        <v>9</v>
      </c>
      <c r="B21" s="69"/>
      <c r="C21" s="74" t="s">
        <v>142</v>
      </c>
      <c r="D21" s="75"/>
      <c r="E21" s="70"/>
      <c r="F21" s="71"/>
      <c r="G21" s="14" t="s">
        <v>84</v>
      </c>
      <c r="H21" s="13"/>
      <c r="I21" s="60"/>
      <c r="J21" s="61"/>
      <c r="K21" s="60"/>
      <c r="L21" s="61"/>
      <c r="M21" s="1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00000000000001" customHeight="1" x14ac:dyDescent="0.25">
      <c r="A22" s="69" t="str">
        <f>(IF(B7="NATURAL","",B7))</f>
        <v/>
      </c>
      <c r="B22" s="69"/>
      <c r="C22" s="7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5"/>
      <c r="E22" s="70" t="s">
        <v>199</v>
      </c>
      <c r="F22" s="71"/>
      <c r="G22" s="14" t="s">
        <v>85</v>
      </c>
      <c r="H22" s="13"/>
      <c r="I22" s="60"/>
      <c r="J22" s="61"/>
      <c r="K22" s="60"/>
      <c r="L22" s="61"/>
      <c r="M22" s="1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00000000000001" customHeight="1" x14ac:dyDescent="0.25">
      <c r="A23" s="138" t="s">
        <v>197</v>
      </c>
      <c r="B23" s="138"/>
      <c r="C23" s="7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5"/>
      <c r="E23" s="70" t="s">
        <v>199</v>
      </c>
      <c r="F23" s="71"/>
      <c r="G23" s="14" t="s">
        <v>86</v>
      </c>
      <c r="H23" s="13"/>
      <c r="I23" s="60"/>
      <c r="J23" s="61"/>
      <c r="K23" s="60"/>
      <c r="L23" s="61"/>
      <c r="M23" s="10"/>
      <c r="N23" s="87" t="s">
        <v>132</v>
      </c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9"/>
    </row>
    <row r="24" spans="1:25" ht="20.100000000000001" customHeight="1" x14ac:dyDescent="0.25">
      <c r="A24" s="139" t="s">
        <v>198</v>
      </c>
      <c r="B24" s="140"/>
      <c r="C24" s="7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5"/>
      <c r="E24" s="70" t="s">
        <v>199</v>
      </c>
      <c r="F24" s="71"/>
      <c r="G24" s="14" t="s">
        <v>87</v>
      </c>
      <c r="H24" s="13"/>
      <c r="I24" s="60"/>
      <c r="J24" s="61"/>
      <c r="K24" s="60"/>
      <c r="L24" s="61"/>
      <c r="M24" s="10"/>
      <c r="N24" s="15"/>
      <c r="O24" s="33" t="s">
        <v>118</v>
      </c>
      <c r="P24" s="33" t="s">
        <v>128</v>
      </c>
      <c r="Q24" s="33" t="s">
        <v>119</v>
      </c>
      <c r="R24" s="33" t="s">
        <v>120</v>
      </c>
      <c r="S24" s="33" t="s">
        <v>121</v>
      </c>
      <c r="T24" s="33" t="s">
        <v>122</v>
      </c>
      <c r="U24" s="33" t="s">
        <v>123</v>
      </c>
      <c r="V24" s="33" t="s">
        <v>124</v>
      </c>
      <c r="W24" s="33" t="s">
        <v>125</v>
      </c>
      <c r="X24" s="33" t="s">
        <v>126</v>
      </c>
      <c r="Y24" s="33" t="s">
        <v>175</v>
      </c>
    </row>
    <row r="25" spans="1:25" ht="20.100000000000001" customHeight="1" x14ac:dyDescent="0.25">
      <c r="A25" s="66" t="s">
        <v>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8"/>
      <c r="M25" s="10"/>
      <c r="N25" s="33" t="s">
        <v>95</v>
      </c>
      <c r="O25" s="9"/>
      <c r="P25" s="16"/>
      <c r="Q25" s="9">
        <v>38</v>
      </c>
      <c r="R25" s="9">
        <v>5.5</v>
      </c>
      <c r="S25" s="9">
        <v>3</v>
      </c>
      <c r="T25" s="9">
        <v>11</v>
      </c>
      <c r="U25" s="9"/>
      <c r="V25" s="9"/>
      <c r="W25" s="9">
        <v>0</v>
      </c>
      <c r="X25" s="9">
        <v>0</v>
      </c>
      <c r="Y25" s="9"/>
    </row>
    <row r="26" spans="1:25" ht="20.100000000000001" customHeight="1" x14ac:dyDescent="0.25">
      <c r="A26" s="37"/>
      <c r="B26" s="33" t="s">
        <v>180</v>
      </c>
      <c r="C26" s="33" t="s">
        <v>91</v>
      </c>
      <c r="D26" s="34" t="s">
        <v>89</v>
      </c>
      <c r="E26" s="34" t="s">
        <v>90</v>
      </c>
      <c r="F26" s="34" t="s">
        <v>92</v>
      </c>
      <c r="G26" s="62" t="s">
        <v>131</v>
      </c>
      <c r="H26" s="62"/>
      <c r="I26" s="62" t="s">
        <v>130</v>
      </c>
      <c r="J26" s="62"/>
      <c r="K26" s="34" t="s">
        <v>93</v>
      </c>
      <c r="L26" s="34" t="s">
        <v>94</v>
      </c>
      <c r="M26" s="10"/>
      <c r="N26" s="66" t="s">
        <v>136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8"/>
    </row>
    <row r="27" spans="1:25" ht="20.100000000000001" customHeight="1" x14ac:dyDescent="0.25">
      <c r="A27" s="33" t="s">
        <v>95</v>
      </c>
      <c r="B27" s="7" t="s">
        <v>201</v>
      </c>
      <c r="C27" s="7"/>
      <c r="D27" s="141">
        <v>18</v>
      </c>
      <c r="E27" s="142">
        <v>9.6</v>
      </c>
      <c r="F27" s="7"/>
      <c r="G27" s="59"/>
      <c r="H27" s="59"/>
      <c r="I27" s="59"/>
      <c r="J27" s="59"/>
      <c r="K27" s="7"/>
      <c r="L27" s="9"/>
      <c r="M27" s="10"/>
      <c r="N27" s="34" t="s">
        <v>184</v>
      </c>
      <c r="O27" s="34" t="s">
        <v>20</v>
      </c>
      <c r="P27" s="34" t="s">
        <v>16</v>
      </c>
      <c r="Q27" s="34" t="s">
        <v>13</v>
      </c>
      <c r="R27" s="34" t="s">
        <v>127</v>
      </c>
      <c r="S27" s="34" t="s">
        <v>128</v>
      </c>
      <c r="T27" s="34" t="s">
        <v>111</v>
      </c>
      <c r="U27" s="34" t="s">
        <v>129</v>
      </c>
      <c r="V27" s="34" t="s">
        <v>115</v>
      </c>
      <c r="W27" s="34" t="s">
        <v>192</v>
      </c>
      <c r="X27" s="34" t="s">
        <v>193</v>
      </c>
      <c r="Y27" s="34" t="s">
        <v>21</v>
      </c>
    </row>
    <row r="28" spans="1:25" ht="20.100000000000001" customHeight="1" x14ac:dyDescent="0.25">
      <c r="A28" s="33" t="s">
        <v>96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10"/>
      <c r="N28" s="48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90" t="s">
        <v>98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10"/>
      <c r="N29" s="48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38" t="s">
        <v>114</v>
      </c>
      <c r="B30" s="17"/>
      <c r="C30" s="13"/>
      <c r="D30" s="38" t="s">
        <v>91</v>
      </c>
      <c r="E30" s="18"/>
      <c r="F30" s="13"/>
      <c r="G30" s="39" t="s">
        <v>97</v>
      </c>
      <c r="H30" s="19"/>
      <c r="I30" s="19"/>
      <c r="J30" s="20"/>
      <c r="K30" s="19"/>
      <c r="L30" s="21"/>
      <c r="M30" s="10"/>
      <c r="N30" s="48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38" t="s">
        <v>113</v>
      </c>
      <c r="B31" s="17"/>
      <c r="C31" s="13"/>
      <c r="D31" s="38" t="s">
        <v>111</v>
      </c>
      <c r="E31" s="18"/>
      <c r="F31" s="22"/>
      <c r="G31" s="38" t="s">
        <v>97</v>
      </c>
      <c r="H31" s="18"/>
      <c r="I31" s="18"/>
      <c r="J31" s="18"/>
      <c r="K31" s="18"/>
      <c r="L31" s="13"/>
      <c r="M31" s="10"/>
      <c r="N31" s="48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5" t="s">
        <v>112</v>
      </c>
      <c r="B32" s="23"/>
      <c r="C32" s="21"/>
      <c r="D32" s="25" t="s">
        <v>88</v>
      </c>
      <c r="E32" s="19"/>
      <c r="F32" s="21"/>
      <c r="G32" s="25" t="s">
        <v>110</v>
      </c>
      <c r="H32" s="19"/>
      <c r="I32" s="19"/>
      <c r="J32" s="19"/>
      <c r="K32" s="19"/>
      <c r="L32" s="21"/>
      <c r="M32" s="10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00000000000001" customHeight="1" x14ac:dyDescent="0.25">
      <c r="A33" s="78" t="s">
        <v>115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80"/>
      <c r="M33" s="10"/>
      <c r="N33" s="48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3"/>
      <c r="M34" s="10"/>
      <c r="N34" s="48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  <c r="M35" s="10"/>
      <c r="N35" s="48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35" t="s">
        <v>135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10"/>
      <c r="N36" s="48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34" t="s">
        <v>13</v>
      </c>
      <c r="B37" s="1" t="s">
        <v>20</v>
      </c>
      <c r="C37" s="34" t="s">
        <v>134</v>
      </c>
      <c r="D37" s="34" t="s">
        <v>14</v>
      </c>
      <c r="E37" s="34" t="s">
        <v>15</v>
      </c>
      <c r="F37" s="34" t="s">
        <v>51</v>
      </c>
      <c r="G37" s="36" t="s">
        <v>16</v>
      </c>
      <c r="H37" s="36" t="s">
        <v>17</v>
      </c>
      <c r="I37" s="35" t="s">
        <v>28</v>
      </c>
      <c r="J37" s="34" t="s">
        <v>18</v>
      </c>
      <c r="K37" s="34" t="s">
        <v>19</v>
      </c>
      <c r="L37" s="34" t="s">
        <v>21</v>
      </c>
      <c r="M37" s="10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00000000000001" customHeight="1" x14ac:dyDescent="0.25">
      <c r="A38" s="33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0"/>
      <c r="N38" s="48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33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0"/>
      <c r="N39" s="48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33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0"/>
      <c r="N40" s="48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33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0"/>
      <c r="N41" s="48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10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34" t="s">
        <v>13</v>
      </c>
      <c r="B44" s="33" t="s">
        <v>20</v>
      </c>
      <c r="C44" s="34" t="s">
        <v>134</v>
      </c>
      <c r="D44" s="34" t="s">
        <v>14</v>
      </c>
      <c r="E44" s="34" t="s">
        <v>15</v>
      </c>
      <c r="F44" s="34" t="s">
        <v>51</v>
      </c>
      <c r="G44" s="36" t="s">
        <v>16</v>
      </c>
      <c r="H44" s="36" t="s">
        <v>17</v>
      </c>
      <c r="I44" s="34" t="s">
        <v>28</v>
      </c>
      <c r="J44" s="34" t="s">
        <v>18</v>
      </c>
      <c r="K44" s="34" t="s">
        <v>19</v>
      </c>
      <c r="L44" s="34" t="s">
        <v>21</v>
      </c>
      <c r="N44" s="34" t="s">
        <v>184</v>
      </c>
      <c r="O44" s="34" t="s">
        <v>20</v>
      </c>
      <c r="P44" s="34" t="s">
        <v>16</v>
      </c>
      <c r="Q44" s="34" t="s">
        <v>13</v>
      </c>
      <c r="R44" s="34" t="s">
        <v>127</v>
      </c>
      <c r="S44" s="34" t="s">
        <v>128</v>
      </c>
      <c r="T44" s="34" t="s">
        <v>111</v>
      </c>
      <c r="U44" s="34" t="s">
        <v>129</v>
      </c>
      <c r="V44" s="34" t="s">
        <v>115</v>
      </c>
      <c r="W44" s="34" t="s">
        <v>192</v>
      </c>
      <c r="X44" s="34" t="s">
        <v>193</v>
      </c>
      <c r="Y44" s="34" t="s">
        <v>21</v>
      </c>
    </row>
    <row r="45" spans="1:25" ht="20.100000000000001" customHeight="1" x14ac:dyDescent="0.25">
      <c r="A45" s="33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48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33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48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33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48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33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48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00000000000001" customHeight="1" x14ac:dyDescent="0.25">
      <c r="A50" s="33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33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33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33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00000000000001" customHeight="1" x14ac:dyDescent="0.25">
      <c r="A55" s="33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33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33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33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00000000000001" customHeight="1" x14ac:dyDescent="0.25">
      <c r="A60" s="33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0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00000000000001" customHeight="1" x14ac:dyDescent="0.25">
      <c r="A61" s="33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0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00000000000001" customHeight="1" x14ac:dyDescent="0.25">
      <c r="A62" s="33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0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00000000000001" customHeight="1" x14ac:dyDescent="0.25">
      <c r="A63" s="33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0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00000000000001" customHeight="1" x14ac:dyDescent="0.2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1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33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0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00000000000001" customHeight="1" x14ac:dyDescent="0.25">
      <c r="A66" s="33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0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00000000000001" customHeight="1" x14ac:dyDescent="0.25">
      <c r="A67" s="33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0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00000000000001" customHeight="1" x14ac:dyDescent="0.25">
      <c r="A68" s="33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0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00000000000001" customHeight="1" x14ac:dyDescent="0.2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1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33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0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00000000000001" customHeight="1" x14ac:dyDescent="0.25">
      <c r="A71" s="33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0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00000000000001" customHeight="1" x14ac:dyDescent="0.25">
      <c r="A72" s="33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0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00000000000001" customHeight="1" x14ac:dyDescent="0.25">
      <c r="A73" s="33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0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00000000000001" customHeight="1" x14ac:dyDescent="0.2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1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33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0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00000000000001" customHeight="1" x14ac:dyDescent="0.25">
      <c r="A76" s="33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0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00000000000001" customHeight="1" x14ac:dyDescent="0.25">
      <c r="A77" s="33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0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00000000000001" customHeight="1" x14ac:dyDescent="0.25">
      <c r="A78" s="33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0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00000000000001" customHeight="1" x14ac:dyDescent="0.2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1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33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0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00000000000001" customHeight="1" x14ac:dyDescent="0.25">
      <c r="A81" s="33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0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00000000000001" customHeight="1" x14ac:dyDescent="0.25">
      <c r="A82" s="33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0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00000000000001" customHeight="1" x14ac:dyDescent="0.25">
      <c r="A83" s="33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0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00000000000001" customHeight="1" x14ac:dyDescent="0.2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1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33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0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45641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45632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6" t="s">
        <v>162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6" t="s">
        <v>176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7" t="s">
        <v>154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7" t="s">
        <v>147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7" t="s">
        <v>148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7" t="s">
        <v>149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7" t="s">
        <v>150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7" t="s">
        <v>151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7" t="s">
        <v>152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7" t="s">
        <v>173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7" t="s">
        <v>153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195</v>
      </c>
      <c r="T19" s="1"/>
      <c r="V19" s="1"/>
    </row>
    <row r="20" spans="1:23" x14ac:dyDescent="0.25">
      <c r="A20" s="57" t="s">
        <v>155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165</v>
      </c>
      <c r="T20" s="1"/>
      <c r="V20" s="1"/>
    </row>
    <row r="21" spans="1:23" x14ac:dyDescent="0.25">
      <c r="A21" s="57" t="s">
        <v>156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166</v>
      </c>
      <c r="T21" s="1"/>
      <c r="V21" s="1"/>
      <c r="W21" s="2"/>
    </row>
    <row r="22" spans="1:23" x14ac:dyDescent="0.25">
      <c r="A22" s="57" t="s">
        <v>157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25">
      <c r="A23" s="57" t="s">
        <v>158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25">
      <c r="A24" s="57" t="s">
        <v>159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7" t="s">
        <v>160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7" t="s">
        <v>161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7" t="s">
        <v>174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7" t="s">
        <v>185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2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2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2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167</v>
      </c>
      <c r="U31" s="1"/>
      <c r="V31" s="1"/>
    </row>
    <row r="32" spans="1:23" x14ac:dyDescent="0.2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2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2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2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2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168</v>
      </c>
      <c r="U36" s="1"/>
      <c r="V36" s="1"/>
    </row>
    <row r="37" spans="1:22" x14ac:dyDescent="0.2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169</v>
      </c>
      <c r="U37" s="1"/>
      <c r="V37" s="1"/>
    </row>
    <row r="38" spans="1:22" x14ac:dyDescent="0.2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2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2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2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2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2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170</v>
      </c>
    </row>
    <row r="44" spans="1:22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2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2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2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2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171</v>
      </c>
    </row>
    <row r="49" spans="1:20" x14ac:dyDescent="0.2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186</v>
      </c>
    </row>
    <row r="50" spans="1:20" x14ac:dyDescent="0.2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187</v>
      </c>
    </row>
    <row r="51" spans="1:20" x14ac:dyDescent="0.2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2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172</v>
      </c>
    </row>
    <row r="53" spans="1:20" x14ac:dyDescent="0.2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2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2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2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25">
      <c r="A57" s="56" t="s">
        <v>176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25">
      <c r="A58" s="57" t="s">
        <v>154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25">
      <c r="A59" s="57" t="s">
        <v>147</v>
      </c>
    </row>
    <row r="60" spans="1:20" x14ac:dyDescent="0.25">
      <c r="A60" s="57" t="s">
        <v>148</v>
      </c>
      <c r="O60" s="1"/>
      <c r="Q60" s="1"/>
      <c r="R60" s="3"/>
      <c r="S60" s="1"/>
    </row>
    <row r="61" spans="1:20" x14ac:dyDescent="0.25">
      <c r="A61" s="57" t="s">
        <v>149</v>
      </c>
      <c r="O61" s="1"/>
      <c r="Q61" s="1"/>
      <c r="R61" s="1"/>
      <c r="S61" s="1"/>
    </row>
    <row r="62" spans="1:20" x14ac:dyDescent="0.25">
      <c r="A62" s="57" t="s">
        <v>150</v>
      </c>
      <c r="O62" s="1"/>
      <c r="Q62" s="1"/>
      <c r="R62" s="1"/>
      <c r="S62" s="1"/>
    </row>
    <row r="63" spans="1:20" x14ac:dyDescent="0.25">
      <c r="A63" s="57" t="s">
        <v>151</v>
      </c>
      <c r="O63" s="1"/>
      <c r="Q63" s="1"/>
      <c r="R63" s="1"/>
      <c r="S63" s="1"/>
      <c r="T63" s="1"/>
    </row>
    <row r="64" spans="1:20" x14ac:dyDescent="0.25">
      <c r="A64" s="57" t="s">
        <v>152</v>
      </c>
      <c r="O64" s="1"/>
      <c r="Q64" s="1"/>
      <c r="R64" s="1"/>
      <c r="S64" s="1"/>
      <c r="T64" s="1"/>
    </row>
    <row r="65" spans="1:20" x14ac:dyDescent="0.25">
      <c r="A65" s="5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57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57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7" t="s">
        <v>173</v>
      </c>
      <c r="N69" s="4"/>
    </row>
    <row r="70" spans="1:20" x14ac:dyDescent="0.25">
      <c r="A70" s="57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ABF8A17-B2ED-46A8-89A3-D2242B7D440B}"/>
</file>

<file path=customXml/itemProps2.xml><?xml version="1.0" encoding="utf-8"?>
<ds:datastoreItem xmlns:ds="http://schemas.openxmlformats.org/officeDocument/2006/customXml" ds:itemID="{853A202D-F6EC-4AFE-BCC4-DF6A2D0640B5}"/>
</file>

<file path=customXml/itemProps3.xml><?xml version="1.0" encoding="utf-8"?>
<ds:datastoreItem xmlns:ds="http://schemas.openxmlformats.org/officeDocument/2006/customXml" ds:itemID="{791307DE-3915-4C5A-B75C-7B9365DE1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2024-10-25T03:27:22Z</cp:lastPrinted>
  <dcterms:created xsi:type="dcterms:W3CDTF">2019-11-27T23:28:06Z</dcterms:created>
  <dcterms:modified xsi:type="dcterms:W3CDTF">2024-11-15T00:42:35Z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