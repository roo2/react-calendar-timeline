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620CBEA-B3C8-43D4-884E-F71B920DF77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<sst xmlns="http://schemas.openxmlformats.org/spreadsheetml/2006/main" count="311" uniqueCount="206">
  <si>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</si>
  <si>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</si>
  <si>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</si>
  <si>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</si>
  <si>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</si>
  <si>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</si>
  <si>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</si>
  <si>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</si>
  <si>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</si>
  <si>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</si>
  <si>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</si>
  <si>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</si>
  <si>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</si>
  <si>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</si>
  <si>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</si>
  <si>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</si>
  <si>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</si>
  <si>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</si>
  <si>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</si>
  <si>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</si>
  <si>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</si>
  <si>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</si>
  <si>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</si>
  <si>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</si>
  <si>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</si>
  <si>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</si>
  <si>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</si>
  <si>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</si>
  <si>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</si>
  <si>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</si>
  <si>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</si>
  <si>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</si>
  <si>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</si>
  <si>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</si>
  <si>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</si>
  <si>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</si>
  <si>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</si>
  <si>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</si>
  <si>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</si>
  <si>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</si>
  <si>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</si>
  <si>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</si>
  <si>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</si>
  <si>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</si>
  <si>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</si>
  <si>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</si>
  <si>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</si>
  <si>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</si>
  <si>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</si>
  <si>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</si>
  <si>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</si>
  <si>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</si>
  <si>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</si>
  <si>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</si>
  <si>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</si>
  <si>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</si>
  <si>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</si>
  <si>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</si>
  <si>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</si>
  <si>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</si>
  <si>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</si>
  <si>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</si>
  <si>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</si>
  <si>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</si>
  <si>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</si>
  <si>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</si>
  <si>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</si>
  <si>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</si>
  <si>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</si>
  <si>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</si>
  <si>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</si>
  <si>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</si>
  <si>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</si>
  <si>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</si>
  <si>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</si>
  <si>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</si>
  <si>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</si>
  <si>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</si>
  <si>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</si>
  <si>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</si>
  <si>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</si>
  <si>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</si>
  <si>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</si>
  <si>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</si>
  <si>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</si>
  <si>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</si>
  <si>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</si>
  <si>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</si>
  <si>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</si>
  <si>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</si>
  <si>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</si>
  <si>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</si>
  <si>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</si>
  <si>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</si>
  <si>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</si>
  <si>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</si>
  <si>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</si>
  <si>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</si>
  <si>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</si>
  <si>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</si>
  <si>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</si>
  <si>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</si>
  <si>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</si>
  <si>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</si>
  <si>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</si>
  <si>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</si>
  <si>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</si>
  <si>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</si>
  <si>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</si>
  <si>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</si>
  <si>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</si>
  <si>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</si>
  <si>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</si>
  <si>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</si>
  <si>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</si>
  <si>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</si>
  <si>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</si>
  <si>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</si>
  <si>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</si>
  <si>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</si>
  <si>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</si>
  <si>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</si>
  <si>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</si>
  <si>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</si>
  <si>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</si>
  <si>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</si>
  <si>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</si>
  <si>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</si>
  <si>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</si>
  <si>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</si>
  <si>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</si>
  <si>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</si>
  <si>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</si>
  <si>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</si>
  <si>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</si>
  <si>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</si>
  <si>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</si>
  <si>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</si>
  <si>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</si>
  <si>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</si>
  <si>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</si>
  <si>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</si>
  <si>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</si>
  <si>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</si>
  <si>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</si>
  <si>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</si>
  <si>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</si>
  <si>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</si>
  <si>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</si>
  <si>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</si>
  <si>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</si>
  <si>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</si>
  <si>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</si>
  <si>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</si>
  <si>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</si>
  <si>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</si>
  <si>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</si>
  <si>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</si>
  <si>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</si>
  <si>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</si>
  <si>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</si>
  <si>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</si>
  <si>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</si>
  <si>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</si>
  <si>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</si>
  <si>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</si>
  <si>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</si>
  <si>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</si>
  <si>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</si>
  <si>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</si>
  <si>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</si>
  <si>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</si>
  <si>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</si>
  <si>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</si>
  <si>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</si>
  <si>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</si>
  <si>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</si>
  <si>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</si>
  <si>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</si>
  <si>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</si>
  <si>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</si>
  <si>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</si>
  <si>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</si>
  <si>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</si>
  <si>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</si>
  <si>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</si>
  <si>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</si>
  <si>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</si>
  <si>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</si>
  <si>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</si>
  <si>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</si>
  <si>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</si>
  <si>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</si>
  <si>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</si>
  <si>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TRIPLE M</t>
  </si>
  <si>
    <t xml:space="preserve"> +/- 5um</t>
  </si>
  <si>
    <t>2PBPSE</t>
  </si>
  <si>
    <t xml:space="preserve"> +/- 10mm</t>
  </si>
  <si>
    <t xml:space="preserve">ORION 2/ LIMAX </t>
  </si>
  <si>
    <t>26/24</t>
  </si>
  <si>
    <t>160/17</t>
  </si>
  <si>
    <t>160/12</t>
  </si>
  <si>
    <t>ANTIBLOCK</t>
  </si>
  <si>
    <t>%</t>
  </si>
  <si>
    <t>#3</t>
  </si>
  <si>
    <t>NOT OVER 80UM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</si>
</sst>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4</xdr:row>
      <xdr:rowOff>166687</xdr:rowOff>
    </xdr:from>
    <xdr:to>
      <xdr:col>7</xdr:col>
      <xdr:colOff>452438</xdr:colOff>
      <xdr:row>7</xdr:row>
      <xdr:rowOff>178593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E8D93D5-1753-4EF5-A154-0FC3997DBDF2}"/>
            </a:ext>
          </a:extLst>
        </xdr:cNvPr>
        <xdr:cNvCxnSpPr/>
      </xdr:nvCxnSpPr>
      <xdr:spPr>
        <a:xfrm>
          <a:off x="3274219" y="1166812"/>
          <a:ext cx="1428750" cy="762000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0" t="str">
        <f>O9&amp;R9&amp;IF(X8="G","G","")&amp;IF(O8="Centrefold Roll","("&amp;E8&amp;")","")&amp;T9&amp;V9&amp;C22&amp;C23&amp;C24&amp;O11&amp;R11</f>
        <v>PB380600800</v>
      </c>
      <c r="C1" s="110"/>
      <c r="D1" s="111"/>
      <c r="E1" s="9" t="s">
        <v>57</v>
      </c>
      <c r="F1" s="86" t="s">
        <v>194</v>
      </c>
      <c r="G1" s="86"/>
      <c r="H1" s="87"/>
      <c r="I1" s="10" t="s">
        <v>181</v>
      </c>
      <c r="J1" s="83">
        <f ca="1">TODAY()</f>
        <v>46027</v>
      </c>
      <c r="K1" s="83"/>
      <c r="L1" s="84"/>
      <c r="M1" s="27"/>
      <c r="N1" s="9" t="s">
        <v>56</v>
      </c>
      <c r="O1" s="110" t="str">
        <f>B1</f>
        <v>PB380600800</v>
      </c>
      <c r="P1" s="110"/>
      <c r="Q1" s="111"/>
      <c r="R1" s="9" t="s">
        <v>57</v>
      </c>
      <c r="S1" s="110" t="str">
        <f>F1</f>
        <v>TRIPLE M</v>
      </c>
      <c r="T1" s="110"/>
      <c r="U1" s="111"/>
      <c r="V1" s="9" t="s">
        <v>181</v>
      </c>
      <c r="W1" s="83">
        <f ca="1">J1</f>
        <v>46027</v>
      </c>
      <c r="X1" s="83"/>
      <c r="Y1" s="84"/>
    </row>
    <row r="2" spans="1:25" ht="20.149999999999999" customHeight="1" x14ac:dyDescent="0.8">
      <c r="A2" s="9" t="s">
        <v>100</v>
      </c>
      <c r="B2" s="110" t="str">
        <f>IF(U10="","",U10)</f>
        <v>2PBPSE</v>
      </c>
      <c r="C2" s="110"/>
      <c r="D2" s="111"/>
      <c r="E2" s="9" t="s">
        <v>58</v>
      </c>
      <c r="F2" s="86">
        <v>57964</v>
      </c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>2PBPSE</v>
      </c>
      <c r="P2" s="110"/>
      <c r="Q2" s="111"/>
      <c r="R2" s="9" t="s">
        <v>58</v>
      </c>
      <c r="S2" s="110">
        <f>IF(F2="","",F2)</f>
        <v>57964</v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49999999999999" customHeight="1" x14ac:dyDescent="0.75">
      <c r="A3" s="112" t="s">
        <v>205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 t="str">
        <f>A3</f>
        <v>NOT OVER 80UM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49999999999999" customHeight="1" x14ac:dyDescent="0.9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80</v>
      </c>
      <c r="P7" s="87"/>
      <c r="Q7" s="9" t="str">
        <f>IF(ISNUMBER(SEARCH("roll",O8,1)),"Per Roll","Per Carton")</f>
        <v>Per Carton</v>
      </c>
      <c r="R7" s="86">
        <v>250</v>
      </c>
      <c r="S7" s="87"/>
      <c r="T7" s="9" t="str">
        <f>IF(ISNUMBER(SEARCH("bag",O8,1)),"Total Bags","Total Sheets")</f>
        <v>Total Bags</v>
      </c>
      <c r="U7" s="110">
        <f>R7*O7</f>
        <v>20000</v>
      </c>
      <c r="V7" s="111"/>
      <c r="W7" s="9" t="s">
        <v>102</v>
      </c>
      <c r="X7" s="86" t="s">
        <v>31</v>
      </c>
      <c r="Y7" s="87"/>
    </row>
    <row r="8" spans="1:25" ht="20.149999999999999" customHeight="1" x14ac:dyDescent="0.8">
      <c r="A8" s="11" t="s">
        <v>16</v>
      </c>
      <c r="B8" s="88">
        <f>R9</f>
        <v>380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80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49999999999999" customHeight="1" x14ac:dyDescent="0.9">
      <c r="A9" s="14" t="s">
        <v>48</v>
      </c>
      <c r="B9" s="98" t="s">
        <v>197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195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380</v>
      </c>
      <c r="S9" s="16" t="s">
        <v>78</v>
      </c>
      <c r="T9" s="28">
        <v>600</v>
      </c>
      <c r="U9" s="16" t="s">
        <v>78</v>
      </c>
      <c r="V9" s="28">
        <v>80</v>
      </c>
      <c r="W9" s="15"/>
      <c r="X9" s="135"/>
      <c r="Y9" s="136"/>
    </row>
    <row r="10" spans="1:25" ht="20.149999999999999" customHeight="1" x14ac:dyDescent="0.8">
      <c r="A10" s="9" t="s">
        <v>51</v>
      </c>
      <c r="B10" s="86">
        <v>24</v>
      </c>
      <c r="C10" s="87"/>
      <c r="D10" s="45" t="s">
        <v>134</v>
      </c>
      <c r="E10" s="100">
        <f>IF(ISNUMBER(SEARCH("sheet",O8,1)),((R9*T9*H8/540000)*U7/2000*1.3),((R9*T9*H8/540000)*U7/1000*1.08))</f>
        <v>729.60000000000014</v>
      </c>
      <c r="F10" s="101"/>
      <c r="G10" s="9" t="s">
        <v>53</v>
      </c>
      <c r="H10" s="104">
        <f>IF(ISNUMBER(SEARCH("sheet",O8,1)),(U7*T9/2000*1.08),(U7*T9/1000*1.08))</f>
        <v>12960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 t="s">
        <v>196</v>
      </c>
      <c r="V10" s="129"/>
      <c r="W10" s="129"/>
      <c r="X10" s="129"/>
      <c r="Y10" s="130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30.400000000000006</v>
      </c>
      <c r="F11" s="103"/>
      <c r="G11" s="9" t="s">
        <v>15</v>
      </c>
      <c r="H11" s="102">
        <f>H10/B10</f>
        <v>540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49999999999999" customHeight="1" x14ac:dyDescent="0.7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49999999999999" customHeight="1" x14ac:dyDescent="0.8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80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49999999999999" customHeight="1" x14ac:dyDescent="0.7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49999999999999" customHeight="1" x14ac:dyDescent="0.8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110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40"/>
      <c r="Y18" s="141"/>
    </row>
    <row r="19" spans="1:25" ht="20.149999999999999" customHeight="1" x14ac:dyDescent="0.7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49999999999999" customHeight="1" x14ac:dyDescent="0.7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49999999999999" customHeight="1" x14ac:dyDescent="0.7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49999999999999" customHeight="1" x14ac:dyDescent="0.7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49999999999999" customHeight="1" x14ac:dyDescent="0.75">
      <c r="A23" s="78" t="s">
        <v>202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137" t="s">
        <v>203</v>
      </c>
      <c r="F23" s="138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49999999999999" customHeight="1" x14ac:dyDescent="0.7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198</v>
      </c>
      <c r="P25" s="32"/>
      <c r="Q25" s="8" t="s">
        <v>199</v>
      </c>
      <c r="R25" s="8"/>
      <c r="S25" s="8"/>
      <c r="T25" s="8"/>
      <c r="U25" s="8"/>
      <c r="V25" s="8"/>
      <c r="W25" s="8" t="s">
        <v>200</v>
      </c>
      <c r="X25" s="8" t="s">
        <v>201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9" t="s">
        <v>132</v>
      </c>
      <c r="H26" s="139"/>
      <c r="I26" s="139" t="s">
        <v>131</v>
      </c>
      <c r="J26" s="139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20" t="s">
        <v>96</v>
      </c>
      <c r="B27" s="7"/>
      <c r="C27" s="7"/>
      <c r="D27" s="7">
        <v>17</v>
      </c>
      <c r="E27" s="57">
        <v>4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204</v>
      </c>
      <c r="C28" s="7"/>
      <c r="D28" s="7">
        <v>26</v>
      </c>
      <c r="E28" s="57">
        <v>2.2999999999999998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46058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46048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E4FEDD8-18BF-41E3-AB19-570AB2B5F926}"/>
</file>

<file path=customXml/itemProps2.xml><?xml version="1.0" encoding="utf-8"?>
<ds:datastoreItem xmlns:ds="http://schemas.openxmlformats.org/officeDocument/2006/customXml" ds:itemID="{F4417E29-F998-431E-8CE2-7C6FCFC5B25D}"/>
</file>

<file path=customXml/itemProps3.xml><?xml version="1.0" encoding="utf-8"?>
<ds:datastoreItem xmlns:ds="http://schemas.openxmlformats.org/officeDocument/2006/customXml" ds:itemID="{A20693F5-0EC4-4782-B757-F66776405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2026-01-05T04:13:23Z</cp:lastPrinted>
  <dcterms:created xsi:type="dcterms:W3CDTF">2019-11-27T23:28:06Z</dcterms:created>
  <dcterms:modified xsi:type="dcterms:W3CDTF">2026-01-05T04:43:32Z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