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11656A0-171D-4BF1-AF98-0F0BAFD6D9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<sst xmlns="http://schemas.openxmlformats.org/spreadsheetml/2006/main" count="303" uniqueCount="199">
  <si>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</si>
  <si>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</si>
  <si>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</si>
  <si>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</si>
  <si>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</si>
  <si>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</si>
  <si>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</si>
  <si>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</si>
  <si>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</si>
  <si>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</si>
  <si>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</si>
  <si>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</si>
  <si>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</si>
  <si>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</si>
  <si>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</si>
  <si>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</si>
  <si>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</si>
  <si>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</si>
  <si>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</si>
  <si>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</si>
  <si>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</si>
  <si>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</si>
  <si>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</si>
  <si>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</si>
  <si>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</si>
  <si>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</si>
  <si>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</si>
  <si>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</si>
  <si>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</si>
  <si>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</si>
  <si>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</si>
  <si>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</si>
  <si>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</si>
  <si>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</si>
  <si>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</si>
  <si>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</si>
  <si>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</si>
  <si>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</si>
  <si>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</si>
  <si>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</si>
  <si>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</si>
  <si>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</si>
  <si>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</si>
  <si>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</si>
  <si>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</si>
  <si>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</si>
  <si>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</si>
  <si>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</si>
  <si>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</si>
  <si>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</si>
  <si>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</si>
  <si>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</si>
  <si>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</si>
  <si>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</si>
  <si>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</si>
  <si>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</si>
  <si>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</si>
  <si>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</si>
  <si>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</si>
  <si>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</si>
  <si>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</si>
  <si>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</si>
  <si>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</si>
  <si>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</si>
  <si>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</si>
  <si>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</si>
  <si>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</si>
  <si>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</si>
  <si>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</si>
  <si>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</si>
  <si>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</si>
  <si>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</si>
  <si>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</si>
  <si>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</si>
  <si>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</si>
  <si>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</si>
  <si>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</si>
  <si>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</si>
  <si>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</si>
  <si>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</si>
  <si>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</si>
  <si>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</si>
  <si>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</si>
  <si>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</si>
  <si>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</si>
  <si>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</si>
  <si>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</si>
  <si>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</si>
  <si>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</si>
  <si>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</si>
  <si>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</si>
  <si>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</si>
  <si>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</si>
  <si>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</si>
  <si>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</si>
  <si>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</si>
  <si>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</si>
  <si>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</si>
  <si>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</si>
  <si>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</si>
  <si>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</si>
  <si>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</si>
  <si>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</si>
  <si>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</si>
  <si>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</si>
  <si>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</si>
  <si>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</si>
  <si>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</si>
  <si>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</si>
  <si>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</si>
  <si>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</si>
  <si>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</si>
  <si>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</si>
  <si>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</si>
  <si>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</si>
  <si>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</si>
  <si>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</si>
  <si>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</si>
  <si>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</si>
  <si>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</si>
  <si>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</si>
  <si>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</si>
  <si>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</si>
  <si>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</si>
  <si>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</si>
  <si>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</si>
  <si>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</si>
  <si>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</si>
  <si>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</si>
  <si>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</si>
  <si>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</si>
  <si>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</si>
  <si>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</si>
  <si>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</si>
  <si>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</si>
  <si>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</si>
  <si>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</si>
  <si>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</si>
  <si>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</si>
  <si>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</si>
  <si>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</si>
  <si>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</si>
  <si>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</si>
  <si>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</si>
  <si>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</si>
  <si>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</si>
  <si>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</si>
  <si>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</si>
  <si>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</si>
  <si>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</si>
  <si>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</si>
  <si>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</si>
  <si>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</si>
  <si>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</si>
  <si>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</si>
  <si>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</si>
  <si>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</si>
  <si>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</si>
  <si>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</si>
  <si>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</si>
  <si>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</si>
  <si>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</si>
  <si>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</si>
  <si>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</si>
  <si>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</si>
  <si>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</si>
  <si>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</si>
  <si>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</si>
  <si>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</si>
  <si>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</si>
  <si>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</si>
  <si>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</si>
  <si>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</si>
  <si>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</si>
  <si>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</si>
  <si>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</si>
  <si>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</si>
  <si>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</si>
  <si>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</si>
  <si>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</si>
  <si>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</si>
  <si>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</si>
  <si>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</si>
  <si>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</si>
  <si>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</si>
  <si>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</si>
  <si>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</si>
  <si>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</si>
  <si>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</si>
  <si>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</si>
  <si>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</si>
  <si>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</si>
  <si>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</si>
  <si>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</si>
  <si>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+0mm/- 5mm</t>
  </si>
  <si>
    <t>LIMAX</t>
  </si>
  <si>
    <t xml:space="preserve">LIVE CORALS </t>
  </si>
  <si>
    <t>NOT UNDER</t>
  </si>
  <si>
    <t>CANNOT RUN UNDER WIDTH - NOT UNDER 100UM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</si>
</sst>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8" fillId="5" borderId="2" xfId="0" applyFont="1" applyFill="1" applyBorder="1" applyAlignment="1" applyProtection="1">
      <alignment horizontal="center"/>
      <protection locked="0"/>
    </xf>
    <xf numFmtId="0" fontId="18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center" vertical="center" wrapText="1"/>
      <protection locked="0"/>
    </xf>
    <xf numFmtId="0" fontId="19" fillId="0" borderId="0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R10" sqref="R10:S10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PB200400100</v>
      </c>
      <c r="C1" s="122"/>
      <c r="D1" s="123"/>
      <c r="E1" s="12" t="s">
        <v>57</v>
      </c>
      <c r="F1" s="133" t="s">
        <v>196</v>
      </c>
      <c r="G1" s="134"/>
      <c r="H1" s="135"/>
      <c r="I1" s="13" t="s">
        <v>181</v>
      </c>
      <c r="J1" s="95">
        <f ca="1">TODAY()</f>
        <v>44278</v>
      </c>
      <c r="K1" s="95"/>
      <c r="L1" s="96"/>
      <c r="M1" s="34"/>
      <c r="N1" s="12" t="s">
        <v>56</v>
      </c>
      <c r="O1" s="122" t="str">
        <f>B1</f>
        <v>PB200400100</v>
      </c>
      <c r="P1" s="122"/>
      <c r="Q1" s="123"/>
      <c r="R1" s="12" t="s">
        <v>57</v>
      </c>
      <c r="S1" s="122" t="str">
        <f>F1</f>
        <v xml:space="preserve">LIVE CORALS </v>
      </c>
      <c r="T1" s="122"/>
      <c r="U1" s="123"/>
      <c r="V1" s="12" t="s">
        <v>181</v>
      </c>
      <c r="W1" s="95">
        <f ca="1">J1</f>
        <v>44278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939646</v>
      </c>
      <c r="G2" s="98"/>
      <c r="H2" s="99"/>
      <c r="I2" s="12" t="s">
        <v>59</v>
      </c>
      <c r="J2" s="97">
        <v>44278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939646</v>
      </c>
      <c r="T2" s="122"/>
      <c r="U2" s="123"/>
      <c r="V2" s="12" t="s">
        <v>59</v>
      </c>
      <c r="W2" s="145">
        <f>J2</f>
        <v>44278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36" t="str">
        <f>A3</f>
        <v>CANNOT RUN UNDER WIDTH - NOT UNDER 100UM</v>
      </c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8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39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1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42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4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16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8000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48" t="s">
        <v>164</v>
      </c>
      <c r="P8" s="14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46" t="str">
        <f>IF(AND(W8="Gusset",X9=""), "None",IF(AND(W8="Centrefold",X9=""),"None",IF(W8="Gusset","G",IF(W8="Centrefold","CF"))))</f>
        <v>None</v>
      </c>
      <c r="Y8" s="14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50" t="str">
        <f>IF(O8="Poly Bag","PB",IF(O8="Poly Bag Roll","PBR",IF(O8="Centrefold Roll","CFR",IF(O8="Sheet","S",IF(O8="Sheet Roll","SR")))))</f>
        <v>PB</v>
      </c>
      <c r="P9" s="151"/>
      <c r="Q9" s="19"/>
      <c r="R9" s="35">
        <v>200</v>
      </c>
      <c r="S9" s="20" t="s">
        <v>78</v>
      </c>
      <c r="T9" s="35">
        <v>400</v>
      </c>
      <c r="U9" s="20" t="s">
        <v>78</v>
      </c>
      <c r="V9" s="35">
        <v>100</v>
      </c>
      <c r="W9" s="19"/>
      <c r="X9" s="161"/>
      <c r="Y9" s="162"/>
    </row>
    <row r="10" spans="1:28" ht="20.100000000000001" customHeight="1" x14ac:dyDescent="0.25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128</v>
      </c>
      <c r="F10" s="113"/>
      <c r="G10" s="12" t="s">
        <v>53</v>
      </c>
      <c r="H10" s="116">
        <f>IF(ISNUMBER(SEARCH("sheet",O8,1)),(U7*T9/2000*1.08),(U7*T9/1000*1.08))</f>
        <v>3456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48" t="s">
        <v>44</v>
      </c>
      <c r="P10" s="149"/>
      <c r="Q10" s="16" t="s">
        <v>50</v>
      </c>
      <c r="R10" s="146" t="str">
        <f>IF(K11="NONE","None",IF(K11="INLINE","Yes",IF(K11="OUT OF LINE","Yes")))</f>
        <v>None</v>
      </c>
      <c r="S10" s="146"/>
      <c r="T10" s="16" t="s">
        <v>100</v>
      </c>
      <c r="U10" s="153"/>
      <c r="V10" s="153"/>
      <c r="W10" s="153"/>
      <c r="X10" s="153"/>
      <c r="Y10" s="15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16</v>
      </c>
      <c r="F11" s="115"/>
      <c r="G11" s="12" t="s">
        <v>15</v>
      </c>
      <c r="H11" s="114">
        <f>H10/B10</f>
        <v>432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55"/>
      <c r="V11" s="155"/>
      <c r="W11" s="155"/>
      <c r="X11" s="155"/>
      <c r="Y11" s="15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5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5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7"/>
      <c r="Y16" s="16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67"/>
      <c r="Y17" s="16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67"/>
      <c r="Y18" s="16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9" t="s">
        <v>116</v>
      </c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1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72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4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72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4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75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7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5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195</v>
      </c>
      <c r="P25" s="39"/>
      <c r="Q25" s="10">
        <v>24</v>
      </c>
      <c r="R25" s="10"/>
      <c r="S25" s="10"/>
      <c r="T25" s="10"/>
      <c r="U25" s="10"/>
      <c r="V25" s="10"/>
      <c r="W25" s="10">
        <v>15</v>
      </c>
      <c r="X25" s="10">
        <v>15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66" t="s">
        <v>132</v>
      </c>
      <c r="H26" s="166"/>
      <c r="I26" s="166" t="s">
        <v>131</v>
      </c>
      <c r="J26" s="166"/>
      <c r="K26" s="28" t="s">
        <v>94</v>
      </c>
      <c r="L26" s="28" t="s">
        <v>95</v>
      </c>
      <c r="M26" s="34"/>
      <c r="N26" s="163" t="s">
        <v>137</v>
      </c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57" t="s">
        <v>99</v>
      </c>
      <c r="B29" s="158"/>
      <c r="C29" s="158"/>
      <c r="D29" s="158"/>
      <c r="E29" s="158"/>
      <c r="F29" s="159"/>
      <c r="G29" s="159"/>
      <c r="H29" s="159"/>
      <c r="I29" s="159"/>
      <c r="J29" s="159"/>
      <c r="K29" s="158"/>
      <c r="L29" s="16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44309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44299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53BCDD3-FACB-4D3C-A819-A669954F8761}"/>
</file>

<file path=customXml/itemProps2.xml><?xml version="1.0" encoding="utf-8"?>
<ds:datastoreItem xmlns:ds="http://schemas.openxmlformats.org/officeDocument/2006/customXml" ds:itemID="{A903E6BC-28DE-4132-9912-929EA7F24472}"/>
</file>

<file path=customXml/itemProps3.xml><?xml version="1.0" encoding="utf-8"?>
<ds:datastoreItem xmlns:ds="http://schemas.openxmlformats.org/officeDocument/2006/customXml" ds:itemID="{2DC17EA4-E397-437D-AE39-F58BDECF95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2021-02-23T01:02:14Z</cp:lastPrinted>
  <dcterms:created xsi:type="dcterms:W3CDTF">2019-11-27T23:28:06Z</dcterms:created>
  <dcterms:modified xsi:type="dcterms:W3CDTF">2021-03-23T01:13:18Z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