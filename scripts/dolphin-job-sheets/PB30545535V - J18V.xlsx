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E223162-CC0B-4DB2-BC48-24BBED023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<sst xmlns="http://schemas.openxmlformats.org/spreadsheetml/2006/main" count="305" uniqueCount="201">
  <si>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</si>
  <si>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</si>
  <si>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</si>
  <si>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</si>
  <si>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</si>
  <si>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</si>
  <si>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</si>
  <si>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</si>
  <si>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</si>
  <si>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</si>
  <si>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</si>
  <si>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</si>
  <si>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</si>
  <si>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</si>
  <si>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</si>
  <si>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</si>
  <si>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</si>
  <si>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</si>
  <si>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</si>
  <si>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</si>
  <si>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</si>
  <si>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</si>
  <si>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</si>
  <si>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</si>
  <si>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</si>
  <si>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</si>
  <si>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</si>
  <si>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</si>
  <si>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</si>
  <si>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</si>
  <si>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</si>
  <si>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</si>
  <si>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</si>
  <si>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</si>
  <si>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</si>
  <si>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</si>
  <si>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</si>
  <si>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</si>
  <si>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</si>
  <si>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</si>
  <si>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</si>
  <si>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</si>
  <si>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</si>
  <si>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</si>
  <si>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</si>
  <si>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</si>
  <si>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</si>
  <si>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</si>
  <si>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</si>
  <si>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</si>
  <si>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</si>
  <si>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</si>
  <si>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</si>
  <si>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</si>
  <si>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</si>
  <si>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</si>
  <si>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</si>
  <si>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</si>
  <si>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</si>
  <si>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</si>
  <si>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</si>
  <si>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</si>
  <si>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</si>
  <si>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</si>
  <si>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</si>
  <si>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</si>
  <si>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</si>
  <si>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</si>
  <si>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</si>
  <si>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</si>
  <si>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</si>
  <si>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</si>
  <si>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</si>
  <si>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</si>
  <si>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</si>
  <si>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</si>
  <si>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</si>
  <si>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</si>
  <si>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</si>
  <si>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</si>
  <si>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</si>
  <si>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</si>
  <si>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</si>
  <si>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</si>
  <si>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</si>
  <si>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</si>
  <si>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</si>
  <si>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</si>
  <si>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</si>
  <si>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</si>
  <si>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</si>
  <si>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</si>
  <si>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</si>
  <si>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</si>
  <si>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</si>
  <si>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</si>
  <si>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</si>
  <si>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</si>
  <si>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</si>
  <si>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</si>
  <si>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</si>
  <si>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</si>
  <si>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</si>
  <si>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</si>
  <si>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</si>
  <si>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</si>
  <si>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</si>
  <si>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</si>
  <si>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</si>
  <si>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</si>
  <si>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</si>
  <si>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</si>
  <si>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</si>
  <si>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</si>
  <si>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</si>
  <si>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</si>
  <si>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</si>
  <si>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</si>
  <si>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</si>
  <si>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</si>
  <si>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</si>
  <si>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</si>
  <si>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</si>
  <si>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</si>
  <si>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</si>
  <si>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</si>
  <si>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</si>
  <si>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</si>
  <si>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</si>
  <si>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</si>
  <si>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</si>
  <si>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</si>
  <si>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</si>
  <si>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</si>
  <si>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</si>
  <si>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</si>
  <si>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</si>
  <si>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</si>
  <si>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</si>
  <si>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</si>
  <si>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</si>
  <si>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</si>
  <si>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</si>
  <si>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</si>
  <si>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</si>
  <si>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</si>
  <si>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</si>
  <si>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</si>
  <si>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</si>
  <si>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</si>
  <si>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</si>
  <si>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</si>
  <si>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</si>
  <si>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</si>
  <si>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</si>
  <si>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</si>
  <si>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</si>
  <si>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</si>
  <si>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</si>
  <si>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</si>
  <si>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</si>
  <si>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</si>
  <si>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</si>
  <si>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</si>
  <si>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</si>
  <si>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</si>
  <si>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</si>
  <si>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</si>
  <si>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</si>
  <si>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</si>
  <si>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</si>
  <si>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</si>
  <si>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</si>
  <si>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</si>
  <si>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</si>
  <si>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</si>
  <si>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</si>
  <si>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</si>
  <si>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</si>
  <si>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</si>
  <si>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</si>
  <si>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</si>
  <si>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</si>
  <si>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</si>
  <si>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</si>
  <si>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</si>
  <si>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</si>
  <si>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</si>
  <si>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</si>
  <si>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</si>
  <si>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</si>
  <si>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</si>
  <si>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</si>
  <si>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</si>
  <si>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</si>
  <si>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HYQUAL</t>
  </si>
  <si>
    <t>RUN AT 30 - 35um</t>
  </si>
  <si>
    <t>J18V</t>
  </si>
  <si>
    <t>ANTIBLOCK</t>
  </si>
  <si>
    <t>ANTISTATIC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</si>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</sst>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PB305455350ASV</v>
      </c>
      <c r="C1" s="109"/>
      <c r="D1" s="110"/>
      <c r="E1" s="10" t="s">
        <v>57</v>
      </c>
      <c r="F1" s="61" t="s">
        <v>195</v>
      </c>
      <c r="G1" s="61"/>
      <c r="H1" s="62"/>
      <c r="I1" s="11" t="s">
        <v>181</v>
      </c>
      <c r="J1" s="120">
        <f ca="1">TODAY()</f>
        <v>45588</v>
      </c>
      <c r="K1" s="120"/>
      <c r="L1" s="121"/>
      <c r="M1" s="28"/>
      <c r="N1" s="10" t="s">
        <v>56</v>
      </c>
      <c r="O1" s="109" t="str">
        <f>B1</f>
        <v>PB305455350ASV</v>
      </c>
      <c r="P1" s="109"/>
      <c r="Q1" s="110"/>
      <c r="R1" s="10" t="s">
        <v>57</v>
      </c>
      <c r="S1" s="109" t="str">
        <f>F1</f>
        <v>HYQUAL</v>
      </c>
      <c r="T1" s="109"/>
      <c r="U1" s="110"/>
      <c r="V1" s="10" t="s">
        <v>181</v>
      </c>
      <c r="W1" s="120">
        <f ca="1">J1</f>
        <v>45588</v>
      </c>
      <c r="X1" s="120"/>
      <c r="Y1" s="121"/>
    </row>
    <row r="2" spans="1:25" ht="20.100000000000001" customHeight="1" x14ac:dyDescent="0.25">
      <c r="A2" s="10" t="s">
        <v>100</v>
      </c>
      <c r="B2" s="109" t="str">
        <f>IF(U10="","",U10)</f>
        <v>J18V</v>
      </c>
      <c r="C2" s="109"/>
      <c r="D2" s="110"/>
      <c r="E2" s="10" t="s">
        <v>58</v>
      </c>
      <c r="F2" s="61">
        <v>946265</v>
      </c>
      <c r="G2" s="61"/>
      <c r="H2" s="62"/>
      <c r="I2" s="10" t="s">
        <v>59</v>
      </c>
      <c r="J2" s="123">
        <v>45170</v>
      </c>
      <c r="K2" s="61"/>
      <c r="L2" s="62"/>
      <c r="M2" s="28"/>
      <c r="N2" s="10" t="s">
        <v>100</v>
      </c>
      <c r="O2" s="109" t="str">
        <f>IF(B2="","",B2)</f>
        <v>J18V</v>
      </c>
      <c r="P2" s="109"/>
      <c r="Q2" s="110"/>
      <c r="R2" s="10" t="s">
        <v>58</v>
      </c>
      <c r="S2" s="109">
        <f>IF(F2="","",F2)</f>
        <v>946265</v>
      </c>
      <c r="T2" s="109"/>
      <c r="U2" s="110"/>
      <c r="V2" s="10" t="s">
        <v>59</v>
      </c>
      <c r="W2" s="122">
        <f>J2</f>
        <v>45170</v>
      </c>
      <c r="X2" s="109"/>
      <c r="Y2" s="110"/>
    </row>
    <row r="3" spans="1:25" ht="20.100000000000001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10</v>
      </c>
      <c r="P7" s="62"/>
      <c r="Q7" s="10" t="str">
        <f>IF(ISNUMBER(SEARCH("roll",O8,1)),"Per Roll","Per Carton")</f>
        <v>Per Carton</v>
      </c>
      <c r="R7" s="61">
        <v>1000</v>
      </c>
      <c r="S7" s="62"/>
      <c r="T7" s="10" t="str">
        <f>IF(ISNUMBER(SEARCH("bag",O8,1)),"Total Bags","Total Sheets")</f>
        <v>Total Bags</v>
      </c>
      <c r="U7" s="109">
        <f>R7*O7</f>
        <v>10000</v>
      </c>
      <c r="V7" s="110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7">
        <f>R9</f>
        <v>305</v>
      </c>
      <c r="C8" s="98"/>
      <c r="D8" s="26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2" t="s">
        <v>52</v>
      </c>
      <c r="H8" s="97">
        <f>(IF(V9&lt;30,"30",V9))</f>
        <v>35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8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5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1"/>
      <c r="F9" s="102"/>
      <c r="G9" s="15" t="s">
        <v>48</v>
      </c>
      <c r="H9" s="126" t="s">
        <v>196</v>
      </c>
      <c r="I9" s="127"/>
      <c r="J9" s="10" t="s">
        <v>55</v>
      </c>
      <c r="K9" s="61" t="s">
        <v>30</v>
      </c>
      <c r="L9" s="62"/>
      <c r="M9" s="28"/>
      <c r="N9" s="16"/>
      <c r="O9" s="103" t="str">
        <f>IF(O8="Poly Bag","PB",IF(O8="Poly Bag Roll","PBR",IF(O8="Centrefold Roll","CFR",IF(O8="Sheet","S",IF(O8="Sheet Roll","SR")))))</f>
        <v>PB</v>
      </c>
      <c r="P9" s="104"/>
      <c r="Q9" s="16"/>
      <c r="R9" s="29">
        <v>305</v>
      </c>
      <c r="S9" s="17" t="s">
        <v>78</v>
      </c>
      <c r="T9" s="29">
        <v>455</v>
      </c>
      <c r="U9" s="17" t="s">
        <v>78</v>
      </c>
      <c r="V9" s="29">
        <v>35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5</v>
      </c>
      <c r="C10" s="62"/>
      <c r="D10" s="46" t="s">
        <v>134</v>
      </c>
      <c r="E10" s="128">
        <f>IF(ISNUMBER(SEARCH("sheet",O8,1)),((R9*T9*H8/540000)*U7/2000*1.3),((R9*T9*H8/540000)*U7/1000*1.08))</f>
        <v>97.142499999999998</v>
      </c>
      <c r="F10" s="129"/>
      <c r="G10" s="10" t="s">
        <v>53</v>
      </c>
      <c r="H10" s="132">
        <f>IF(ISNUMBER(SEARCH("sheet",O8,1)),(U7*T9/2000*1.08),(U7*T9/1000*1.08))</f>
        <v>4914</v>
      </c>
      <c r="I10" s="133"/>
      <c r="J10" s="10" t="s">
        <v>41</v>
      </c>
      <c r="K10" s="61" t="s">
        <v>44</v>
      </c>
      <c r="L10" s="62"/>
      <c r="M10" s="28"/>
      <c r="N10" s="13" t="s">
        <v>141</v>
      </c>
      <c r="O10" s="99" t="s">
        <v>188</v>
      </c>
      <c r="P10" s="100"/>
      <c r="Q10" s="13" t="s">
        <v>50</v>
      </c>
      <c r="R10" s="95" t="str">
        <f>IF(K11="NONE","None",IF(K11="INLINE","Yes",IF(K11="OUT OF LINE","Yes")))</f>
        <v>None</v>
      </c>
      <c r="S10" s="95"/>
      <c r="T10" s="13" t="s">
        <v>100</v>
      </c>
      <c r="U10" s="105" t="s">
        <v>197</v>
      </c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>
        <f>E10/B10</f>
        <v>19.4285</v>
      </c>
      <c r="F11" s="131"/>
      <c r="G11" s="10" t="s">
        <v>15</v>
      </c>
      <c r="H11" s="130">
        <f>H10/B10</f>
        <v>982.8</v>
      </c>
      <c r="I11" s="131"/>
      <c r="J11" s="10" t="s">
        <v>50</v>
      </c>
      <c r="K11" s="61" t="s">
        <v>44</v>
      </c>
      <c r="L11" s="62"/>
      <c r="M11" s="28"/>
      <c r="N11" s="12"/>
      <c r="O11" s="97" t="str">
        <f>IF(O10="NONE","","V")</f>
        <v>V</v>
      </c>
      <c r="P11" s="98"/>
      <c r="Q11" s="12"/>
      <c r="R11" s="97" t="str">
        <f>IF(R10="None","","P")</f>
        <v/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44</v>
      </c>
      <c r="C13" s="61"/>
      <c r="D13" s="62"/>
      <c r="E13" s="18" t="s">
        <v>61</v>
      </c>
      <c r="F13" s="61" t="s">
        <v>44</v>
      </c>
      <c r="G13" s="61"/>
      <c r="H13" s="62"/>
      <c r="I13" s="10" t="s">
        <v>62</v>
      </c>
      <c r="J13" s="61" t="s">
        <v>44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5</v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110</v>
      </c>
      <c r="P16" s="62"/>
      <c r="Q16" s="10" t="s">
        <v>105</v>
      </c>
      <c r="R16" s="61" t="s">
        <v>23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3" t="s">
        <v>147</v>
      </c>
      <c r="D17" s="94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23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3" t="s">
        <v>146</v>
      </c>
      <c r="D18" s="94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3" t="s">
        <v>145</v>
      </c>
      <c r="D19" s="94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3" t="s">
        <v>144</v>
      </c>
      <c r="D20" s="94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3" t="s">
        <v>143</v>
      </c>
      <c r="D21" s="94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9" t="s">
        <v>198</v>
      </c>
      <c r="B23" s="139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89">
        <v>0.01</v>
      </c>
      <c r="F23" s="90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0" t="s">
        <v>199</v>
      </c>
      <c r="B24" s="14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4"/>
      <c r="E24" s="89">
        <v>0.01</v>
      </c>
      <c r="F24" s="90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/>
      <c r="P25" s="33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200</v>
      </c>
      <c r="C27" s="7"/>
      <c r="D27" s="142">
        <v>25.2</v>
      </c>
      <c r="E27" s="143">
        <v>5.6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45619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45609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BF3C86A-FB87-454E-9180-7B056821B1DD}"/>
</file>

<file path=customXml/itemProps2.xml><?xml version="1.0" encoding="utf-8"?>
<ds:datastoreItem xmlns:ds="http://schemas.openxmlformats.org/officeDocument/2006/customXml" ds:itemID="{B118524F-92F3-4234-8A5D-35F1077A56E9}"/>
</file>

<file path=customXml/itemProps3.xml><?xml version="1.0" encoding="utf-8"?>
<ds:datastoreItem xmlns:ds="http://schemas.openxmlformats.org/officeDocument/2006/customXml" ds:itemID="{D405A55E-751C-4B43-8B6F-3562354DD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2023-08-11T01:18:57Z</cp:lastPrinted>
  <dcterms:created xsi:type="dcterms:W3CDTF">2019-11-27T23:28:06Z</dcterms:created>
  <dcterms:modified xsi:type="dcterms:W3CDTF">2024-10-23T04:03:14Z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