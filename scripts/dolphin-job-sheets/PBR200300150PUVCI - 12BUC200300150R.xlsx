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E9BCBDEC-7C8F-498E-849B-5CFA13D91D1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<sst xmlns="http://schemas.openxmlformats.org/spreadsheetml/2006/main" count="311" uniqueCount="208">
  <si>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</si>
  <si>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</si>
  <si>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</si>
  <si>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</si>
  <si>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</si>
  <si>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</si>
  <si>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</si>
  <si>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</si>
  <si>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</si>
  <si>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</si>
  <si>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</si>
  <si>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</si>
  <si>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</si>
  <si>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</si>
  <si>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</si>
  <si>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</si>
  <si>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</si>
  <si>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</si>
  <si>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</si>
  <si>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</si>
  <si>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</si>
  <si>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</si>
  <si>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</si>
  <si>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</si>
  <si>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</si>
  <si>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</si>
  <si>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</si>
  <si>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</si>
  <si>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</si>
  <si>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</si>
  <si>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</si>
  <si>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</si>
  <si>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</si>
  <si>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</si>
  <si>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</si>
  <si>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</si>
  <si>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</si>
  <si>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</si>
  <si>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</si>
  <si>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</si>
  <si>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</si>
  <si>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</si>
  <si>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</si>
  <si>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</si>
  <si>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</si>
  <si>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</si>
  <si>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</si>
  <si>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</si>
  <si>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</si>
  <si>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</si>
  <si>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</si>
  <si>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</si>
  <si>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</si>
  <si>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</si>
  <si>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</si>
  <si>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</si>
  <si>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</si>
  <si>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</si>
  <si>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</si>
  <si>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</si>
  <si>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</si>
  <si>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</si>
  <si>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</si>
  <si>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</si>
  <si>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</si>
  <si>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</si>
  <si>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</si>
  <si>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</si>
  <si>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</si>
  <si>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</si>
  <si>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</si>
  <si>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</si>
  <si>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</si>
  <si>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</si>
  <si>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</si>
  <si>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</si>
  <si>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</si>
  <si>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</si>
  <si>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</si>
  <si>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</si>
  <si>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</si>
  <si>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</si>
  <si>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</si>
  <si>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</si>
  <si>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</si>
  <si>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</si>
  <si>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</si>
  <si>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</si>
  <si>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</si>
  <si>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</si>
  <si>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</si>
  <si>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</si>
  <si>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</si>
  <si>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</si>
  <si>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</si>
  <si>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</si>
  <si>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</si>
  <si>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</si>
  <si>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</si>
  <si>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</si>
  <si>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</si>
  <si>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</si>
  <si>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</si>
  <si>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</si>
  <si>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</si>
  <si>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</si>
  <si>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</si>
  <si>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</si>
  <si>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</si>
  <si>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</si>
  <si>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</si>
  <si>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</si>
  <si>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</si>
  <si>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</si>
  <si>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</si>
  <si>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</si>
  <si>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</si>
  <si>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</si>
  <si>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</si>
  <si>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</si>
  <si>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</si>
  <si>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</si>
  <si>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</si>
  <si>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</si>
  <si>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</si>
  <si>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</si>
  <si>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</si>
  <si>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</si>
  <si>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</si>
  <si>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</si>
  <si>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</si>
  <si>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</si>
  <si>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</si>
  <si>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</si>
  <si>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</si>
  <si>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</si>
  <si>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</si>
  <si>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</si>
  <si>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</si>
  <si>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</si>
  <si>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</si>
  <si>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</si>
  <si>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</si>
  <si>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</si>
  <si>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</si>
  <si>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</si>
  <si>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</si>
  <si>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</si>
  <si>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</si>
  <si>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</si>
  <si>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</si>
  <si>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</si>
  <si>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</si>
  <si>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</si>
  <si>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</si>
  <si>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</si>
  <si>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</si>
  <si>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</si>
  <si>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</si>
  <si>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</si>
  <si>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</si>
  <si>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</si>
  <si>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</si>
  <si>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</si>
  <si>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</si>
  <si>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</si>
  <si>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</si>
  <si>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</si>
  <si>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</si>
  <si>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</si>
  <si>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</si>
  <si>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</si>
  <si>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</si>
  <si>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</si>
  <si>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</si>
  <si>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</si>
  <si>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</si>
  <si>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</si>
  <si>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</si>
  <si>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</si>
  <si>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</si>
  <si>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</si>
  <si>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</si>
  <si>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</si>
  <si>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</si>
  <si>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</si>
  <si>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</si>
  <si>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</si>
  <si>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</si>
  <si>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</si>
  <si>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</si>
  <si>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</si>
  <si>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</si>
  <si>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</si>
  <si>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</si>
  <si>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CORROSION INHIBITOR</t>
  </si>
  <si>
    <t>UV</t>
  </si>
  <si>
    <t>"DAYWALK" LOGO</t>
  </si>
  <si>
    <t>DAYWALK</t>
  </si>
  <si>
    <t>SHRINK FILM - MUST HAVE UV AND CORROSION INHIBITOR</t>
  </si>
  <si>
    <t>12-BUC200/300/150R</t>
  </si>
  <si>
    <t>RUN AT 140um</t>
  </si>
  <si>
    <t>PERF</t>
  </si>
  <si>
    <t>%</t>
  </si>
  <si>
    <t>#4</t>
  </si>
  <si>
    <t>Run 1/2</t>
  </si>
  <si>
    <t>22/26</t>
  </si>
  <si>
    <t>185/250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</si>
</sst>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5" t="s">
        <v>55</v>
      </c>
      <c r="B1" s="113" t="str">
        <f>O9&amp;R9&amp;IF(X8="G","G","")&amp;IF(O8="Centrefold Roll","("&amp;E8&amp;")","")&amp;T9&amp;V9&amp;C22&amp;C23&amp;C24&amp;O11&amp;R11</f>
        <v>PBR200300150CIUVP</v>
      </c>
      <c r="C1" s="113"/>
      <c r="D1" s="114"/>
      <c r="E1" s="15" t="s">
        <v>56</v>
      </c>
      <c r="F1" s="94" t="s">
        <v>198</v>
      </c>
      <c r="G1" s="94"/>
      <c r="H1" s="95"/>
      <c r="I1" s="15" t="s">
        <v>180</v>
      </c>
      <c r="J1" s="130">
        <f ca="1">TODAY()</f>
        <v>45932</v>
      </c>
      <c r="K1" s="130"/>
      <c r="L1" s="131"/>
      <c r="M1" s="29"/>
      <c r="N1" s="15" t="s">
        <v>55</v>
      </c>
      <c r="O1" s="113" t="str">
        <f>B1</f>
        <v>PBR200300150CIUVP</v>
      </c>
      <c r="P1" s="113"/>
      <c r="Q1" s="114"/>
      <c r="R1" s="15" t="s">
        <v>56</v>
      </c>
      <c r="S1" s="113" t="str">
        <f>F1</f>
        <v>DAYWALK</v>
      </c>
      <c r="T1" s="113"/>
      <c r="U1" s="114"/>
      <c r="V1" s="15" t="s">
        <v>180</v>
      </c>
      <c r="W1" s="130">
        <f ca="1">J1</f>
        <v>45932</v>
      </c>
      <c r="X1" s="130"/>
      <c r="Y1" s="131"/>
    </row>
    <row r="2" spans="1:25" ht="20.149999999999999" customHeight="1" x14ac:dyDescent="0.8">
      <c r="A2" s="15" t="s">
        <v>99</v>
      </c>
      <c r="B2" s="113" t="str">
        <f>IF(U10="","",U10)</f>
        <v>12-BUC200/300/150R</v>
      </c>
      <c r="C2" s="113"/>
      <c r="D2" s="114"/>
      <c r="E2" s="15" t="s">
        <v>57</v>
      </c>
      <c r="F2" s="94">
        <v>950634</v>
      </c>
      <c r="G2" s="94"/>
      <c r="H2" s="95"/>
      <c r="I2" s="15" t="s">
        <v>58</v>
      </c>
      <c r="J2" s="93">
        <v>45953</v>
      </c>
      <c r="K2" s="94"/>
      <c r="L2" s="95"/>
      <c r="M2" s="29"/>
      <c r="N2" s="15" t="s">
        <v>99</v>
      </c>
      <c r="O2" s="113" t="str">
        <f>IF(B2="","",B2)</f>
        <v>12-BUC200/300/150R</v>
      </c>
      <c r="P2" s="113"/>
      <c r="Q2" s="114"/>
      <c r="R2" s="15" t="s">
        <v>57</v>
      </c>
      <c r="S2" s="113">
        <f>IF(F2="","",F2)</f>
        <v>950634</v>
      </c>
      <c r="T2" s="113"/>
      <c r="U2" s="114"/>
      <c r="V2" s="15" t="s">
        <v>58</v>
      </c>
      <c r="W2" s="132">
        <f>J2</f>
        <v>45953</v>
      </c>
      <c r="X2" s="113"/>
      <c r="Y2" s="114"/>
    </row>
    <row r="3" spans="1:25" ht="20.149999999999999" customHeight="1" x14ac:dyDescent="0.75">
      <c r="A3" s="125" t="s">
        <v>199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29"/>
      <c r="N3" s="125" t="str">
        <f>A3</f>
        <v>SHRINK FILM - MUST HAVE UV AND CORROSION INHIBITOR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49999999999999" customHeight="1" x14ac:dyDescent="0.7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29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49999999999999" customHeight="1" x14ac:dyDescent="0.7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29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5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20</v>
      </c>
      <c r="P7" s="95"/>
      <c r="Q7" s="15" t="str">
        <f>IF(ISNUMBER(SEARCH("roll",O8,1)),"Per Roll","Per Carton")</f>
        <v>Per Roll</v>
      </c>
      <c r="R7" s="94">
        <v>600</v>
      </c>
      <c r="S7" s="95"/>
      <c r="T7" s="15" t="str">
        <f>IF(ISNUMBER(SEARCH("bag",O8,1)),"Total Bags","Total Sheets")</f>
        <v>Total Bags</v>
      </c>
      <c r="U7" s="113">
        <f>R7*O7</f>
        <v>12000</v>
      </c>
      <c r="V7" s="114"/>
      <c r="W7" s="15" t="s">
        <v>101</v>
      </c>
      <c r="X7" s="94" t="s">
        <v>22</v>
      </c>
      <c r="Y7" s="95"/>
    </row>
    <row r="8" spans="1:25" ht="20.149999999999999" customHeight="1" x14ac:dyDescent="0.8">
      <c r="A8" s="16" t="s">
        <v>15</v>
      </c>
      <c r="B8" s="103">
        <f>R9</f>
        <v>200</v>
      </c>
      <c r="C8" s="106"/>
      <c r="D8" s="19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6" t="s">
        <v>51</v>
      </c>
      <c r="H8" s="103">
        <f>(IF(V9&lt;30,"30",V9))</f>
        <v>150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29"/>
      <c r="N8" s="17" t="s">
        <v>53</v>
      </c>
      <c r="O8" s="104" t="s">
        <v>164</v>
      </c>
      <c r="P8" s="10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3"/>
    </row>
    <row r="9" spans="1:25" ht="20.149999999999999" customHeight="1" x14ac:dyDescent="0.9">
      <c r="A9" s="20" t="s">
        <v>47</v>
      </c>
      <c r="B9" s="111" t="s">
        <v>194</v>
      </c>
      <c r="C9" s="112"/>
      <c r="D9" s="137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201</v>
      </c>
      <c r="I9" s="112"/>
      <c r="J9" s="15" t="s">
        <v>54</v>
      </c>
      <c r="K9" s="94" t="s">
        <v>29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200</v>
      </c>
      <c r="S9" s="22" t="s">
        <v>77</v>
      </c>
      <c r="T9" s="30">
        <v>300</v>
      </c>
      <c r="U9" s="22" t="s">
        <v>77</v>
      </c>
      <c r="V9" s="30">
        <v>150</v>
      </c>
      <c r="W9" s="21"/>
      <c r="X9" s="100"/>
      <c r="Y9" s="101"/>
    </row>
    <row r="10" spans="1:25" ht="20.149999999999999" customHeight="1" x14ac:dyDescent="0.8">
      <c r="A10" s="15" t="s">
        <v>50</v>
      </c>
      <c r="B10" s="94">
        <v>8</v>
      </c>
      <c r="C10" s="95"/>
      <c r="D10" s="48" t="s">
        <v>133</v>
      </c>
      <c r="E10" s="115">
        <f>IF(ISNUMBER(SEARCH("sheet",O8,1)),((R9*T9*H8/540000)*U7/2000*1.3),((R9*T9*H8/540000)*U7/1000*1.08))</f>
        <v>216</v>
      </c>
      <c r="F10" s="116"/>
      <c r="G10" s="15" t="s">
        <v>52</v>
      </c>
      <c r="H10" s="119">
        <f>IF(ISNUMBER(SEARCH("sheet",O8,1)),(U7*T9/2000*1.08),(U7*T9/1000*1.08))</f>
        <v>3888.0000000000005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Yes</v>
      </c>
      <c r="S10" s="102"/>
      <c r="T10" s="17" t="s">
        <v>99</v>
      </c>
      <c r="U10" s="96" t="s">
        <v>200</v>
      </c>
      <c r="V10" s="96"/>
      <c r="W10" s="96"/>
      <c r="X10" s="96"/>
      <c r="Y10" s="97"/>
    </row>
    <row r="11" spans="1:25" ht="20.149999999999999" customHeight="1" x14ac:dyDescent="0.8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27</v>
      </c>
      <c r="F11" s="118"/>
      <c r="G11" s="15" t="s">
        <v>14</v>
      </c>
      <c r="H11" s="117">
        <f>H10/B10</f>
        <v>486.00000000000006</v>
      </c>
      <c r="I11" s="118"/>
      <c r="J11" s="15" t="s">
        <v>49</v>
      </c>
      <c r="K11" s="94" t="s">
        <v>63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>P</v>
      </c>
      <c r="S11" s="103"/>
      <c r="T11" s="16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49999999999999" customHeight="1" x14ac:dyDescent="0.8">
      <c r="A13" s="15" t="s">
        <v>67</v>
      </c>
      <c r="B13" s="94" t="s">
        <v>69</v>
      </c>
      <c r="C13" s="94"/>
      <c r="D13" s="95"/>
      <c r="E13" s="23" t="s">
        <v>60</v>
      </c>
      <c r="F13" s="94" t="s">
        <v>65</v>
      </c>
      <c r="G13" s="94"/>
      <c r="H13" s="95"/>
      <c r="I13" s="15" t="s">
        <v>61</v>
      </c>
      <c r="J13" s="94" t="s">
        <v>176</v>
      </c>
      <c r="K13" s="94"/>
      <c r="L13" s="95"/>
      <c r="M13" s="29"/>
      <c r="N13" s="15" t="s">
        <v>71</v>
      </c>
      <c r="O13" s="31" t="s">
        <v>56</v>
      </c>
      <c r="P13" s="15" t="s">
        <v>72</v>
      </c>
      <c r="Q13" s="24">
        <f>O7</f>
        <v>20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49999999999999" customHeight="1" x14ac:dyDescent="0.9">
      <c r="A14" s="16" t="s">
        <v>59</v>
      </c>
      <c r="B14" s="123" t="s">
        <v>197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29"/>
      <c r="N14" s="140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94" t="s">
        <v>30</v>
      </c>
      <c r="S16" s="95"/>
      <c r="T16" s="15" t="s">
        <v>102</v>
      </c>
      <c r="U16" s="94" t="s">
        <v>30</v>
      </c>
      <c r="V16" s="95"/>
      <c r="W16" s="15" t="str">
        <f>IF(ISNUMBER(SEARCH("bag",O8,1)),"Total Bags","Total Sheets")</f>
        <v>Total Bags</v>
      </c>
      <c r="X16" s="138"/>
      <c r="Y16" s="139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22</v>
      </c>
      <c r="V17" s="95"/>
      <c r="W17" s="15" t="str">
        <f>IF(ISNUMBER(SEARCH("roll",O8,1)),"Total Rolls","Total Ctns")</f>
        <v>Total Rolls</v>
      </c>
      <c r="X17" s="138"/>
      <c r="Y17" s="139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5" t="s">
        <v>108</v>
      </c>
      <c r="X18" s="138"/>
      <c r="Y18" s="139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 t="s">
        <v>195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CI</v>
      </c>
      <c r="D23" s="81"/>
      <c r="E23" s="85" t="s">
        <v>203</v>
      </c>
      <c r="F23" s="86"/>
      <c r="G23" s="33" t="s">
        <v>86</v>
      </c>
      <c r="H23" s="34"/>
      <c r="I23" s="62"/>
      <c r="J23" s="63"/>
      <c r="K23" s="62"/>
      <c r="L23" s="63"/>
      <c r="M23" s="29"/>
      <c r="N23" s="140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 t="s">
        <v>196</v>
      </c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81"/>
      <c r="E24" s="85" t="s">
        <v>203</v>
      </c>
      <c r="F24" s="86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205</v>
      </c>
      <c r="O25" s="9" t="s">
        <v>202</v>
      </c>
      <c r="P25" s="35"/>
      <c r="Q25" s="9" t="s">
        <v>206</v>
      </c>
      <c r="R25" s="9">
        <v>8.5</v>
      </c>
      <c r="S25" s="9"/>
      <c r="T25" s="9">
        <v>7</v>
      </c>
      <c r="U25" s="9"/>
      <c r="V25" s="9">
        <v>3</v>
      </c>
      <c r="W25" s="9" t="s">
        <v>207</v>
      </c>
      <c r="X25" s="9" t="s">
        <v>207</v>
      </c>
      <c r="Y25" s="9"/>
    </row>
    <row r="26" spans="1:25" ht="20.149999999999999" customHeight="1" x14ac:dyDescent="0.7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1" t="s">
        <v>131</v>
      </c>
      <c r="H26" s="141"/>
      <c r="I26" s="141" t="s">
        <v>130</v>
      </c>
      <c r="J26" s="141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3" t="s">
        <v>95</v>
      </c>
      <c r="B27" s="7" t="s">
        <v>204</v>
      </c>
      <c r="C27" s="7"/>
      <c r="D27" s="9">
        <v>30</v>
      </c>
      <c r="E27" s="60">
        <v>2.2000000000000002</v>
      </c>
      <c r="F27" s="7"/>
      <c r="G27" s="61"/>
      <c r="H27" s="61"/>
      <c r="I27" s="61"/>
      <c r="J27" s="61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49999999999999" customHeight="1" x14ac:dyDescent="0.7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1"/>
    </row>
    <row r="44" spans="1:25" ht="20.149999999999999" customHeight="1" x14ac:dyDescent="0.7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49999999999999" customHeight="1" x14ac:dyDescent="0.7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45963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45953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24A58CB-B377-4555-BCEF-4C726B5DFF70}"/>
</file>

<file path=customXml/itemProps2.xml><?xml version="1.0" encoding="utf-8"?>
<ds:datastoreItem xmlns:ds="http://schemas.openxmlformats.org/officeDocument/2006/customXml" ds:itemID="{8CBFAB51-70F3-4158-922D-522A741BB71C}"/>
</file>

<file path=customXml/itemProps3.xml><?xml version="1.0" encoding="utf-8"?>
<ds:datastoreItem xmlns:ds="http://schemas.openxmlformats.org/officeDocument/2006/customXml" ds:itemID="{3529F9C6-4C43-4E0A-99BD-FAFE5729B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2025-10-02T04:11:48Z</cp:lastPrinted>
  <dcterms:created xsi:type="dcterms:W3CDTF">2019-11-27T23:28:06Z</dcterms:created>
  <dcterms:modified xsi:type="dcterms:W3CDTF">2025-10-02T04:19:50Z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