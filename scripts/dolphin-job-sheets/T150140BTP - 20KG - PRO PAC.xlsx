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48CEC02-B8D8-4100-8D9A-848C2C8E053F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<sst xmlns="http://schemas.openxmlformats.org/spreadsheetml/2006/main" count="226" uniqueCount="167">
  <si>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</si>
  <si>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</si>
  <si>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</si>
  <si>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</si>
  <si>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</si>
  <si>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</si>
  <si>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</si>
  <si>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</si>
  <si>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</si>
  <si>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</si>
  <si>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</si>
  <si>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</si>
  <si>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</si>
  <si>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</si>
  <si>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</si>
  <si>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</si>
  <si>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</si>
  <si>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</si>
  <si>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</si>
  <si>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</si>
  <si>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</si>
  <si>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</si>
  <si>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</si>
  <si>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</si>
  <si>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</si>
  <si>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</si>
  <si>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</si>
  <si>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</si>
  <si>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</si>
  <si>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</si>
  <si>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</si>
  <si>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</si>
  <si>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</si>
  <si>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</si>
  <si>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</si>
  <si>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</si>
  <si>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</si>
  <si>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</si>
  <si>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</si>
  <si>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</si>
  <si>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</si>
  <si>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</si>
  <si>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</si>
  <si>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</si>
  <si>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</si>
  <si>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</si>
  <si>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</si>
  <si>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</si>
  <si>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</si>
  <si>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</si>
  <si>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</si>
  <si>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</si>
  <si>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</si>
  <si>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</si>
  <si>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</si>
  <si>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</si>
  <si>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</si>
  <si>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</si>
  <si>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</si>
  <si>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</si>
  <si>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</si>
  <si>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</si>
  <si>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</si>
  <si>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</si>
  <si>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</si>
  <si>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</si>
  <si>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</si>
  <si>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</si>
  <si>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</si>
  <si>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</si>
  <si>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</si>
  <si>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</si>
  <si>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</si>
  <si>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</si>
  <si>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</si>
  <si>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</si>
  <si>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</si>
  <si>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</si>
  <si>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</si>
  <si>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</si>
  <si>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</si>
  <si>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</si>
  <si>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</si>
  <si>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</si>
  <si>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</si>
  <si>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</si>
  <si>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</si>
  <si>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</si>
  <si>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</si>
  <si>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</si>
  <si>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</si>
  <si>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</si>
  <si>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</si>
  <si>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</si>
  <si>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</si>
  <si>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</si>
  <si>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</si>
  <si>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</si>
  <si>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</si>
  <si>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</si>
  <si>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</si>
  <si>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</si>
  <si>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</si>
  <si>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</si>
  <si>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</si>
  <si>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</si>
  <si>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</si>
  <si>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</si>
  <si>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</si>
  <si>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</si>
  <si>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</si>
  <si>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</si>
  <si>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</si>
  <si>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</si>
  <si>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</si>
  <si>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</si>
  <si>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</si>
  <si>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</si>
  <si>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</si>
  <si>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</si>
  <si>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</si>
  <si>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</si>
  <si>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</si>
  <si>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</si>
  <si>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</si>
  <si>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</si>
  <si>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</si>
  <si>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</si>
  <si>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</si>
  <si>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</si>
  <si>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</si>
  <si>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</si>
  <si>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</si>
  <si>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</si>
  <si>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</si>
  <si>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</si>
  <si>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</si>
  <si>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</si>
  <si>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</si>
  <si>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</si>
  <si>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</si>
  <si>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</si>
  <si>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</si>
  <si>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</si>
  <si>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</si>
  <si>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</si>
  <si>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</si>
  <si>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</si>
  <si>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</si>
  <si>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</si>
  <si>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</si>
  <si>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</si>
  <si>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</si>
  <si>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</si>
  <si>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</si>
  <si>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</si>
  <si>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</si>
  <si>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</si>
  <si>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</si>
  <si>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</si>
  <si>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</si>
  <si>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</si>
  <si>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</si>
  <si>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</si>
  <si>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NOT OVER</t>
  </si>
  <si>
    <t>"CAT / HASTINGS DEERING"</t>
  </si>
  <si>
    <t>PRO 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</si>
</sst>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11" sqref="E11:F11"/>
    </sheetView>
  </sheetViews>
  <sheetFormatPr defaultRowHeight="14.75" x14ac:dyDescent="0.75"/>
  <sheetData>
    <row r="1" spans="1:14" ht="20.149999999999999" customHeight="1" x14ac:dyDescent="0.8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T150140PBT</v>
      </c>
      <c r="C1" s="70"/>
      <c r="D1" s="71"/>
      <c r="E1" s="12" t="s">
        <v>55</v>
      </c>
      <c r="F1" s="85" t="s">
        <v>166</v>
      </c>
      <c r="G1" s="85"/>
      <c r="H1" s="86"/>
      <c r="I1" s="12" t="s">
        <v>147</v>
      </c>
      <c r="J1" s="87">
        <f ca="1">TODAY()</f>
        <v>44734</v>
      </c>
      <c r="K1" s="87"/>
      <c r="L1" s="88"/>
    </row>
    <row r="2" spans="1:14" ht="20.149999999999999" customHeight="1" x14ac:dyDescent="0.8">
      <c r="A2" s="12" t="s">
        <v>94</v>
      </c>
      <c r="B2" s="74" t="str">
        <f>IF(B7="Tube",(ROUNDUP(E11,0)&amp;"KG"),(ROUNDUP(H11,0)&amp;"M"))</f>
        <v>20KG</v>
      </c>
      <c r="C2" s="74"/>
      <c r="D2" s="75"/>
      <c r="E2" s="12" t="s">
        <v>56</v>
      </c>
      <c r="F2" s="60">
        <v>943490</v>
      </c>
      <c r="G2" s="60"/>
      <c r="H2" s="61"/>
      <c r="I2" s="12" t="s">
        <v>57</v>
      </c>
      <c r="J2" s="89" t="s">
        <v>161</v>
      </c>
      <c r="K2" s="60"/>
      <c r="L2" s="61"/>
    </row>
    <row r="3" spans="1:14" ht="20.149999999999999" customHeight="1" x14ac:dyDescent="0.7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49999999999999" customHeight="1" x14ac:dyDescent="0.7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49999999999999" customHeight="1" x14ac:dyDescent="0.7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49999999999999" customHeight="1" x14ac:dyDescent="0.7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49999999999999" customHeight="1" x14ac:dyDescent="0.9">
      <c r="A7" s="12" t="s">
        <v>157</v>
      </c>
      <c r="B7" s="60" t="s">
        <v>158</v>
      </c>
      <c r="C7" s="61"/>
      <c r="D7" s="12" t="s">
        <v>47</v>
      </c>
      <c r="E7" s="121" t="s">
        <v>127</v>
      </c>
      <c r="F7" s="121"/>
      <c r="G7" s="121"/>
      <c r="H7" s="121"/>
      <c r="I7" s="121"/>
      <c r="J7" s="102" t="s">
        <v>145</v>
      </c>
      <c r="K7" s="102"/>
      <c r="L7" s="103"/>
    </row>
    <row r="8" spans="1:14" ht="20.149999999999999" customHeight="1" x14ac:dyDescent="0.8">
      <c r="A8" s="13" t="s">
        <v>14</v>
      </c>
      <c r="B8" s="108">
        <v>150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140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49999999999999" customHeight="1" x14ac:dyDescent="0.9">
      <c r="A9" s="14" t="s">
        <v>46</v>
      </c>
      <c r="B9" s="92" t="s">
        <v>163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164</v>
      </c>
      <c r="I9" s="93"/>
      <c r="J9" s="12" t="s">
        <v>53</v>
      </c>
      <c r="K9" s="60" t="s">
        <v>28</v>
      </c>
      <c r="L9" s="61"/>
    </row>
    <row r="10" spans="1:14" ht="20.149999999999999" customHeight="1" x14ac:dyDescent="0.8">
      <c r="A10" s="12" t="s">
        <v>49</v>
      </c>
      <c r="B10" s="60">
        <v>20</v>
      </c>
      <c r="C10" s="61"/>
      <c r="D10" s="42" t="s">
        <v>104</v>
      </c>
      <c r="E10" s="96">
        <f>E11*B10</f>
        <v>400</v>
      </c>
      <c r="F10" s="97"/>
      <c r="G10" s="12" t="s">
        <v>51</v>
      </c>
      <c r="H10" s="74">
        <f>H11*B10</f>
        <v>10285.714285714286</v>
      </c>
      <c r="I10" s="75"/>
      <c r="J10" s="12" t="s">
        <v>39</v>
      </c>
      <c r="K10" s="60" t="s">
        <v>42</v>
      </c>
      <c r="L10" s="61"/>
    </row>
    <row r="11" spans="1:14" s="52" customFormat="1" ht="20.149999999999999" customHeight="1" x14ac:dyDescent="0.8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20</v>
      </c>
      <c r="F11" s="99"/>
      <c r="G11" s="51" t="s">
        <v>13</v>
      </c>
      <c r="H11" s="100">
        <f>E11*540000/B8/H8</f>
        <v>514.28571428571433</v>
      </c>
      <c r="I11" s="101"/>
      <c r="J11" s="51" t="s">
        <v>48</v>
      </c>
      <c r="K11" s="106" t="s">
        <v>63</v>
      </c>
      <c r="L11" s="107"/>
      <c r="N11"/>
    </row>
    <row r="12" spans="1:14" ht="20.149999999999999" customHeight="1" x14ac:dyDescent="0.7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49999999999999" customHeight="1" x14ac:dyDescent="0.8">
      <c r="A13" s="12" t="s">
        <v>59</v>
      </c>
      <c r="B13" s="60" t="s">
        <v>69</v>
      </c>
      <c r="C13" s="60"/>
      <c r="D13" s="61"/>
      <c r="E13" s="16" t="s">
        <v>60</v>
      </c>
      <c r="F13" s="60" t="s">
        <v>65</v>
      </c>
      <c r="G13" s="60"/>
      <c r="H13" s="61"/>
      <c r="I13" s="17" t="s">
        <v>61</v>
      </c>
      <c r="J13" s="60" t="s">
        <v>144</v>
      </c>
      <c r="K13" s="60"/>
      <c r="L13" s="61"/>
    </row>
    <row r="14" spans="1:14" ht="20.149999999999999" customHeight="1" x14ac:dyDescent="0.9">
      <c r="A14" s="13" t="s">
        <v>58</v>
      </c>
      <c r="B14" s="121" t="s">
        <v>165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49999999999999" customHeight="1" x14ac:dyDescent="0.7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49999999999999" customHeight="1" x14ac:dyDescent="0.8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20</v>
      </c>
      <c r="G16" s="70"/>
      <c r="H16" s="71"/>
      <c r="I16" s="12" t="s">
        <v>74</v>
      </c>
      <c r="J16" s="60"/>
      <c r="K16" s="60"/>
      <c r="L16" s="61"/>
    </row>
    <row r="17" spans="1:12" ht="20.149999999999999" customHeight="1" x14ac:dyDescent="0.75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49999999999999" customHeight="1" x14ac:dyDescent="0.7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49999999999999" customHeight="1" x14ac:dyDescent="0.7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49999999999999" customHeight="1" x14ac:dyDescent="0.7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49999999999999" customHeight="1" x14ac:dyDescent="0.7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49999999999999" customHeight="1" x14ac:dyDescent="0.7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49999999999999" customHeight="1" x14ac:dyDescent="0.75">
      <c r="A23" s="58" t="s">
        <v>149</v>
      </c>
      <c r="B23" s="58"/>
      <c r="C23" s="72" t="s">
        <v>150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49999999999999" customHeight="1" x14ac:dyDescent="0.75">
      <c r="A24" s="58" t="str">
        <f>(IF(E7="NATURAL","",E7))</f>
        <v>BLUE TINT</v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BT</v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49999999999999" customHeight="1" x14ac:dyDescent="0.7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49999999999999" customHeight="1" x14ac:dyDescent="0.7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49999999999999" customHeight="1" x14ac:dyDescent="0.7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49999999999999" customHeight="1" x14ac:dyDescent="0.7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49999999999999" customHeight="1" x14ac:dyDescent="0.7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49999999999999" customHeight="1" x14ac:dyDescent="0.7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49999999999999" customHeight="1" x14ac:dyDescent="0.7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49999999999999" customHeight="1" x14ac:dyDescent="0.7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49999999999999" customHeight="1" x14ac:dyDescent="0.7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49999999999999" customHeight="1" x14ac:dyDescent="0.7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49999999999999" customHeight="1" x14ac:dyDescent="0.7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49999999999999" customHeight="1" x14ac:dyDescent="0.7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49999999999999" customHeight="1" x14ac:dyDescent="0.7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49999999999999" customHeight="1" x14ac:dyDescent="0.7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49999999999999" customHeight="1" x14ac:dyDescent="0.7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49999999999999" customHeight="1" x14ac:dyDescent="0.7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49999999999999" customHeight="1" x14ac:dyDescent="0.7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49999999999999" customHeight="1" x14ac:dyDescent="0.7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49999999999999" customHeight="1" x14ac:dyDescent="0.7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49999999999999" customHeight="1" x14ac:dyDescent="0.75"/>
    <row r="45" spans="1:12" ht="20.149999999999999" customHeight="1" x14ac:dyDescent="0.7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49999999999999" customHeight="1" x14ac:dyDescent="0.7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49999999999999" customHeight="1" x14ac:dyDescent="0.7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49999999999999" customHeight="1" x14ac:dyDescent="0.7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49999999999999" customHeight="1" x14ac:dyDescent="0.7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49999999999999" customHeight="1" x14ac:dyDescent="0.7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49999999999999" customHeight="1" x14ac:dyDescent="0.7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49999999999999" customHeight="1" x14ac:dyDescent="0.7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49999999999999" customHeight="1" x14ac:dyDescent="0.7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49999999999999" customHeight="1" x14ac:dyDescent="0.7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49999999999999" customHeight="1" x14ac:dyDescent="0.7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49999999999999" customHeight="1" x14ac:dyDescent="0.7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49999999999999" customHeight="1" x14ac:dyDescent="0.7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49999999999999" customHeight="1" x14ac:dyDescent="0.7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49999999999999" customHeight="1" x14ac:dyDescent="0.7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49999999999999" customHeight="1" x14ac:dyDescent="0.7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49999999999999" customHeight="1" x14ac:dyDescent="0.7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49999999999999" customHeight="1" x14ac:dyDescent="0.7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49999999999999" customHeight="1" x14ac:dyDescent="0.7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49999999999999" customHeight="1" x14ac:dyDescent="0.7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49999999999999" customHeight="1" x14ac:dyDescent="0.7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49999999999999" customHeight="1" x14ac:dyDescent="0.7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49999999999999" customHeight="1" x14ac:dyDescent="0.7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49999999999999" customHeight="1" x14ac:dyDescent="0.7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49999999999999" customHeight="1" x14ac:dyDescent="0.7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49999999999999" customHeight="1" x14ac:dyDescent="0.7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49999999999999" customHeight="1" x14ac:dyDescent="0.7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49999999999999" customHeight="1" x14ac:dyDescent="0.7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49999999999999" customHeight="1" x14ac:dyDescent="0.7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49999999999999" customHeight="1" x14ac:dyDescent="0.7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49999999999999" customHeight="1" x14ac:dyDescent="0.7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49999999999999" customHeight="1" x14ac:dyDescent="0.7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49999999999999" customHeight="1" x14ac:dyDescent="0.7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49999999999999" customHeight="1" x14ac:dyDescent="0.7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49999999999999" customHeight="1" x14ac:dyDescent="0.7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49999999999999" customHeight="1" x14ac:dyDescent="0.7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49999999999999" customHeight="1" x14ac:dyDescent="0.7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49999999999999" customHeight="1" x14ac:dyDescent="0.7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49999999999999" customHeight="1" x14ac:dyDescent="0.7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49999999999999" customHeight="1" x14ac:dyDescent="0.7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49999999999999" customHeight="1" x14ac:dyDescent="0.7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7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dataConsolidate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7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3">
        <f ca="1">DATE(YEAR(Sheet1!J1),MONTH(Sheet1!J1)+1,DAY(Sheet1!J1))</f>
        <v>44764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3">
        <f ca="1">DATE(YEAR(Sheet1!J1),MONTH(Sheet1!J1),DAY(Sheet1!J1)+21)</f>
        <v>44755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7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7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7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7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7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7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7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7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7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7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7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7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7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7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7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7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7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7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7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7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7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7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7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7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7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7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7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7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7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7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7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7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7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7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7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75">
      <c r="A59" s="43"/>
    </row>
    <row r="60" spans="1:20" x14ac:dyDescent="0.75">
      <c r="A60" s="44" t="s">
        <v>61</v>
      </c>
      <c r="O60" s="1"/>
      <c r="Q60" s="1"/>
      <c r="R60" s="3"/>
      <c r="S60" s="1"/>
    </row>
    <row r="61" spans="1:20" x14ac:dyDescent="0.75">
      <c r="A61" s="43" t="s">
        <v>42</v>
      </c>
      <c r="O61" s="1"/>
      <c r="Q61" s="1"/>
      <c r="R61" s="1"/>
      <c r="S61" s="1"/>
    </row>
    <row r="62" spans="1:20" x14ac:dyDescent="0.75">
      <c r="A62" s="46" t="s">
        <v>144</v>
      </c>
      <c r="O62" s="1"/>
      <c r="Q62" s="1"/>
      <c r="R62" s="1"/>
      <c r="S62" s="1"/>
    </row>
    <row r="63" spans="1:20" x14ac:dyDescent="0.75">
      <c r="A63" s="47" t="s">
        <v>123</v>
      </c>
      <c r="O63" s="1"/>
      <c r="Q63" s="1"/>
      <c r="R63" s="1"/>
      <c r="S63" s="1"/>
      <c r="T63" s="1"/>
    </row>
    <row r="64" spans="1:20" x14ac:dyDescent="0.75">
      <c r="A64" s="47" t="s">
        <v>116</v>
      </c>
      <c r="O64" s="1"/>
      <c r="Q64" s="1"/>
      <c r="R64" s="1"/>
      <c r="S64" s="1"/>
      <c r="T64" s="1"/>
    </row>
    <row r="65" spans="1:20" x14ac:dyDescent="0.7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7" t="s">
        <v>121</v>
      </c>
      <c r="N69" s="4"/>
    </row>
    <row r="70" spans="1:20" x14ac:dyDescent="0.75">
      <c r="A70" s="47" t="s">
        <v>142</v>
      </c>
    </row>
    <row r="71" spans="1:20" x14ac:dyDescent="0.75">
      <c r="A71" s="47" t="s">
        <v>122</v>
      </c>
    </row>
    <row r="72" spans="1:20" x14ac:dyDescent="0.75">
      <c r="A72" s="47" t="s">
        <v>120</v>
      </c>
    </row>
    <row r="73" spans="1:20" x14ac:dyDescent="0.75">
      <c r="A73" s="47" t="s">
        <v>121</v>
      </c>
    </row>
    <row r="74" spans="1:20" x14ac:dyDescent="0.75">
      <c r="A74" s="47" t="s">
        <v>142</v>
      </c>
    </row>
    <row r="75" spans="1:20" x14ac:dyDescent="0.7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CDA5BC2-A9AE-493F-A5B3-4A6E672CF0A7}"/>
</file>

<file path=customXml/itemProps2.xml><?xml version="1.0" encoding="utf-8"?>
<ds:datastoreItem xmlns:ds="http://schemas.openxmlformats.org/officeDocument/2006/customXml" ds:itemID="{A911D74E-7FCE-49AA-96D3-6170F36DF1EC}"/>
</file>

<file path=customXml/itemProps3.xml><?xml version="1.0" encoding="utf-8"?>
<ds:datastoreItem xmlns:ds="http://schemas.openxmlformats.org/officeDocument/2006/customXml" ds:itemID="{1E6FFBE5-FB81-4C47-87FC-42E0E142B9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2022-06-20T01:05:07Z</cp:lastPrinted>
  <dcterms:created xsi:type="dcterms:W3CDTF">2019-11-27T23:28:06Z</dcterms:created>
  <dcterms:modified xsi:type="dcterms:W3CDTF">2022-06-22T04:11:36Z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