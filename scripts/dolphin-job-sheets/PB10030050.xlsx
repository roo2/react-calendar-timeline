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6C2F99B5-BC05-4CEB-BDD2-07DCF60F5C46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<sst xmlns="http://schemas.openxmlformats.org/spreadsheetml/2006/main" count="303" uniqueCount="199">
  <si>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</si>
  <si>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</si>
  <si>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</si>
  <si>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</si>
  <si>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</si>
  <si>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</si>
  <si>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</si>
  <si>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</si>
  <si>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</si>
  <si>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</si>
  <si>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</si>
  <si>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</si>
  <si>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</si>
  <si>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</si>
  <si>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</si>
  <si>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</si>
  <si>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</si>
  <si>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</si>
  <si>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</si>
  <si>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</si>
  <si>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</si>
  <si>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</si>
  <si>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</si>
  <si>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</si>
  <si>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</si>
  <si>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</si>
  <si>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</si>
  <si>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</si>
  <si>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</si>
  <si>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</si>
  <si>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</si>
  <si>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</si>
  <si>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</si>
  <si>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</si>
  <si>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</si>
  <si>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</si>
  <si>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</si>
  <si>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</si>
  <si>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</si>
  <si>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</si>
  <si>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</si>
  <si>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</si>
  <si>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</si>
  <si>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</si>
  <si>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</si>
  <si>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</si>
  <si>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</si>
  <si>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</si>
  <si>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</si>
  <si>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</si>
  <si>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</si>
  <si>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</si>
  <si>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</si>
  <si>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</si>
  <si>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</si>
  <si>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</si>
  <si>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</si>
  <si>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</si>
  <si>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</si>
  <si>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</si>
  <si>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</si>
  <si>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</si>
  <si>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</si>
  <si>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</si>
  <si>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</si>
  <si>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</si>
  <si>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</si>
  <si>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</si>
  <si>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</si>
  <si>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</si>
  <si>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</si>
  <si>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</si>
  <si>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</si>
  <si>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</si>
  <si>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</si>
  <si>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</si>
  <si>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</si>
  <si>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</si>
  <si>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</si>
  <si>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</si>
  <si>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</si>
  <si>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</si>
  <si>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</si>
  <si>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</si>
  <si>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</si>
  <si>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</si>
  <si>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</si>
  <si>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</si>
  <si>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</si>
  <si>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</si>
  <si>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</si>
  <si>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</si>
  <si>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</si>
  <si>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</si>
  <si>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</si>
  <si>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</si>
  <si>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</si>
  <si>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</si>
  <si>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</si>
  <si>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</si>
  <si>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</si>
  <si>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</si>
  <si>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</si>
  <si>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</si>
  <si>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</si>
  <si>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</si>
  <si>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</si>
  <si>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</si>
  <si>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</si>
  <si>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</si>
  <si>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</si>
  <si>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</si>
  <si>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</si>
  <si>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</si>
  <si>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</si>
  <si>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</si>
  <si>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</si>
  <si>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</si>
  <si>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</si>
  <si>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</si>
  <si>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</si>
  <si>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</si>
  <si>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</si>
  <si>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</si>
  <si>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</si>
  <si>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</si>
  <si>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</si>
  <si>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</si>
  <si>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</si>
  <si>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</si>
  <si>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</si>
  <si>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</si>
  <si>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</si>
  <si>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</si>
  <si>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</si>
  <si>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</si>
  <si>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</si>
  <si>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</si>
  <si>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</si>
  <si>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</si>
  <si>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</si>
  <si>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</si>
  <si>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</si>
  <si>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</si>
  <si>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</si>
  <si>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</si>
  <si>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</si>
  <si>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</si>
  <si>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</si>
  <si>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</si>
  <si>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</si>
  <si>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</si>
  <si>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</si>
  <si>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</si>
  <si>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</si>
  <si>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</si>
  <si>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</si>
  <si>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</si>
  <si>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</si>
  <si>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</si>
  <si>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</si>
  <si>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</si>
  <si>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</si>
  <si>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</si>
  <si>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</si>
  <si>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</si>
  <si>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</si>
  <si>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</si>
  <si>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</si>
  <si>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</si>
  <si>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</si>
  <si>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</si>
  <si>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</si>
  <si>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</si>
  <si>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</si>
  <si>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</si>
  <si>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</si>
  <si>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</si>
  <si>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</si>
  <si>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</si>
  <si>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</si>
  <si>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</si>
  <si>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</si>
  <si>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</si>
  <si>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</si>
  <si>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</si>
  <si>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</si>
  <si>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</si>
  <si>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</si>
  <si>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</si>
  <si>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</si>
  <si>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</si>
  <si>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</si>
  <si>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</si>
  <si>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</si>
  <si>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 xml:space="preserve"> +/-5mm</t>
  </si>
  <si>
    <t xml:space="preserve">LIMAX </t>
  </si>
  <si>
    <t>MUST HAVE WATER TIGHT SEALS - PLEASE CHECK FREQUENTLY</t>
  </si>
  <si>
    <t>BARRIER REEF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</si>
</sst>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6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B10" sqref="B10:C10"/>
    </sheetView>
  </sheetViews>
  <sheetFormatPr defaultRowHeight="14.75" x14ac:dyDescent="0.75"/>
  <sheetData>
    <row r="1" spans="1:28" ht="20.149999999999999" customHeight="1" x14ac:dyDescent="0.8">
      <c r="A1" s="12" t="s">
        <v>56</v>
      </c>
      <c r="B1" s="122" t="str">
        <f>O9&amp;R9&amp;IF(X8="G","G","")&amp;IF(O8="Centrefold Roll","("&amp;E8&amp;")","")&amp;T9&amp;V9&amp;C22&amp;C23&amp;C24&amp;O11&amp;R11</f>
        <v>PB10032050</v>
      </c>
      <c r="C1" s="122"/>
      <c r="D1" s="123"/>
      <c r="E1" s="12" t="s">
        <v>57</v>
      </c>
      <c r="F1" s="133" t="s">
        <v>198</v>
      </c>
      <c r="G1" s="134"/>
      <c r="H1" s="135"/>
      <c r="I1" s="13" t="s">
        <v>181</v>
      </c>
      <c r="J1" s="95">
        <f ca="1">TODAY()</f>
        <v>44798</v>
      </c>
      <c r="K1" s="95"/>
      <c r="L1" s="96"/>
      <c r="M1" s="34"/>
      <c r="N1" s="12" t="s">
        <v>56</v>
      </c>
      <c r="O1" s="122" t="str">
        <f>B1</f>
        <v>PB10032050</v>
      </c>
      <c r="P1" s="122"/>
      <c r="Q1" s="123"/>
      <c r="R1" s="12" t="s">
        <v>57</v>
      </c>
      <c r="S1" s="122" t="str">
        <f>F1</f>
        <v>BARRIER REEF</v>
      </c>
      <c r="T1" s="122"/>
      <c r="U1" s="123"/>
      <c r="V1" s="12" t="s">
        <v>181</v>
      </c>
      <c r="W1" s="95">
        <f ca="1">J1</f>
        <v>44798</v>
      </c>
      <c r="X1" s="95"/>
      <c r="Y1" s="96"/>
    </row>
    <row r="2" spans="1:28" ht="20.149999999999999" customHeight="1" x14ac:dyDescent="0.8">
      <c r="A2" s="12" t="s">
        <v>100</v>
      </c>
      <c r="B2" s="122" t="str">
        <f>IF(U10="","",U10)</f>
        <v/>
      </c>
      <c r="C2" s="122"/>
      <c r="D2" s="123"/>
      <c r="E2" s="12" t="s">
        <v>58</v>
      </c>
      <c r="F2" s="98">
        <v>943990</v>
      </c>
      <c r="G2" s="98"/>
      <c r="H2" s="99"/>
      <c r="I2" s="12" t="s">
        <v>59</v>
      </c>
      <c r="J2" s="97">
        <v>44819</v>
      </c>
      <c r="K2" s="98"/>
      <c r="L2" s="99"/>
      <c r="M2" s="34"/>
      <c r="N2" s="12" t="s">
        <v>100</v>
      </c>
      <c r="O2" s="122" t="str">
        <f>IF(B2="","",B2)</f>
        <v/>
      </c>
      <c r="P2" s="122"/>
      <c r="Q2" s="123"/>
      <c r="R2" s="12" t="s">
        <v>58</v>
      </c>
      <c r="S2" s="122">
        <f>IF(F2="","",F2)</f>
        <v>943990</v>
      </c>
      <c r="T2" s="122"/>
      <c r="U2" s="123"/>
      <c r="V2" s="12" t="s">
        <v>59</v>
      </c>
      <c r="W2" s="136">
        <f>J2</f>
        <v>44819</v>
      </c>
      <c r="X2" s="122"/>
      <c r="Y2" s="123"/>
    </row>
    <row r="3" spans="1:28" ht="20.149999999999999" customHeight="1" x14ac:dyDescent="0.75">
      <c r="A3" s="124" t="s">
        <v>197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 t="str">
        <f>A3</f>
        <v>MUST HAVE WATER TIGHT SEALS - PLEASE CHECK FREQUENTLY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149999999999999" customHeight="1" x14ac:dyDescent="0.75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149999999999999" customHeight="1" x14ac:dyDescent="0.75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149999999999999" customHeight="1" x14ac:dyDescent="0.7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49999999999999" customHeight="1" x14ac:dyDescent="0.9">
      <c r="A7" s="12" t="s">
        <v>49</v>
      </c>
      <c r="B7" s="119" t="s">
        <v>163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6</v>
      </c>
      <c r="P7" s="99"/>
      <c r="Q7" s="12" t="str">
        <f>IF(ISNUMBER(SEARCH("roll",O8,1)),"Per Roll","Per Carton")</f>
        <v>Per Carton</v>
      </c>
      <c r="R7" s="98">
        <v>3000</v>
      </c>
      <c r="S7" s="99"/>
      <c r="T7" s="12" t="str">
        <f>IF(ISNUMBER(SEARCH("bag",O8,1)),"Total Bags","Total Sheets")</f>
        <v>Total Bags</v>
      </c>
      <c r="U7" s="122">
        <f>R7*O7</f>
        <v>18000</v>
      </c>
      <c r="V7" s="123"/>
      <c r="W7" s="12" t="s">
        <v>102</v>
      </c>
      <c r="X7" s="98" t="s">
        <v>23</v>
      </c>
      <c r="Y7" s="99"/>
      <c r="AB7" s="14"/>
    </row>
    <row r="8" spans="1:28" ht="20.149999999999999" customHeight="1" x14ac:dyDescent="0.8">
      <c r="A8" s="15" t="s">
        <v>16</v>
      </c>
      <c r="B8" s="100">
        <f>R9</f>
        <v>100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50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39" t="s">
        <v>164</v>
      </c>
      <c r="P8" s="140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7" t="str">
        <f>IF(AND(W8="Gusset",X9=""), "None",IF(AND(W8="Centrefold",X9=""),"None",IF(W8="Gusset","G",IF(W8="Centrefold","CF"))))</f>
        <v>None</v>
      </c>
      <c r="Y8" s="138"/>
    </row>
    <row r="9" spans="1:28" ht="20.149999999999999" customHeight="1" x14ac:dyDescent="0.9">
      <c r="A9" s="18" t="s">
        <v>48</v>
      </c>
      <c r="B9" s="110" t="s">
        <v>195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194</v>
      </c>
      <c r="I9" s="111"/>
      <c r="J9" s="12" t="s">
        <v>55</v>
      </c>
      <c r="K9" s="98" t="s">
        <v>30</v>
      </c>
      <c r="L9" s="99"/>
      <c r="M9" s="34"/>
      <c r="N9" s="19"/>
      <c r="O9" s="141" t="str">
        <f>IF(O8="Poly Bag","PB",IF(O8="Poly Bag Roll","PBR",IF(O8="Centrefold Roll","CFR",IF(O8="Sheet","S",IF(O8="Sheet Roll","SR")))))</f>
        <v>PB</v>
      </c>
      <c r="P9" s="142"/>
      <c r="Q9" s="19"/>
      <c r="R9" s="35">
        <v>100</v>
      </c>
      <c r="S9" s="20" t="s">
        <v>78</v>
      </c>
      <c r="T9" s="35">
        <v>320</v>
      </c>
      <c r="U9" s="20" t="s">
        <v>78</v>
      </c>
      <c r="V9" s="35">
        <v>50</v>
      </c>
      <c r="W9" s="19"/>
      <c r="X9" s="152"/>
      <c r="Y9" s="153"/>
    </row>
    <row r="10" spans="1:28" ht="20.149999999999999" customHeight="1" x14ac:dyDescent="0.8">
      <c r="A10" s="12" t="s">
        <v>51</v>
      </c>
      <c r="B10" s="98">
        <v>6</v>
      </c>
      <c r="C10" s="99"/>
      <c r="D10" s="54" t="s">
        <v>134</v>
      </c>
      <c r="E10" s="112">
        <f>IF(ISNUMBER(SEARCH("sheet",O8,1)),((R9*T9*H8/540000)*U7/2000*1.3),((R9*T9*H8/540000)*U7/1000*1.08))</f>
        <v>57.6</v>
      </c>
      <c r="F10" s="113"/>
      <c r="G10" s="12" t="s">
        <v>53</v>
      </c>
      <c r="H10" s="116">
        <f>IF(ISNUMBER(SEARCH("sheet",O8,1)),(U7*T9/2000*1.08),(U7*T9/1000*1.08))</f>
        <v>6220.8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9" t="s">
        <v>44</v>
      </c>
      <c r="P10" s="140"/>
      <c r="Q10" s="16" t="s">
        <v>50</v>
      </c>
      <c r="R10" s="137" t="str">
        <f>IF(K11="NONE","None",IF(K11="INLINE","Yes",IF(K11="OUT OF LINE","Yes")))</f>
        <v>None</v>
      </c>
      <c r="S10" s="137"/>
      <c r="T10" s="16" t="s">
        <v>100</v>
      </c>
      <c r="U10" s="144"/>
      <c r="V10" s="144"/>
      <c r="W10" s="144"/>
      <c r="X10" s="144"/>
      <c r="Y10" s="145"/>
    </row>
    <row r="11" spans="1:28" ht="20.149999999999999" customHeight="1" x14ac:dyDescent="0.8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9.6</v>
      </c>
      <c r="F11" s="115"/>
      <c r="G11" s="12" t="s">
        <v>15</v>
      </c>
      <c r="H11" s="114">
        <f>H10/B10</f>
        <v>1036.8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1"/>
      <c r="T11" s="15"/>
      <c r="U11" s="146"/>
      <c r="V11" s="146"/>
      <c r="W11" s="146"/>
      <c r="X11" s="146"/>
      <c r="Y11" s="147"/>
    </row>
    <row r="12" spans="1:28" ht="20.149999999999999" customHeight="1" x14ac:dyDescent="0.7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3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49999999999999" customHeight="1" x14ac:dyDescent="0.8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6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149999999999999" customHeight="1" x14ac:dyDescent="0.9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3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49999999999999" customHeight="1" x14ac:dyDescent="0.7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49999999999999" customHeight="1" x14ac:dyDescent="0.8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>
        <v>110</v>
      </c>
      <c r="P16" s="99"/>
      <c r="Q16" s="12" t="s">
        <v>105</v>
      </c>
      <c r="R16" s="98" t="s">
        <v>31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8"/>
      <c r="Y16" s="159"/>
    </row>
    <row r="17" spans="1:25" ht="20.149999999999999" customHeight="1" x14ac:dyDescent="0.8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58"/>
      <c r="Y17" s="159"/>
    </row>
    <row r="18" spans="1:25" ht="20.149999999999999" customHeight="1" x14ac:dyDescent="0.8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58"/>
      <c r="Y18" s="159"/>
    </row>
    <row r="19" spans="1:25" ht="20.149999999999999" customHeight="1" x14ac:dyDescent="0.75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160" t="s">
        <v>116</v>
      </c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2"/>
    </row>
    <row r="20" spans="1:25" ht="20.149999999999999" customHeight="1" x14ac:dyDescent="0.75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163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5"/>
    </row>
    <row r="21" spans="1:25" ht="20.149999999999999" customHeight="1" x14ac:dyDescent="0.75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163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5"/>
    </row>
    <row r="22" spans="1:25" ht="20.149999999999999" customHeight="1" x14ac:dyDescent="0.75">
      <c r="A22" s="85" t="str">
        <f>(IF(B7="NATURAL","",B7))</f>
        <v/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166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8"/>
    </row>
    <row r="23" spans="1:25" ht="20.149999999999999" customHeight="1" x14ac:dyDescent="0.75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3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49999999999999" customHeight="1" x14ac:dyDescent="0.7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49999999999999" customHeight="1" x14ac:dyDescent="0.7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 t="s">
        <v>196</v>
      </c>
      <c r="P25" s="39"/>
      <c r="Q25" s="10">
        <v>26</v>
      </c>
      <c r="R25" s="10"/>
      <c r="S25" s="10"/>
      <c r="T25" s="10"/>
      <c r="U25" s="10"/>
      <c r="V25" s="10"/>
      <c r="W25" s="10">
        <v>16</v>
      </c>
      <c r="X25" s="10">
        <v>11</v>
      </c>
      <c r="Y25" s="10"/>
    </row>
    <row r="26" spans="1:25" ht="20.149999999999999" customHeight="1" x14ac:dyDescent="0.7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7" t="s">
        <v>132</v>
      </c>
      <c r="H26" s="157"/>
      <c r="I26" s="157" t="s">
        <v>131</v>
      </c>
      <c r="J26" s="157"/>
      <c r="K26" s="28" t="s">
        <v>94</v>
      </c>
      <c r="L26" s="28" t="s">
        <v>95</v>
      </c>
      <c r="M26" s="34"/>
      <c r="N26" s="154" t="s">
        <v>137</v>
      </c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6"/>
    </row>
    <row r="27" spans="1:25" ht="20.149999999999999" customHeight="1" x14ac:dyDescent="0.7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49999999999999" customHeight="1" x14ac:dyDescent="0.7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49999999999999" customHeight="1" x14ac:dyDescent="0.75">
      <c r="A29" s="148" t="s">
        <v>99</v>
      </c>
      <c r="B29" s="149"/>
      <c r="C29" s="149"/>
      <c r="D29" s="149"/>
      <c r="E29" s="149"/>
      <c r="F29" s="150"/>
      <c r="G29" s="150"/>
      <c r="H29" s="150"/>
      <c r="I29" s="150"/>
      <c r="J29" s="150"/>
      <c r="K29" s="149"/>
      <c r="L29" s="151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49999999999999" customHeight="1" x14ac:dyDescent="0.7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49999999999999" customHeight="1" x14ac:dyDescent="0.7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49999999999999" customHeight="1" x14ac:dyDescent="0.7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49999999999999" customHeight="1" x14ac:dyDescent="0.7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49999999999999" customHeight="1" x14ac:dyDescent="0.7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49999999999999" customHeight="1" x14ac:dyDescent="0.7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49999999999999" customHeight="1" x14ac:dyDescent="0.7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49999999999999" customHeight="1" x14ac:dyDescent="0.7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49999999999999" customHeight="1" x14ac:dyDescent="0.7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49999999999999" customHeight="1" x14ac:dyDescent="0.7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49999999999999" customHeight="1" x14ac:dyDescent="0.7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49999999999999" customHeight="1" x14ac:dyDescent="0.7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49999999999999" customHeight="1" x14ac:dyDescent="0.7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49999999999999" customHeight="1" x14ac:dyDescent="0.75">
      <c r="N43" s="59"/>
    </row>
    <row r="44" spans="1:25" ht="20.149999999999999" customHeight="1" x14ac:dyDescent="0.7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49999999999999" customHeight="1" x14ac:dyDescent="0.7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49999999999999" customHeight="1" x14ac:dyDescent="0.7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49999999999999" customHeight="1" x14ac:dyDescent="0.7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49999999999999" customHeight="1" x14ac:dyDescent="0.7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49999999999999" customHeight="1" x14ac:dyDescent="0.7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49999999999999" customHeight="1" x14ac:dyDescent="0.7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49999999999999" customHeight="1" x14ac:dyDescent="0.7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49999999999999" customHeight="1" x14ac:dyDescent="0.7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49999999999999" customHeight="1" x14ac:dyDescent="0.7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49999999999999" customHeight="1" x14ac:dyDescent="0.7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49999999999999" customHeight="1" x14ac:dyDescent="0.7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49999999999999" customHeight="1" x14ac:dyDescent="0.7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49999999999999" customHeight="1" x14ac:dyDescent="0.7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49999999999999" customHeight="1" x14ac:dyDescent="0.7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49999999999999" customHeight="1" x14ac:dyDescent="0.7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49999999999999" customHeight="1" x14ac:dyDescent="0.7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49999999999999" customHeight="1" x14ac:dyDescent="0.7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49999999999999" customHeight="1" x14ac:dyDescent="0.7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49999999999999" customHeight="1" x14ac:dyDescent="0.7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49999999999999" customHeight="1" x14ac:dyDescent="0.7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49999999999999" customHeight="1" x14ac:dyDescent="0.7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49999999999999" customHeight="1" x14ac:dyDescent="0.7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49999999999999" customHeight="1" x14ac:dyDescent="0.7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49999999999999" customHeight="1" x14ac:dyDescent="0.7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49999999999999" customHeight="1" x14ac:dyDescent="0.7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49999999999999" customHeight="1" x14ac:dyDescent="0.7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49999999999999" customHeight="1" x14ac:dyDescent="0.7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49999999999999" customHeight="1" x14ac:dyDescent="0.7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49999999999999" customHeight="1" x14ac:dyDescent="0.7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49999999999999" customHeight="1" x14ac:dyDescent="0.7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49999999999999" customHeight="1" x14ac:dyDescent="0.7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49999999999999" customHeight="1" x14ac:dyDescent="0.7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49999999999999" customHeight="1" x14ac:dyDescent="0.7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49999999999999" customHeight="1" x14ac:dyDescent="0.7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49999999999999" customHeight="1" x14ac:dyDescent="0.7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49999999999999" customHeight="1" x14ac:dyDescent="0.7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49999999999999" customHeight="1" x14ac:dyDescent="0.7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49999999999999" customHeight="1" x14ac:dyDescent="0.7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49999999999999" customHeight="1" x14ac:dyDescent="0.7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49999999999999" customHeight="1" x14ac:dyDescent="0.7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49999999999999" customHeight="1" x14ac:dyDescent="0.7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7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8">
        <f ca="1">DATE(YEAR(Sheet1!J1),MONTH(Sheet1!J1)+1,DAY(Sheet1!J1))</f>
        <v>44829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8">
        <f ca="1">DATE(YEAR(Sheet1!J1),MONTH(Sheet1!J1),DAY(Sheet1!J1)+21)</f>
        <v>44819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7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7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7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7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7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7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7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7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7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7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7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7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7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7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7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7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7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7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7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7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7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7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7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7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7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7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7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7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7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7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7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7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7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7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7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7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75">
      <c r="A59" s="64" t="s">
        <v>148</v>
      </c>
    </row>
    <row r="60" spans="1:20" x14ac:dyDescent="0.75">
      <c r="A60" s="64" t="s">
        <v>149</v>
      </c>
      <c r="O60" s="1"/>
      <c r="Q60" s="1"/>
      <c r="R60" s="3"/>
      <c r="S60" s="1"/>
    </row>
    <row r="61" spans="1:20" x14ac:dyDescent="0.75">
      <c r="A61" s="64" t="s">
        <v>150</v>
      </c>
      <c r="O61" s="1"/>
      <c r="Q61" s="1"/>
      <c r="R61" s="1"/>
      <c r="S61" s="1"/>
    </row>
    <row r="62" spans="1:20" x14ac:dyDescent="0.75">
      <c r="A62" s="64" t="s">
        <v>151</v>
      </c>
      <c r="O62" s="1"/>
      <c r="Q62" s="1"/>
      <c r="R62" s="1"/>
      <c r="S62" s="1"/>
    </row>
    <row r="63" spans="1:20" x14ac:dyDescent="0.75">
      <c r="A63" s="64" t="s">
        <v>152</v>
      </c>
      <c r="O63" s="1"/>
      <c r="Q63" s="1"/>
      <c r="R63" s="1"/>
      <c r="S63" s="1"/>
      <c r="T63" s="1"/>
    </row>
    <row r="64" spans="1:20" x14ac:dyDescent="0.75">
      <c r="A64" s="64" t="s">
        <v>153</v>
      </c>
      <c r="O64" s="1"/>
      <c r="Q64" s="1"/>
      <c r="R64" s="1"/>
      <c r="S64" s="1"/>
      <c r="T64" s="1"/>
    </row>
    <row r="65" spans="1:20" x14ac:dyDescent="0.7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6894A4F-0CE4-4789-87DB-EDECED26E244}"/>
</file>

<file path=customXml/itemProps2.xml><?xml version="1.0" encoding="utf-8"?>
<ds:datastoreItem xmlns:ds="http://schemas.openxmlformats.org/officeDocument/2006/customXml" ds:itemID="{C6A872BD-7BFD-4B9F-B7F2-6DCC106FC54A}"/>
</file>

<file path=customXml/itemProps3.xml><?xml version="1.0" encoding="utf-8"?>
<ds:datastoreItem xmlns:ds="http://schemas.openxmlformats.org/officeDocument/2006/customXml" ds:itemID="{18CC5E5B-B618-4327-B5A1-D09A0CFA55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2022-08-25T04:21:38Z</cp:lastPrinted>
  <dcterms:created xsi:type="dcterms:W3CDTF">2019-11-27T23:28:06Z</dcterms:created>
  <dcterms:modified xsi:type="dcterms:W3CDTF">2022-08-25T04:45:14Z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