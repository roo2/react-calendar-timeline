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2002F76-D39D-4573-9C91-927754E0B84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<sst xmlns="http://schemas.openxmlformats.org/spreadsheetml/2006/main" count="305" uniqueCount="200">
  <si>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</si>
  <si>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</si>
  <si>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</si>
  <si>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</si>
  <si>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</si>
  <si>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</si>
  <si>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</si>
  <si>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</si>
  <si>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</si>
  <si>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</si>
  <si>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</si>
  <si>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</si>
  <si>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</si>
  <si>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</si>
  <si>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</si>
  <si>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</si>
  <si>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</si>
  <si>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</si>
  <si>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</si>
  <si>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</si>
  <si>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</si>
  <si>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</si>
  <si>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</si>
  <si>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</si>
  <si>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</si>
  <si>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</si>
  <si>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</si>
  <si>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</si>
  <si>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</si>
  <si>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</si>
  <si>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</si>
  <si>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</si>
  <si>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</si>
  <si>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</si>
  <si>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</si>
  <si>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</si>
  <si>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</si>
  <si>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</si>
  <si>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</si>
  <si>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</si>
  <si>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</si>
  <si>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</si>
  <si>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</si>
  <si>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</si>
  <si>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</si>
  <si>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</si>
  <si>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</si>
  <si>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</si>
  <si>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</si>
  <si>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</si>
  <si>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</si>
  <si>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</si>
  <si>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</si>
  <si>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</si>
  <si>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</si>
  <si>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</si>
  <si>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</si>
  <si>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</si>
  <si>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</si>
  <si>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</si>
  <si>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</si>
  <si>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</si>
  <si>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</si>
  <si>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</si>
  <si>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</si>
  <si>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</si>
  <si>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</si>
  <si>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</si>
  <si>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</si>
  <si>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</si>
  <si>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</si>
  <si>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</si>
  <si>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</si>
  <si>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</si>
  <si>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</si>
  <si>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</si>
  <si>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</si>
  <si>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</si>
  <si>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</si>
  <si>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</si>
  <si>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</si>
  <si>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</si>
  <si>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</si>
  <si>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</si>
  <si>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</si>
  <si>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</si>
  <si>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</si>
  <si>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</si>
  <si>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</si>
  <si>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</si>
  <si>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</si>
  <si>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</si>
  <si>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</si>
  <si>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</si>
  <si>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</si>
  <si>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</si>
  <si>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</si>
  <si>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</si>
  <si>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</si>
  <si>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</si>
  <si>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</si>
  <si>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</si>
  <si>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</si>
  <si>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</si>
  <si>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</si>
  <si>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</si>
  <si>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</si>
  <si>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</si>
  <si>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</si>
  <si>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</si>
  <si>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</si>
  <si>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</si>
  <si>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</si>
  <si>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</si>
  <si>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</si>
  <si>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</si>
  <si>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</si>
  <si>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</si>
  <si>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</si>
  <si>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</si>
  <si>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</si>
  <si>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</si>
  <si>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</si>
  <si>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</si>
  <si>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</si>
  <si>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</si>
  <si>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</si>
  <si>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</si>
  <si>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</si>
  <si>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</si>
  <si>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</si>
  <si>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</si>
  <si>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</si>
  <si>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</si>
  <si>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</si>
  <si>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</si>
  <si>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</si>
  <si>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</si>
  <si>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</si>
  <si>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</si>
  <si>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</si>
  <si>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</si>
  <si>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</si>
  <si>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</si>
  <si>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</si>
  <si>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</si>
  <si>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</si>
  <si>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</si>
  <si>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</si>
  <si>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</si>
  <si>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</si>
  <si>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</si>
  <si>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</si>
  <si>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</si>
  <si>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</si>
  <si>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</si>
  <si>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</si>
  <si>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</si>
  <si>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</si>
  <si>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</si>
  <si>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</si>
  <si>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</si>
  <si>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</si>
  <si>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</si>
  <si>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</si>
  <si>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</si>
  <si>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</si>
  <si>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</si>
  <si>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</si>
  <si>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</si>
  <si>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</si>
  <si>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</si>
  <si>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</si>
  <si>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</si>
  <si>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</si>
  <si>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</si>
  <si>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</si>
  <si>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</si>
  <si>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</si>
  <si>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</si>
  <si>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</si>
  <si>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</si>
  <si>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</si>
  <si>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</si>
  <si>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</si>
  <si>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</si>
  <si>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</si>
  <si>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</si>
  <si>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</si>
  <si>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</si>
  <si>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</si>
  <si>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</si>
  <si>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</si>
  <si>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</si>
  <si>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</si>
  <si>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 xml:space="preserve"> +/- 5um</t>
  </si>
  <si>
    <t>MUST HAVE STRONG SEALS</t>
  </si>
  <si>
    <t>SPRANKLIN</t>
  </si>
  <si>
    <t>LIMAX</t>
  </si>
  <si>
    <t>05.02.26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</si>
</sst>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C7" sqref="AC7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11" t="str">
        <f>O9&amp;R9&amp;IF(X8="G","G","")&amp;IF(O8="Centrefold Roll","("&amp;E8&amp;")","")&amp;T9&amp;V9&amp;C22&amp;C23&amp;C24&amp;O11&amp;R11</f>
        <v>PB55065075BK</v>
      </c>
      <c r="C1" s="111"/>
      <c r="D1" s="112"/>
      <c r="E1" s="11" t="s">
        <v>57</v>
      </c>
      <c r="F1" s="87" t="s">
        <v>197</v>
      </c>
      <c r="G1" s="87"/>
      <c r="H1" s="88"/>
      <c r="I1" s="12" t="s">
        <v>181</v>
      </c>
      <c r="J1" s="84">
        <f ca="1">TODAY()</f>
        <v>46058</v>
      </c>
      <c r="K1" s="84"/>
      <c r="L1" s="85"/>
      <c r="M1" s="29"/>
      <c r="N1" s="11" t="s">
        <v>56</v>
      </c>
      <c r="O1" s="111" t="str">
        <f>B1</f>
        <v>PB55065075BK</v>
      </c>
      <c r="P1" s="111"/>
      <c r="Q1" s="112"/>
      <c r="R1" s="11" t="s">
        <v>57</v>
      </c>
      <c r="S1" s="111" t="str">
        <f>F1</f>
        <v>SPRANKLIN</v>
      </c>
      <c r="T1" s="111"/>
      <c r="U1" s="112"/>
      <c r="V1" s="11" t="s">
        <v>181</v>
      </c>
      <c r="W1" s="84">
        <f ca="1">J1</f>
        <v>46058</v>
      </c>
      <c r="X1" s="84"/>
      <c r="Y1" s="85"/>
    </row>
    <row r="2" spans="1:25" ht="20.100000000000001" customHeight="1" x14ac:dyDescent="0.25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950783</v>
      </c>
      <c r="G2" s="87"/>
      <c r="H2" s="88"/>
      <c r="I2" s="11" t="s">
        <v>59</v>
      </c>
      <c r="J2" s="86" t="s">
        <v>199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v>950783</v>
      </c>
      <c r="T2" s="111"/>
      <c r="U2" s="112"/>
      <c r="V2" s="11" t="s">
        <v>59</v>
      </c>
      <c r="W2" s="122" t="s">
        <v>199</v>
      </c>
      <c r="X2" s="111"/>
      <c r="Y2" s="112"/>
    </row>
    <row r="3" spans="1:25" ht="20.100000000000001" customHeight="1" x14ac:dyDescent="0.25">
      <c r="A3" s="113" t="s">
        <v>196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>MUST HAVE STRONG SEALS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3">
      <c r="A7" s="11" t="s">
        <v>49</v>
      </c>
      <c r="B7" s="108" t="s">
        <v>177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7</v>
      </c>
      <c r="P7" s="88"/>
      <c r="Q7" s="11" t="str">
        <f>IF(ISNUMBER(SEARCH("roll",O8,1)),"Per Roll","Per Carton")</f>
        <v>Per Carton</v>
      </c>
      <c r="R7" s="87">
        <v>250</v>
      </c>
      <c r="S7" s="88"/>
      <c r="T7" s="11" t="str">
        <f>IF(ISNUMBER(SEARCH("bag",O8,1)),"Total Bags","Total Sheets")</f>
        <v>Total Bags</v>
      </c>
      <c r="U7" s="111">
        <f>R7*O7</f>
        <v>1750</v>
      </c>
      <c r="V7" s="112"/>
      <c r="W7" s="11" t="s">
        <v>102</v>
      </c>
      <c r="X7" s="87" t="s">
        <v>23</v>
      </c>
      <c r="Y7" s="88"/>
    </row>
    <row r="8" spans="1:25" ht="20.100000000000001" customHeight="1" x14ac:dyDescent="0.25">
      <c r="A8" s="13" t="s">
        <v>16</v>
      </c>
      <c r="B8" s="89">
        <f>R9</f>
        <v>550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75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195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550</v>
      </c>
      <c r="S9" s="18" t="s">
        <v>78</v>
      </c>
      <c r="T9" s="30">
        <v>650</v>
      </c>
      <c r="U9" s="18" t="s">
        <v>78</v>
      </c>
      <c r="V9" s="30">
        <v>75</v>
      </c>
      <c r="W9" s="17"/>
      <c r="X9" s="136"/>
      <c r="Y9" s="137"/>
    </row>
    <row r="10" spans="1:25" ht="20.100000000000001" customHeight="1" x14ac:dyDescent="0.25">
      <c r="A10" s="11" t="s">
        <v>51</v>
      </c>
      <c r="B10" s="87">
        <v>2</v>
      </c>
      <c r="C10" s="88"/>
      <c r="D10" s="47" t="s">
        <v>134</v>
      </c>
      <c r="E10" s="101">
        <f>IF(ISNUMBER(SEARCH("sheet",O8,1)),((R9*T9*H8/540000)*U7/2000*1.3),((R9*T9*H8/540000)*U7/1000*1.08))</f>
        <v>93.843750000000014</v>
      </c>
      <c r="F10" s="102"/>
      <c r="G10" s="11" t="s">
        <v>53</v>
      </c>
      <c r="H10" s="105">
        <f>IF(ISNUMBER(SEARCH("sheet",O8,1)),(U7*T9/2000*1.08),(U7*T9/1000*1.08))</f>
        <v>1228.5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46.921875000000007</v>
      </c>
      <c r="F11" s="104"/>
      <c r="G11" s="11" t="s">
        <v>15</v>
      </c>
      <c r="H11" s="103">
        <f>H10/B10</f>
        <v>614.25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00000000000001" customHeight="1" x14ac:dyDescent="0.2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25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7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/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2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25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150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37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00000000000001" customHeight="1" x14ac:dyDescent="0.2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00000000000001" customHeight="1" x14ac:dyDescent="0.2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00000000000001" customHeight="1" x14ac:dyDescent="0.2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00000000000001" customHeight="1" x14ac:dyDescent="0.25">
      <c r="A22" s="74" t="str">
        <f>(IF(B7="NATURAL","",B7))</f>
        <v>BLACK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00000000000001" customHeight="1" x14ac:dyDescent="0.2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2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198</v>
      </c>
      <c r="P25" s="34"/>
      <c r="Q25" s="10">
        <v>26</v>
      </c>
      <c r="R25" s="10"/>
      <c r="S25" s="10"/>
      <c r="T25" s="10"/>
      <c r="U25" s="10"/>
      <c r="V25" s="10"/>
      <c r="W25" s="10">
        <v>17</v>
      </c>
      <c r="X25" s="10">
        <v>12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46086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46079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FAB6E83-5BC9-4373-9B2C-7F521E388E56}"/>
</file>

<file path=customXml/itemProps2.xml><?xml version="1.0" encoding="utf-8"?>
<ds:datastoreItem xmlns:ds="http://schemas.openxmlformats.org/officeDocument/2006/customXml" ds:itemID="{6F87CA40-5B4A-42B1-B2A9-C392BF9BCBF4}"/>
</file>

<file path=customXml/itemProps3.xml><?xml version="1.0" encoding="utf-8"?>
<ds:datastoreItem xmlns:ds="http://schemas.openxmlformats.org/officeDocument/2006/customXml" ds:itemID="{C8FF010A-916E-434B-B04C-1A84F3F941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2026-02-05T01:45:05Z</cp:lastPrinted>
  <dcterms:created xsi:type="dcterms:W3CDTF">2019-11-27T23:28:06Z</dcterms:created>
  <dcterms:modified xsi:type="dcterms:W3CDTF">2026-02-05T02:09:39Z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