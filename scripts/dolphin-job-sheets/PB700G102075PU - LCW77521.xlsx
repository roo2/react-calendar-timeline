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21E01F7-8169-4C69-B8EF-485FBFED8D7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<sst xmlns="http://schemas.openxmlformats.org/spreadsheetml/2006/main" count="308" uniqueCount="203">
  <si>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</si>
  <si>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</si>
  <si>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</si>
  <si>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</si>
  <si>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</si>
  <si>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</si>
  <si>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</si>
  <si>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</si>
  <si>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</si>
  <si>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</si>
  <si>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</si>
  <si>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</si>
  <si>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</si>
  <si>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</si>
  <si>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</si>
  <si>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</si>
  <si>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</si>
  <si>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</si>
  <si>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</si>
  <si>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</si>
  <si>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</si>
  <si>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</si>
  <si>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</si>
  <si>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</si>
  <si>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</si>
  <si>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</si>
  <si>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</si>
  <si>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</si>
  <si>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</si>
  <si>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</si>
  <si>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</si>
  <si>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</si>
  <si>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</si>
  <si>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</si>
  <si>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</si>
  <si>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</si>
  <si>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</si>
  <si>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</si>
  <si>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</si>
  <si>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</si>
  <si>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</si>
  <si>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</si>
  <si>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</si>
  <si>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</si>
  <si>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</si>
  <si>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</si>
  <si>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</si>
  <si>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</si>
  <si>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</si>
  <si>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</si>
  <si>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</si>
  <si>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</si>
  <si>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</si>
  <si>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</si>
  <si>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</si>
  <si>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</si>
  <si>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</si>
  <si>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</si>
  <si>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</si>
  <si>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</si>
  <si>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</si>
  <si>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</si>
  <si>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</si>
  <si>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</si>
  <si>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</si>
  <si>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</si>
  <si>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</si>
  <si>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</si>
  <si>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</si>
  <si>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</si>
  <si>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</si>
  <si>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</si>
  <si>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</si>
  <si>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</si>
  <si>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</si>
  <si>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</si>
  <si>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</si>
  <si>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</si>
  <si>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</si>
  <si>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</si>
  <si>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</si>
  <si>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</si>
  <si>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</si>
  <si>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</si>
  <si>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</si>
  <si>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</si>
  <si>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</si>
  <si>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</si>
  <si>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</si>
  <si>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</si>
  <si>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</si>
  <si>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</si>
  <si>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</si>
  <si>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</si>
  <si>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</si>
  <si>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</si>
  <si>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</si>
  <si>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</si>
  <si>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</si>
  <si>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</si>
  <si>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</si>
  <si>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</si>
  <si>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</si>
  <si>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</si>
  <si>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</si>
  <si>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</si>
  <si>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</si>
  <si>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</si>
  <si>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</si>
  <si>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</si>
  <si>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</si>
  <si>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</si>
  <si>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</si>
  <si>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</si>
  <si>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</si>
  <si>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</si>
  <si>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</si>
  <si>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</si>
  <si>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</si>
  <si>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</si>
  <si>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</si>
  <si>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</si>
  <si>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</si>
  <si>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</si>
  <si>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</si>
  <si>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</si>
  <si>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</si>
  <si>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</si>
  <si>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</si>
  <si>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</si>
  <si>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</si>
  <si>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</si>
  <si>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</si>
  <si>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</si>
  <si>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</si>
  <si>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</si>
  <si>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</si>
  <si>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</si>
  <si>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</si>
  <si>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</si>
  <si>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</si>
  <si>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</si>
  <si>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</si>
  <si>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</si>
  <si>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</si>
  <si>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</si>
  <si>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</si>
  <si>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</si>
  <si>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</si>
  <si>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</si>
  <si>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</si>
  <si>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</si>
  <si>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</si>
  <si>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</si>
  <si>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</si>
  <si>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</si>
  <si>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</si>
  <si>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</si>
  <si>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</si>
  <si>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</si>
  <si>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</si>
  <si>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</si>
  <si>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</si>
  <si>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</si>
  <si>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</si>
  <si>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</si>
  <si>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</si>
  <si>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</si>
  <si>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</si>
  <si>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</si>
  <si>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</si>
  <si>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</si>
  <si>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</si>
  <si>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</si>
  <si>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</si>
  <si>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</si>
  <si>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</si>
  <si>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</si>
  <si>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</si>
  <si>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</si>
  <si>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</si>
  <si>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</si>
  <si>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</si>
  <si>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</si>
  <si>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</si>
  <si>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</si>
  <si>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</si>
  <si>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</si>
  <si>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</si>
  <si>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</si>
  <si>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</si>
  <si>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</si>
  <si>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</si>
  <si>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</si>
  <si>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+/- 10um</t>
  </si>
  <si>
    <t>"CYTOTOXIC WASTE"</t>
  </si>
  <si>
    <t xml:space="preserve"> +/- 10mm</t>
  </si>
  <si>
    <t>(350+350)</t>
  </si>
  <si>
    <t>LCW77521</t>
  </si>
  <si>
    <t>ENWARE NSW</t>
  </si>
  <si>
    <t xml:space="preserve">LIMAX 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</si>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</sst>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PB700G102075LIWH0P</v>
      </c>
      <c r="C1" s="111"/>
      <c r="D1" s="112"/>
      <c r="E1" s="10" t="s">
        <v>57</v>
      </c>
      <c r="F1" s="87" t="s">
        <v>199</v>
      </c>
      <c r="G1" s="87"/>
      <c r="H1" s="88"/>
      <c r="I1" s="11" t="s">
        <v>181</v>
      </c>
      <c r="J1" s="84">
        <f ca="1">TODAY()</f>
        <v>45881</v>
      </c>
      <c r="K1" s="84"/>
      <c r="L1" s="85"/>
      <c r="M1" s="28"/>
      <c r="N1" s="10" t="s">
        <v>56</v>
      </c>
      <c r="O1" s="111" t="str">
        <f>B1</f>
        <v>PB700G102075LIWH0P</v>
      </c>
      <c r="P1" s="111"/>
      <c r="Q1" s="112"/>
      <c r="R1" s="10" t="s">
        <v>57</v>
      </c>
      <c r="S1" s="111" t="str">
        <f>F1</f>
        <v>ENWARE NSW</v>
      </c>
      <c r="T1" s="111"/>
      <c r="U1" s="112"/>
      <c r="V1" s="10" t="s">
        <v>181</v>
      </c>
      <c r="W1" s="84">
        <f ca="1">J1</f>
        <v>45881</v>
      </c>
      <c r="X1" s="84"/>
      <c r="Y1" s="85"/>
    </row>
    <row r="2" spans="1:25" ht="20.149999999999999" customHeight="1" x14ac:dyDescent="0.8">
      <c r="A2" s="10" t="s">
        <v>100</v>
      </c>
      <c r="B2" s="111" t="str">
        <f>IF(U10="","",U10)</f>
        <v>LCW77521</v>
      </c>
      <c r="C2" s="111"/>
      <c r="D2" s="112"/>
      <c r="E2" s="10" t="s">
        <v>58</v>
      </c>
      <c r="F2" s="87">
        <v>942267</v>
      </c>
      <c r="G2" s="87"/>
      <c r="H2" s="88"/>
      <c r="I2" s="10" t="s">
        <v>59</v>
      </c>
      <c r="J2" s="86">
        <v>45902</v>
      </c>
      <c r="K2" s="87"/>
      <c r="L2" s="88"/>
      <c r="M2" s="28"/>
      <c r="N2" s="10" t="s">
        <v>100</v>
      </c>
      <c r="O2" s="111" t="str">
        <f>IF(B2="","",B2)</f>
        <v>LCW77521</v>
      </c>
      <c r="P2" s="111"/>
      <c r="Q2" s="112"/>
      <c r="R2" s="10" t="s">
        <v>58</v>
      </c>
      <c r="S2" s="111">
        <f>IF(F2="","",F2)</f>
        <v>942267</v>
      </c>
      <c r="T2" s="111"/>
      <c r="U2" s="112"/>
      <c r="V2" s="10" t="s">
        <v>59</v>
      </c>
      <c r="W2" s="122">
        <f>J2</f>
        <v>45902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0" t="s">
        <v>49</v>
      </c>
      <c r="B7" s="108" t="s">
        <v>174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20</v>
      </c>
      <c r="P7" s="88"/>
      <c r="Q7" s="10" t="str">
        <f>IF(ISNUMBER(SEARCH("roll",O8,1)),"Per Roll","Per Carton")</f>
        <v>Per Carton</v>
      </c>
      <c r="R7" s="87">
        <v>100</v>
      </c>
      <c r="S7" s="88"/>
      <c r="T7" s="10" t="str">
        <f>IF(ISNUMBER(SEARCH("bag",O8,1)),"Total Bags","Total Sheets")</f>
        <v>Total Bags</v>
      </c>
      <c r="U7" s="111">
        <f>R7*O7</f>
        <v>2000</v>
      </c>
      <c r="V7" s="112"/>
      <c r="W7" s="10" t="s">
        <v>102</v>
      </c>
      <c r="X7" s="87" t="s">
        <v>31</v>
      </c>
      <c r="Y7" s="88"/>
    </row>
    <row r="8" spans="1:25" ht="20.149999999999999" customHeight="1" x14ac:dyDescent="0.8">
      <c r="A8" s="12" t="s">
        <v>16</v>
      </c>
      <c r="B8" s="89">
        <f>R9</f>
        <v>700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(350+350)</v>
      </c>
      <c r="F8" s="90"/>
      <c r="G8" s="12" t="s">
        <v>52</v>
      </c>
      <c r="H8" s="89">
        <f>(IF(V9&lt;30,"30",V9))</f>
        <v>75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5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194</v>
      </c>
      <c r="I9" s="100"/>
      <c r="J9" s="10" t="s">
        <v>55</v>
      </c>
      <c r="K9" s="87" t="s">
        <v>30</v>
      </c>
      <c r="L9" s="88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700</v>
      </c>
      <c r="S9" s="17" t="s">
        <v>78</v>
      </c>
      <c r="T9" s="29">
        <v>1020</v>
      </c>
      <c r="U9" s="17" t="s">
        <v>78</v>
      </c>
      <c r="V9" s="29">
        <v>75</v>
      </c>
      <c r="W9" s="16"/>
      <c r="X9" s="136" t="s">
        <v>197</v>
      </c>
      <c r="Y9" s="137"/>
    </row>
    <row r="10" spans="1:25" ht="20.149999999999999" customHeight="1" x14ac:dyDescent="0.8">
      <c r="A10" s="10" t="s">
        <v>51</v>
      </c>
      <c r="B10" s="87">
        <v>6</v>
      </c>
      <c r="C10" s="88"/>
      <c r="D10" s="46" t="s">
        <v>134</v>
      </c>
      <c r="E10" s="101">
        <f>IF(ISNUMBER(SEARCH("sheet",O8,1)),((R9*T9*H8/540000)*U7/2000*1.3),((R9*T9*H8/540000)*U7/1000*1.08))</f>
        <v>214.20000000000002</v>
      </c>
      <c r="F10" s="102"/>
      <c r="G10" s="10" t="s">
        <v>53</v>
      </c>
      <c r="H10" s="105">
        <f>IF(ISNUMBER(SEARCH("sheet",O8,1)),(U7*T9/2000*1.08),(U7*T9/1000*1.08))</f>
        <v>2203.2000000000003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198</v>
      </c>
      <c r="V10" s="130"/>
      <c r="W10" s="130"/>
      <c r="X10" s="130"/>
      <c r="Y10" s="131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35.700000000000003</v>
      </c>
      <c r="F11" s="104"/>
      <c r="G11" s="10" t="s">
        <v>15</v>
      </c>
      <c r="H11" s="103">
        <f>H10/B10</f>
        <v>367.20000000000005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155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2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8" t="s">
        <v>195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130</v>
      </c>
      <c r="P16" s="88"/>
      <c r="Q16" s="10" t="s">
        <v>105</v>
      </c>
      <c r="R16" s="87" t="s">
        <v>23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23</v>
      </c>
      <c r="V17" s="88"/>
      <c r="W17" s="10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>LILAC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155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WH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200</v>
      </c>
      <c r="P25" s="33"/>
      <c r="Q25" s="9">
        <v>26</v>
      </c>
      <c r="R25" s="9"/>
      <c r="S25" s="9"/>
      <c r="T25" s="9"/>
      <c r="U25" s="9"/>
      <c r="V25" s="9"/>
      <c r="W25" s="9">
        <v>17</v>
      </c>
      <c r="X25" s="9">
        <v>17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8" t="s">
        <v>132</v>
      </c>
      <c r="H26" s="138"/>
      <c r="I26" s="138" t="s">
        <v>131</v>
      </c>
      <c r="J26" s="138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202</v>
      </c>
      <c r="C27" s="7"/>
      <c r="D27" s="9">
        <v>62</v>
      </c>
      <c r="E27" s="58">
        <v>4.3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45912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45902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5D8F5F3-CEE6-440F-A249-62E8839295C0}"/>
</file>

<file path=customXml/itemProps2.xml><?xml version="1.0" encoding="utf-8"?>
<ds:datastoreItem xmlns:ds="http://schemas.openxmlformats.org/officeDocument/2006/customXml" ds:itemID="{858E16EA-6924-494C-8102-D4D3A91DADC1}"/>
</file>

<file path=customXml/itemProps3.xml><?xml version="1.0" encoding="utf-8"?>
<ds:datastoreItem xmlns:ds="http://schemas.openxmlformats.org/officeDocument/2006/customXml" ds:itemID="{ACC4C5CA-77F1-4B8E-AE6A-7DF26F8679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2025-08-11T23:55:05Z</cp:lastPrinted>
  <dcterms:created xsi:type="dcterms:W3CDTF">2019-11-27T23:28:06Z</dcterms:created>
  <dcterms:modified xsi:type="dcterms:W3CDTF">2025-08-11T23:55:08Z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