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FA410D4-07D4-4D57-A78D-7C71F8A0A9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<sst xmlns="http://schemas.openxmlformats.org/spreadsheetml/2006/main" count="301" uniqueCount="200">
  <si>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</si>
  <si>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</si>
  <si>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</si>
  <si>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</si>
  <si>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</si>
  <si>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</si>
  <si>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</si>
  <si>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</si>
  <si>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</si>
  <si>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</si>
  <si>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</si>
  <si>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</si>
  <si>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</si>
  <si>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</si>
  <si>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</si>
  <si>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</si>
  <si>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</si>
  <si>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</si>
  <si>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</si>
  <si>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</si>
  <si>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</si>
  <si>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</si>
  <si>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</si>
  <si>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</si>
  <si>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</si>
  <si>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</si>
  <si>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</si>
  <si>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</si>
  <si>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</si>
  <si>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</si>
  <si>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</si>
  <si>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</si>
  <si>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</si>
  <si>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</si>
  <si>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</si>
  <si>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</si>
  <si>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</si>
  <si>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</si>
  <si>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</si>
  <si>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</si>
  <si>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</si>
  <si>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</si>
  <si>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</si>
  <si>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</si>
  <si>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</si>
  <si>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</si>
  <si>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</si>
  <si>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</si>
  <si>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</si>
  <si>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</si>
  <si>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</si>
  <si>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</si>
  <si>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</si>
  <si>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</si>
  <si>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</si>
  <si>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</si>
  <si>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</si>
  <si>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</si>
  <si>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</si>
  <si>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</si>
  <si>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</si>
  <si>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</si>
  <si>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</si>
  <si>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</si>
  <si>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</si>
  <si>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</si>
  <si>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</si>
  <si>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</si>
  <si>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</si>
  <si>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</si>
  <si>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</si>
  <si>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</si>
  <si>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</si>
  <si>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</si>
  <si>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</si>
  <si>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</si>
  <si>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</si>
  <si>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</si>
  <si>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</si>
  <si>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</si>
  <si>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</si>
  <si>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</si>
  <si>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</si>
  <si>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</si>
  <si>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</si>
  <si>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</si>
  <si>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</si>
  <si>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</si>
  <si>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</si>
  <si>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</si>
  <si>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</si>
  <si>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</si>
  <si>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</si>
  <si>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</si>
  <si>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</si>
  <si>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</si>
  <si>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</si>
  <si>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</si>
  <si>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</si>
  <si>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</si>
  <si>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</si>
  <si>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</si>
  <si>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</si>
  <si>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</si>
  <si>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</si>
  <si>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</si>
  <si>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</si>
  <si>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</si>
  <si>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</si>
  <si>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</si>
  <si>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</si>
  <si>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</si>
  <si>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</si>
  <si>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</si>
  <si>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</si>
  <si>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</si>
  <si>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</si>
  <si>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</si>
  <si>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</si>
  <si>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</si>
  <si>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</si>
  <si>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</si>
  <si>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</si>
  <si>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</si>
  <si>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</si>
  <si>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</si>
  <si>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</si>
  <si>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</si>
  <si>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</si>
  <si>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</si>
  <si>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</si>
  <si>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</si>
  <si>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</si>
  <si>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</si>
  <si>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</si>
  <si>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</si>
  <si>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</si>
  <si>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</si>
  <si>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</si>
  <si>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</si>
  <si>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</si>
  <si>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</si>
  <si>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</si>
  <si>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</si>
  <si>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</si>
  <si>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</si>
  <si>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</si>
  <si>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</si>
  <si>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</si>
  <si>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</si>
  <si>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</si>
  <si>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</si>
  <si>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</si>
  <si>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</si>
  <si>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</si>
  <si>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</si>
  <si>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</si>
  <si>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</si>
  <si>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</si>
  <si>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</si>
  <si>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</si>
  <si>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</si>
  <si>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</si>
  <si>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</si>
  <si>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</si>
  <si>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</si>
  <si>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</si>
  <si>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</si>
  <si>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</si>
  <si>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</si>
  <si>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</si>
  <si>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</si>
  <si>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</si>
  <si>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</si>
  <si>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</si>
  <si>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</si>
  <si>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</si>
  <si>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</si>
  <si>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</si>
  <si>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</si>
  <si>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</si>
  <si>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</si>
  <si>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</si>
  <si>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</si>
  <si>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</si>
  <si>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</si>
  <si>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</si>
  <si>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</si>
  <si>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</si>
  <si>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</si>
  <si>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</si>
  <si>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</si>
  <si>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</si>
  <si>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</si>
  <si>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</si>
  <si>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 xml:space="preserve"> +/- 5mm</t>
  </si>
  <si>
    <t>RUN AT 140um</t>
  </si>
  <si>
    <t>BLUE 287 - ANNA SPIRO LOGO</t>
  </si>
  <si>
    <t>NEW ITEM - NO HEAT - PERFORATE TUBE ONLY - MUST BE SOLID WHITE</t>
  </si>
  <si>
    <t>ANNA SPIRO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</si>
</sst>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T2501900150WHP</v>
      </c>
      <c r="C1" s="108"/>
      <c r="D1" s="109"/>
      <c r="E1" s="18" t="s">
        <v>56</v>
      </c>
      <c r="F1" s="113" t="s">
        <v>199</v>
      </c>
      <c r="G1" s="113"/>
      <c r="H1" s="114"/>
      <c r="I1" s="18" t="s">
        <v>180</v>
      </c>
      <c r="J1" s="110">
        <f ca="1">TODAY()</f>
        <v>44134</v>
      </c>
      <c r="K1" s="110"/>
      <c r="L1" s="111"/>
      <c r="M1" s="35"/>
      <c r="N1" s="18" t="s">
        <v>55</v>
      </c>
      <c r="O1" s="108" t="str">
        <f>B1</f>
        <v>T2501900150WHP</v>
      </c>
      <c r="P1" s="108"/>
      <c r="Q1" s="109"/>
      <c r="R1" s="18" t="s">
        <v>56</v>
      </c>
      <c r="S1" s="108" t="str">
        <f>F1</f>
        <v>ANNA SPIRO DESIGN</v>
      </c>
      <c r="T1" s="108"/>
      <c r="U1" s="109"/>
      <c r="V1" s="18" t="s">
        <v>180</v>
      </c>
      <c r="W1" s="110">
        <f ca="1">J1</f>
        <v>44134</v>
      </c>
      <c r="X1" s="110"/>
      <c r="Y1" s="111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938806</v>
      </c>
      <c r="G2" s="71"/>
      <c r="H2" s="72"/>
      <c r="I2" s="18" t="s">
        <v>58</v>
      </c>
      <c r="J2" s="131">
        <v>44169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938806</v>
      </c>
      <c r="T2" s="108"/>
      <c r="U2" s="109"/>
      <c r="V2" s="18" t="s">
        <v>58</v>
      </c>
      <c r="W2" s="112">
        <f>J2</f>
        <v>44169</v>
      </c>
      <c r="X2" s="108"/>
      <c r="Y2" s="109"/>
    </row>
    <row r="3" spans="1:25" ht="20.100000000000001" customHeight="1" x14ac:dyDescent="0.25">
      <c r="A3" s="120" t="s">
        <v>198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2"/>
      <c r="M3" s="35"/>
      <c r="N3" s="120" t="str">
        <f>A3</f>
        <v>NEW ITEM - NO HEAT - PERFORATE TUBE ONLY - MUST BE SOLID WHITE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2"/>
    </row>
    <row r="4" spans="1:25" ht="20.100000000000001" customHeight="1" x14ac:dyDescent="0.2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5"/>
      <c r="M4" s="35"/>
      <c r="N4" s="123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5"/>
    </row>
    <row r="5" spans="1:25" ht="20.100000000000001" customHeight="1" x14ac:dyDescent="0.25">
      <c r="A5" s="126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  <c r="M5" s="35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17" t="s">
        <v>1</v>
      </c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1:25" ht="20.100000000000001" customHeight="1" x14ac:dyDescent="0.3">
      <c r="A7" s="18" t="s">
        <v>48</v>
      </c>
      <c r="B7" s="78" t="s">
        <v>154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IF(ISNUMBER(SEARCH("Tube",O8,1)),"No. Rolls",IF(ISNUMBER(SEARCH("roll",O8,1)),"No. Rolls","No. Cartons"))</f>
        <v>No. Rolls</v>
      </c>
      <c r="O7" s="71">
        <v>10</v>
      </c>
      <c r="P7" s="72"/>
      <c r="Q7" s="18" t="str">
        <f>IF(ISNUMBER(SEARCH("Tube",O8,1)),"Per Roll",IF(ISNUMBER(SEARCH("roll",O8,1)),"Per Roll","Per Carton"))</f>
        <v>Per Roll</v>
      </c>
      <c r="R7" s="71">
        <v>100</v>
      </c>
      <c r="S7" s="72"/>
      <c r="T7" s="18" t="str">
        <f>IF(ISNUMBER(SEARCH("Tube",O8,1)),"Total Tube",IF(ISNUMBER(SEARCH("bag",O8,1)),"Total Bags","Total Sheets"))</f>
        <v>Total Tube</v>
      </c>
      <c r="U7" s="108">
        <f>R7*O7</f>
        <v>1000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250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150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194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Centrefold</v>
      </c>
      <c r="X8" s="115" t="str">
        <f>IF(AND(W8="Gusset",X9=""), "None",IF(AND(W8="Centrefold",X9=""),"None",IF(W8="Gusset","G",IF(W8="Centrefold","CF"))))</f>
        <v>None</v>
      </c>
      <c r="Y8" s="116"/>
    </row>
    <row r="9" spans="1:25" ht="20.100000000000001" customHeight="1" x14ac:dyDescent="0.3">
      <c r="A9" s="23" t="s">
        <v>47</v>
      </c>
      <c r="B9" s="144" t="s">
        <v>195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196</v>
      </c>
      <c r="I9" s="145"/>
      <c r="J9" s="18" t="s">
        <v>54</v>
      </c>
      <c r="K9" s="71" t="s">
        <v>29</v>
      </c>
      <c r="L9" s="72"/>
      <c r="M9" s="35"/>
      <c r="N9" s="24"/>
      <c r="O9" s="152" t="str">
        <f>IF(O8="Poly Bag","PB",IF(O8="Poly Bag Roll","PBR",IF(O8="Centrefold Roll","CFR",IF(O8="Sheet","S",IF(O8="Sheet Roll","SR",IF(O8="TUBE","T",))))))</f>
        <v>T</v>
      </c>
      <c r="P9" s="153"/>
      <c r="Q9" s="24"/>
      <c r="R9" s="36">
        <v>250</v>
      </c>
      <c r="S9" s="25"/>
      <c r="T9" s="36">
        <v>1900</v>
      </c>
      <c r="U9" s="25" t="s">
        <v>77</v>
      </c>
      <c r="V9" s="36">
        <v>150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4</v>
      </c>
      <c r="C10" s="72"/>
      <c r="D10" s="56" t="s">
        <v>133</v>
      </c>
      <c r="E10" s="146">
        <f>IF(ISNUMBER(SEARCH("sheet",O8,1)),((R9*T9*H8/540000)*U7/2000*1.3),((R9*T9*H8/540000)*U7/1000*1.08))</f>
        <v>142.50000000000003</v>
      </c>
      <c r="F10" s="147"/>
      <c r="G10" s="18" t="s">
        <v>52</v>
      </c>
      <c r="H10" s="150">
        <f>IF(ISNUMBER(SEARCH("sheet",O8,1)),(U7*T9/2000*1.08),(U7*T9/1000*1.08))</f>
        <v>2052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15" t="str">
        <f>IF(K11="NONE","None",IF(K11="INLINE","Yes",IF(K11="OUT OF LINE","Yes")))</f>
        <v>Yes</v>
      </c>
      <c r="S10" s="115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35.625000000000007</v>
      </c>
      <c r="F11" s="149"/>
      <c r="G11" s="18" t="s">
        <v>14</v>
      </c>
      <c r="H11" s="148">
        <f>H10/B10</f>
        <v>513</v>
      </c>
      <c r="I11" s="149"/>
      <c r="J11" s="18" t="s">
        <v>49</v>
      </c>
      <c r="K11" s="71" t="s">
        <v>63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>P</v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69</v>
      </c>
      <c r="C13" s="71"/>
      <c r="D13" s="72"/>
      <c r="E13" s="28" t="s">
        <v>60</v>
      </c>
      <c r="F13" s="71" t="s">
        <v>65</v>
      </c>
      <c r="G13" s="71"/>
      <c r="H13" s="72"/>
      <c r="I13" s="29" t="s">
        <v>61</v>
      </c>
      <c r="J13" s="71" t="s">
        <v>149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 t="s">
        <v>197</v>
      </c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IF(ISNUMBER(SEARCH("Tube",O8,1)),"Total Tube",IF(ISNUMBER(SEARCH("bag",O8,1)),"Total Bags","Total Sheets"))</f>
        <v>Total Tube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22</v>
      </c>
      <c r="S17" s="72"/>
      <c r="T17" s="31" t="str">
        <f>IF(ISNUMBER(SEARCH("Tube",O8,1)),"Part Rolls",IF(ISNUMBER(SEARCH("roll",O8,1)),"Part Rolls","Part Ctns"))</f>
        <v>Part Rolls</v>
      </c>
      <c r="U17" s="71" t="s">
        <v>30</v>
      </c>
      <c r="V17" s="72"/>
      <c r="W17" s="18" t="str">
        <f>IF(ISNUMBER(SEARCH("Tube",O8,1)),"No. Rolls",IF(ISNUMBER(SEARCH("roll",O8,1)),"Total Rolls","Total Ctns"))</f>
        <v>No.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WHITE</v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DEC5-00B8-4E46-8EAF-A6C5DDD090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44165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44155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3" t="s">
        <v>194</v>
      </c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8"/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4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188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">
        <v>139</v>
      </c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5" t="s">
        <v>37</v>
      </c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</row>
    <row r="59" spans="1:20" x14ac:dyDescent="0.25">
      <c r="A59" s="67" t="s">
        <v>147</v>
      </c>
      <c r="N59" s="63" t="s">
        <v>32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C9E59A0-1ACF-4C5E-AE89-3BE9EEFAF9C6}"/>
</file>

<file path=customXml/itemProps2.xml><?xml version="1.0" encoding="utf-8"?>
<ds:datastoreItem xmlns:ds="http://schemas.openxmlformats.org/officeDocument/2006/customXml" ds:itemID="{629151FE-D7C0-4670-AA3D-0F4810C4FA98}"/>
</file>

<file path=customXml/itemProps3.xml><?xml version="1.0" encoding="utf-8"?>
<ds:datastoreItem xmlns:ds="http://schemas.openxmlformats.org/officeDocument/2006/customXml" ds:itemID="{17CD4F55-8CC0-46F8-9452-5832C8AC9D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2020-10-30T01:22:29Z</cp:lastPrinted>
  <dcterms:created xsi:type="dcterms:W3CDTF">2019-11-27T23:28:06Z</dcterms:created>
  <dcterms:modified xsi:type="dcterms:W3CDTF">2020-10-30T01:38:21Z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