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48D5F6C-8B32-41D1-9B00-B654CF730E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W8" i="1"/>
  <c r="X8" i="1" s="1"/>
  <c r="D8" i="1"/>
  <c r="E8" i="1"/>
  <c r="A11" i="1" l="1"/>
  <c r="O9" i="1"/>
  <c r="W13" i="1" l="1"/>
  <c r="W16" i="1" l="1"/>
  <c r="B2" i="1" l="1"/>
  <c r="T7" i="1"/>
  <c r="T17" i="1"/>
  <c r="W17" i="1"/>
  <c r="Q7" i="1"/>
  <c r="N7" i="1"/>
  <c r="O11" i="1"/>
  <c r="K8" i="1" l="1"/>
  <c r="R10" i="1" l="1"/>
  <c r="R11" i="1" s="1"/>
  <c r="Q13" i="1" l="1"/>
  <c r="U7" i="1" l="1"/>
  <c r="H10" i="1" l="1"/>
  <c r="H11" i="1" s="1"/>
  <c r="U13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W2" i="1"/>
  <c r="A5" i="2"/>
  <c r="W1" i="1"/>
  <c r="S1" i="1" l="1"/>
  <c r="O1" i="1" l="1"/>
</calcChain>
</file>

<file path=xl/sharedStrings.xml><?xml version="1.0" encoding="utf-8"?>
<sst xmlns="http://schemas.openxmlformats.org/spreadsheetml/2006/main" count="313" uniqueCount="211">
  <si>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</si>
  <si>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</si>
  <si>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</si>
  <si>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</si>
  <si>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</si>
  <si>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</si>
  <si>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</si>
  <si>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</si>
  <si>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</si>
  <si>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</si>
  <si>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</si>
  <si>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</si>
  <si>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</si>
  <si>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</si>
  <si>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</si>
  <si>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</si>
  <si>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</si>
  <si>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</si>
  <si>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</si>
  <si>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</si>
  <si>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</si>
  <si>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</si>
  <si>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</si>
  <si>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</si>
  <si>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</si>
  <si>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</si>
  <si>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</si>
  <si>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</si>
  <si>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</si>
  <si>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</si>
  <si>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</si>
  <si>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</si>
  <si>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</si>
  <si>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</si>
  <si>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</si>
  <si>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</si>
  <si>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</si>
  <si>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</si>
  <si>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</si>
  <si>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</si>
  <si>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</si>
  <si>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</si>
  <si>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</si>
  <si>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</si>
  <si>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</si>
  <si>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</si>
  <si>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</si>
  <si>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</si>
  <si>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</si>
  <si>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</si>
  <si>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</si>
  <si>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</si>
  <si>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</si>
  <si>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</si>
  <si>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</si>
  <si>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</si>
  <si>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</si>
  <si>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</si>
  <si>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</si>
  <si>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</si>
  <si>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</si>
  <si>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</si>
  <si>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</si>
  <si>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</si>
  <si>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</si>
  <si>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</si>
  <si>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</si>
  <si>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</si>
  <si>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</si>
  <si>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</si>
  <si>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</si>
  <si>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</si>
  <si>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</si>
  <si>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</si>
  <si>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</si>
  <si>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</si>
  <si>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</si>
  <si>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</si>
  <si>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</si>
  <si>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</si>
  <si>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</si>
  <si>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</si>
  <si>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</si>
  <si>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</si>
  <si>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</si>
  <si>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</si>
  <si>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</si>
  <si>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</si>
  <si>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</si>
  <si>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</si>
  <si>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</si>
  <si>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</si>
  <si>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</si>
  <si>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</si>
  <si>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</si>
  <si>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</si>
  <si>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</si>
  <si>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</si>
  <si>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</si>
  <si>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</si>
  <si>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</si>
  <si>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</si>
  <si>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</si>
  <si>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</si>
  <si>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</si>
  <si>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</si>
  <si>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</si>
  <si>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</si>
  <si>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</si>
  <si>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</si>
  <si>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</si>
  <si>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</si>
  <si>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</si>
  <si>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</si>
  <si>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</si>
  <si>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</si>
  <si>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</si>
  <si>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</si>
  <si>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</si>
  <si>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</si>
  <si>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</si>
  <si>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</si>
  <si>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</si>
  <si>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</si>
  <si>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</si>
  <si>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</si>
  <si>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</si>
  <si>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</si>
  <si>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</si>
  <si>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</si>
  <si>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</si>
  <si>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</si>
  <si>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</si>
  <si>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</si>
  <si>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</si>
  <si>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</si>
  <si>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</si>
  <si>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</si>
  <si>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</si>
  <si>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</si>
  <si>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</si>
  <si>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</si>
  <si>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</si>
  <si>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</si>
  <si>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</si>
  <si>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</si>
  <si>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</si>
  <si>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</si>
  <si>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</si>
  <si>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</si>
  <si>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</si>
  <si>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</si>
  <si>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</si>
  <si>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</si>
  <si>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</si>
  <si>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</si>
  <si>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</si>
  <si>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</si>
  <si>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</si>
  <si>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</si>
  <si>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</si>
  <si>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</si>
  <si>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</si>
  <si>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</si>
  <si>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</si>
  <si>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</si>
  <si>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</si>
  <si>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</si>
  <si>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</si>
  <si>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</si>
  <si>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</si>
  <si>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</si>
  <si>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</si>
  <si>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</si>
  <si>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</si>
  <si>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</si>
  <si>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</si>
  <si>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</si>
  <si>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</si>
  <si>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</si>
  <si>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</si>
  <si>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</si>
  <si>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</si>
  <si>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Best Fit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</si>
  <si>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</si>
  <si>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</si>
  <si>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</si>
  <si>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</si>
  <si>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</si>
  <si>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</si>
  <si>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</si>
  <si>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</si>
  <si>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VPGW</t>
  </si>
  <si>
    <t xml:space="preserve"> +/- 5mm</t>
  </si>
  <si>
    <t xml:space="preserve"> +/- 5um</t>
  </si>
  <si>
    <t>"GENERAL WASTE"</t>
  </si>
  <si>
    <t>(400+250)</t>
  </si>
  <si>
    <t>ASAP</t>
  </si>
  <si>
    <t>Centrefold Roll</t>
  </si>
  <si>
    <t>PERF</t>
  </si>
  <si>
    <t>8.0.%</t>
  </si>
  <si>
    <t>QLD HEALTH</t>
  </si>
  <si>
    <t xml:space="preserve">15 HOLES VENTED </t>
  </si>
  <si>
    <t>CLEAR REMILL</t>
  </si>
  <si>
    <t>ANTIBLOCK</t>
  </si>
  <si>
    <t>ANSTISTATIC</t>
  </si>
  <si>
    <t>ADD 40% DOLPHIN REMILL - IF PRINTING INLINE MAKE SURE INK IS NOT TOO THICK AS WILL STICK IN CONVERSION</t>
  </si>
  <si>
    <t>#65</t>
  </si>
  <si>
    <t>150/175</t>
  </si>
  <si>
    <t>175/150</t>
  </si>
  <si>
    <t>2.5/3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</si>
</sst>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9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20" fillId="0" borderId="7" xfId="0" applyFont="1" applyBorder="1" applyAlignment="1" applyProtection="1">
      <alignment horizontal="center" vertical="center" wrapText="1"/>
      <protection locked="0"/>
    </xf>
    <xf numFmtId="0" fontId="20" fillId="0" borderId="3" xfId="0" applyFont="1" applyBorder="1" applyAlignment="1" applyProtection="1">
      <alignment horizontal="center" vertical="center" wrapText="1"/>
      <protection locked="0"/>
    </xf>
    <xf numFmtId="0" fontId="20" fillId="0" borderId="8" xfId="0" applyFont="1" applyBorder="1" applyAlignment="1" applyProtection="1">
      <alignment horizontal="center" vertical="center" wrapText="1"/>
      <protection locked="0"/>
    </xf>
    <xf numFmtId="0" fontId="20" fillId="0" borderId="9" xfId="0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 vertical="center" wrapText="1"/>
      <protection locked="0"/>
    </xf>
    <xf numFmtId="0" fontId="20" fillId="0" borderId="10" xfId="0" applyFont="1" applyBorder="1" applyAlignment="1" applyProtection="1">
      <alignment horizontal="center" vertical="center" wrapText="1"/>
      <protection locked="0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7" fillId="5" borderId="6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9" fontId="18" fillId="0" borderId="4" xfId="0" applyNumberFormat="1" applyFont="1" applyBorder="1" applyAlignment="1" applyProtection="1">
      <alignment horizontal="center"/>
      <protection locked="0"/>
    </xf>
    <xf numFmtId="0" fontId="18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07" t="str">
        <f>O9&amp;R9&amp;IF(X8="G","G","")&amp;IF(O8="Centrefold Roll","("&amp;E8&amp;")","")&amp;T9&amp;V9&amp;C22&amp;C23&amp;C24&amp;O11&amp;R11</f>
        <v>PB650G90060VP</v>
      </c>
      <c r="C1" s="107"/>
      <c r="D1" s="108"/>
      <c r="E1" s="9" t="s">
        <v>57</v>
      </c>
      <c r="F1" s="61" t="s">
        <v>201</v>
      </c>
      <c r="G1" s="61"/>
      <c r="H1" s="62"/>
      <c r="I1" s="10" t="s">
        <v>180</v>
      </c>
      <c r="J1" s="127">
        <f ca="1">TODAY()</f>
        <v>45819</v>
      </c>
      <c r="K1" s="127"/>
      <c r="L1" s="128"/>
      <c r="M1" s="27"/>
      <c r="N1" s="9" t="s">
        <v>56</v>
      </c>
      <c r="O1" s="107" t="str">
        <f>B1</f>
        <v>PB650G90060VP</v>
      </c>
      <c r="P1" s="107"/>
      <c r="Q1" s="108"/>
      <c r="R1" s="9" t="s">
        <v>57</v>
      </c>
      <c r="S1" s="107" t="str">
        <f>F1</f>
        <v>QLD HEALTH</v>
      </c>
      <c r="T1" s="107"/>
      <c r="U1" s="108"/>
      <c r="V1" s="9" t="s">
        <v>180</v>
      </c>
      <c r="W1" s="127">
        <f ca="1">J1</f>
        <v>45819</v>
      </c>
      <c r="X1" s="127"/>
      <c r="Y1" s="128"/>
    </row>
    <row r="2" spans="1:25" ht="20.100000000000001" customHeight="1" x14ac:dyDescent="0.25">
      <c r="A2" s="9" t="s">
        <v>100</v>
      </c>
      <c r="B2" s="107" t="str">
        <f>IF(U10="","",U10)</f>
        <v>VPGW</v>
      </c>
      <c r="C2" s="107"/>
      <c r="D2" s="108"/>
      <c r="E2" s="9" t="s">
        <v>58</v>
      </c>
      <c r="F2" s="61">
        <v>949593</v>
      </c>
      <c r="G2" s="61"/>
      <c r="H2" s="62"/>
      <c r="I2" s="9" t="s">
        <v>59</v>
      </c>
      <c r="J2" s="130">
        <v>45742</v>
      </c>
      <c r="K2" s="61"/>
      <c r="L2" s="62"/>
      <c r="M2" s="27"/>
      <c r="N2" s="9" t="s">
        <v>100</v>
      </c>
      <c r="O2" s="107" t="str">
        <f>IF(B2="","",B2)</f>
        <v>VPGW</v>
      </c>
      <c r="P2" s="107"/>
      <c r="Q2" s="108"/>
      <c r="R2" s="9" t="s">
        <v>58</v>
      </c>
      <c r="S2" s="107">
        <f>IF(F2="","",F2)</f>
        <v>949593</v>
      </c>
      <c r="T2" s="107"/>
      <c r="U2" s="108"/>
      <c r="V2" s="9" t="s">
        <v>59</v>
      </c>
      <c r="W2" s="129">
        <f>J2</f>
        <v>45742</v>
      </c>
      <c r="X2" s="107"/>
      <c r="Y2" s="108"/>
    </row>
    <row r="3" spans="1:25" ht="20.100000000000001" customHeight="1" x14ac:dyDescent="0.25">
      <c r="A3" s="109" t="s">
        <v>206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27"/>
      <c r="N3" s="118" t="str">
        <f>A3</f>
        <v>ADD 40% DOLPHIN REMILL - IF PRINTING INLINE MAKE SURE INK IS NOT TOO THICK AS WILL STICK IN CONVERSION</v>
      </c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20"/>
    </row>
    <row r="4" spans="1:25" ht="20.100000000000001" customHeight="1" x14ac:dyDescent="0.25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  <c r="M4" s="27"/>
      <c r="N4" s="121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3"/>
    </row>
    <row r="5" spans="1:25" ht="20.100000000000001" customHeigh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27"/>
      <c r="N5" s="124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6"/>
    </row>
    <row r="6" spans="1:25" ht="20.100000000000001" customHeight="1" x14ac:dyDescent="0.25">
      <c r="A6" s="131" t="s">
        <v>2</v>
      </c>
      <c r="B6" s="132"/>
      <c r="C6" s="132"/>
      <c r="D6" s="132"/>
      <c r="E6" s="132"/>
      <c r="F6" s="132"/>
      <c r="G6" s="132"/>
      <c r="H6" s="132"/>
      <c r="I6" s="132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9" t="s">
        <v>49</v>
      </c>
      <c r="B7" s="99" t="s">
        <v>162</v>
      </c>
      <c r="C7" s="99"/>
      <c r="D7" s="99"/>
      <c r="E7" s="99"/>
      <c r="F7" s="99"/>
      <c r="G7" s="99"/>
      <c r="H7" s="99"/>
      <c r="I7" s="100"/>
      <c r="J7" s="66" t="s">
        <v>178</v>
      </c>
      <c r="K7" s="66"/>
      <c r="L7" s="67"/>
      <c r="M7" s="27"/>
      <c r="N7" s="9" t="str">
        <f>IF(ISNUMBER(SEARCH("roll",O8,1)),"No. Rolls","No. Cartons")</f>
        <v>No. Cartons</v>
      </c>
      <c r="O7" s="61">
        <v>70</v>
      </c>
      <c r="P7" s="62"/>
      <c r="Q7" s="9" t="str">
        <f>IF(ISNUMBER(SEARCH("roll",O8,1)),"Per Roll","Per Carton")</f>
        <v>Per Carton</v>
      </c>
      <c r="R7" s="61">
        <v>250</v>
      </c>
      <c r="S7" s="62"/>
      <c r="T7" s="9" t="str">
        <f>IF(ISNUMBER(SEARCH("bag",O8,1)),"Total Bags","Total Sheets")</f>
        <v>Total Bags</v>
      </c>
      <c r="U7" s="107">
        <f>R7*O7</f>
        <v>17500</v>
      </c>
      <c r="V7" s="108"/>
      <c r="W7" s="9" t="s">
        <v>102</v>
      </c>
      <c r="X7" s="61" t="s">
        <v>23</v>
      </c>
      <c r="Y7" s="62"/>
    </row>
    <row r="8" spans="1:25" ht="20.100000000000001" customHeight="1" x14ac:dyDescent="0.25">
      <c r="A8" s="11" t="s">
        <v>16</v>
      </c>
      <c r="B8" s="95">
        <f>R9</f>
        <v>650</v>
      </c>
      <c r="C8" s="96"/>
      <c r="D8" s="25" t="str">
        <f>IF(ISNUMBER(SEARCH("bag",O8,1)),"Gusset","Centrefold")</f>
        <v>Gusset</v>
      </c>
      <c r="E8" s="95" t="str">
        <f>IF(O8="Centrefold Roll",B8*2,IF(X9="","None",X9))</f>
        <v>(400+250)</v>
      </c>
      <c r="F8" s="96"/>
      <c r="G8" s="11" t="s">
        <v>52</v>
      </c>
      <c r="H8" s="95">
        <f>(IF(V9&lt;30,"30",V9))</f>
        <v>60</v>
      </c>
      <c r="I8" s="96"/>
      <c r="J8" s="9" t="s">
        <v>54</v>
      </c>
      <c r="K8" s="107" t="str">
        <f>IF(X8="None","Layflat Tube",IF(X8="","Layflat Tube",IF(X8="CF","Layflat Tube",IF(X8="G","Gusset Tube",IF(X9="","Layflat Tube",)))))</f>
        <v>Gusset Tube</v>
      </c>
      <c r="L8" s="108"/>
      <c r="M8" s="27"/>
      <c r="N8" s="12" t="s">
        <v>54</v>
      </c>
      <c r="O8" s="97" t="s">
        <v>163</v>
      </c>
      <c r="P8" s="98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G</v>
      </c>
      <c r="Y8" s="94"/>
    </row>
    <row r="9" spans="1:25" ht="20.100000000000001" customHeight="1" x14ac:dyDescent="0.3">
      <c r="A9" s="14" t="s">
        <v>48</v>
      </c>
      <c r="B9" s="133" t="s">
        <v>193</v>
      </c>
      <c r="C9" s="134"/>
      <c r="D9" s="141" t="str">
        <f>IF(K10="Middle","RUN 2 UP",IF(AND(O8="Centrefold Roll",B8=380),"RUN 2 UP",""))</f>
        <v/>
      </c>
      <c r="E9" s="99"/>
      <c r="F9" s="100"/>
      <c r="G9" s="14" t="s">
        <v>48</v>
      </c>
      <c r="H9" s="133" t="s">
        <v>194</v>
      </c>
      <c r="I9" s="134"/>
      <c r="J9" s="9" t="s">
        <v>55</v>
      </c>
      <c r="K9" s="61" t="s">
        <v>30</v>
      </c>
      <c r="L9" s="62"/>
      <c r="M9" s="27"/>
      <c r="N9" s="15"/>
      <c r="O9" s="101" t="str">
        <f>IF(O8="Poly Bag","PB",IF(O8="Poly Bag Roll","PBR",IF(O8="Centrefold Roll","CFR",IF(O8="Sheet","S",IF(O8="Sheet Roll","SR")))))</f>
        <v>PB</v>
      </c>
      <c r="P9" s="102"/>
      <c r="Q9" s="15"/>
      <c r="R9" s="28">
        <v>650</v>
      </c>
      <c r="S9" s="16" t="s">
        <v>78</v>
      </c>
      <c r="T9" s="28">
        <v>900</v>
      </c>
      <c r="U9" s="16" t="s">
        <v>78</v>
      </c>
      <c r="V9" s="28">
        <v>60</v>
      </c>
      <c r="W9" s="15"/>
      <c r="X9" s="87" t="s">
        <v>196</v>
      </c>
      <c r="Y9" s="88"/>
    </row>
    <row r="10" spans="1:25" ht="20.100000000000001" customHeight="1" x14ac:dyDescent="0.25">
      <c r="A10" s="9" t="s">
        <v>51</v>
      </c>
      <c r="B10" s="61">
        <v>30</v>
      </c>
      <c r="C10" s="62"/>
      <c r="D10" s="45" t="s">
        <v>134</v>
      </c>
      <c r="E10" s="135">
        <f>IF(ISNUMBER(SEARCH("sheet",O8,1)),((R9*T9*H8/540000)*U7/2000*1.3),((R9*T9*H8/540000)*U7/1000*1.08))</f>
        <v>1228.5</v>
      </c>
      <c r="F10" s="136"/>
      <c r="G10" s="9" t="s">
        <v>53</v>
      </c>
      <c r="H10" s="139">
        <f>IF(ISNUMBER(SEARCH("sheet",O8,1)),(U7*T9/2000*1.08),(U7*T9/1000*1.08))</f>
        <v>17010</v>
      </c>
      <c r="I10" s="140"/>
      <c r="J10" s="9" t="s">
        <v>41</v>
      </c>
      <c r="K10" s="61" t="s">
        <v>44</v>
      </c>
      <c r="L10" s="62"/>
      <c r="M10" s="27"/>
      <c r="N10" s="12" t="s">
        <v>141</v>
      </c>
      <c r="O10" s="97" t="s">
        <v>187</v>
      </c>
      <c r="P10" s="98"/>
      <c r="Q10" s="12" t="s">
        <v>50</v>
      </c>
      <c r="R10" s="93" t="str">
        <f>IF(K11="NONE","None",IF(K11="INLINE","Yes",IF(K11="OUT OF LINE","Yes")))</f>
        <v>Yes</v>
      </c>
      <c r="S10" s="93"/>
      <c r="T10" s="12" t="s">
        <v>100</v>
      </c>
      <c r="U10" s="103" t="s">
        <v>192</v>
      </c>
      <c r="V10" s="103"/>
      <c r="W10" s="103"/>
      <c r="X10" s="103"/>
      <c r="Y10" s="104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07" t="str">
        <f>IF(AND(O8="Centrefold Roll",D9="RUN 2 UP"),B10*2,IF(ISNUMBER(SEARCH("sheet",O8,1)),B10*2,""))</f>
        <v/>
      </c>
      <c r="C11" s="108"/>
      <c r="D11" s="9" t="s">
        <v>135</v>
      </c>
      <c r="E11" s="137">
        <f>E10/B10</f>
        <v>40.950000000000003</v>
      </c>
      <c r="F11" s="138"/>
      <c r="G11" s="9" t="s">
        <v>15</v>
      </c>
      <c r="H11" s="137">
        <f>H10/B10</f>
        <v>567</v>
      </c>
      <c r="I11" s="138"/>
      <c r="J11" s="9" t="s">
        <v>50</v>
      </c>
      <c r="K11" s="61" t="s">
        <v>65</v>
      </c>
      <c r="L11" s="62"/>
      <c r="M11" s="27"/>
      <c r="N11" s="11"/>
      <c r="O11" s="95" t="str">
        <f>IF(O10="NONE","","V")</f>
        <v>V</v>
      </c>
      <c r="P11" s="96"/>
      <c r="Q11" s="11"/>
      <c r="R11" s="95" t="str">
        <f>IF(R10="None","","P")</f>
        <v>P</v>
      </c>
      <c r="S11" s="96"/>
      <c r="T11" s="11"/>
      <c r="U11" s="105"/>
      <c r="V11" s="105"/>
      <c r="W11" s="105"/>
      <c r="X11" s="105"/>
      <c r="Y11" s="106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9" t="s">
        <v>68</v>
      </c>
      <c r="B13" s="61" t="s">
        <v>70</v>
      </c>
      <c r="C13" s="61"/>
      <c r="D13" s="62"/>
      <c r="E13" s="17" t="s">
        <v>61</v>
      </c>
      <c r="F13" s="61" t="s">
        <v>66</v>
      </c>
      <c r="G13" s="61"/>
      <c r="H13" s="62"/>
      <c r="I13" s="9" t="s">
        <v>62</v>
      </c>
      <c r="J13" s="61" t="s">
        <v>176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70</v>
      </c>
      <c r="R13" s="9" t="s">
        <v>74</v>
      </c>
      <c r="S13" s="29" t="s">
        <v>138</v>
      </c>
      <c r="T13" s="9" t="s">
        <v>177</v>
      </c>
      <c r="U13" s="18">
        <f>IF(S13="No","",(ROUNDUP(U7/W13/24,0)))</f>
        <v>15</v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99" t="s">
        <v>195</v>
      </c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55" t="s">
        <v>4</v>
      </c>
      <c r="F16" s="155"/>
      <c r="G16" s="155" t="s">
        <v>5</v>
      </c>
      <c r="H16" s="155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>
        <v>180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1" t="s">
        <v>146</v>
      </c>
      <c r="D17" s="92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23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1" t="s">
        <v>145</v>
      </c>
      <c r="D18" s="92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183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1" t="s">
        <v>144</v>
      </c>
      <c r="D19" s="92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 t="s">
        <v>202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1" t="s">
        <v>143</v>
      </c>
      <c r="D20" s="92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35">
      <c r="A21" s="154" t="s">
        <v>10</v>
      </c>
      <c r="B21" s="154"/>
      <c r="C21" s="156" t="s">
        <v>203</v>
      </c>
      <c r="D21" s="157"/>
      <c r="E21" s="161">
        <v>0.4</v>
      </c>
      <c r="F21" s="162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2"/>
      <c r="E22" s="58"/>
      <c r="F22" s="59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58" t="s">
        <v>204</v>
      </c>
      <c r="B23" s="158"/>
      <c r="C23" s="91"/>
      <c r="D23" s="92"/>
      <c r="E23" s="58"/>
      <c r="F23" s="59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59" t="s">
        <v>205</v>
      </c>
      <c r="B24" s="160"/>
      <c r="C24" s="91"/>
      <c r="D24" s="92"/>
      <c r="E24" s="58"/>
      <c r="F24" s="59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175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199</v>
      </c>
      <c r="P25" s="32"/>
      <c r="Q25" s="8">
        <v>26</v>
      </c>
      <c r="R25" s="8">
        <v>6</v>
      </c>
      <c r="S25" s="8"/>
      <c r="T25" s="8">
        <v>11</v>
      </c>
      <c r="U25" s="8">
        <v>2</v>
      </c>
      <c r="V25" s="8" t="s">
        <v>210</v>
      </c>
      <c r="W25" s="8" t="s">
        <v>208</v>
      </c>
      <c r="X25" s="8" t="s">
        <v>209</v>
      </c>
      <c r="Y25" s="8"/>
    </row>
    <row r="26" spans="1:25" ht="20.100000000000001" customHeight="1" x14ac:dyDescent="0.25">
      <c r="A26" s="21"/>
      <c r="B26" s="20" t="s">
        <v>179</v>
      </c>
      <c r="C26" s="20" t="s">
        <v>92</v>
      </c>
      <c r="D26" s="22" t="s">
        <v>90</v>
      </c>
      <c r="E26" s="22" t="s">
        <v>91</v>
      </c>
      <c r="F26" s="22" t="s">
        <v>93</v>
      </c>
      <c r="G26" s="90" t="s">
        <v>132</v>
      </c>
      <c r="H26" s="90"/>
      <c r="I26" s="90" t="s">
        <v>131</v>
      </c>
      <c r="J26" s="90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0" t="s">
        <v>96</v>
      </c>
      <c r="B27" s="7"/>
      <c r="C27" s="7"/>
      <c r="D27" s="7">
        <v>21</v>
      </c>
      <c r="E27" s="57" t="s">
        <v>200</v>
      </c>
      <c r="F27" s="7"/>
      <c r="G27" s="89"/>
      <c r="H27" s="89"/>
      <c r="I27" s="89"/>
      <c r="J27" s="89"/>
      <c r="K27" s="7"/>
      <c r="L27" s="8"/>
      <c r="M27" s="27"/>
      <c r="N27" s="22" t="s">
        <v>181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207</v>
      </c>
      <c r="C28" s="7"/>
      <c r="D28" s="8">
        <v>67</v>
      </c>
      <c r="E28" s="57">
        <v>6.2</v>
      </c>
      <c r="F28" s="7"/>
      <c r="G28" s="89"/>
      <c r="H28" s="89"/>
      <c r="I28" s="89"/>
      <c r="J28" s="89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142" t="s">
        <v>116</v>
      </c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4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145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7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50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51" t="s">
        <v>136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3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181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B7:I7">
    <cfRule type="containsText" dxfId="3" priority="3" operator="containsText" text="BLACK">
      <formula>NOT(ISERROR(SEARCH("BLACK",B7)))</formula>
    </cfRule>
  </conditionalFormatting>
  <conditionalFormatting sqref="J2 W2">
    <cfRule type="containsText" dxfId="2" priority="2" operator="containsText" text="ASAP">
      <formula>NOT(ISERROR(SEARCH("ASAP",J2)))</formula>
    </cfRule>
  </conditionalFormatting>
  <conditionalFormatting sqref="J13 B7">
    <cfRule type="containsText" dxfId="1" priority="5" operator="containsText" text="LILAC">
      <formula>NOT(ISERROR(SEARCH("LILAC",B7)))</formula>
    </cfRule>
  </conditionalFormatting>
  <conditionalFormatting sqref="J13">
    <cfRule type="containsText" dxfId="0" priority="4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45849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45840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197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154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148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149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198</v>
      </c>
      <c r="T19" s="1"/>
      <c r="V19" s="1"/>
    </row>
    <row r="20" spans="1:23" x14ac:dyDescent="0.25">
      <c r="A20" s="53" t="s">
        <v>155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165</v>
      </c>
      <c r="T20" s="1"/>
      <c r="V20" s="1"/>
    </row>
    <row r="21" spans="1:23" x14ac:dyDescent="0.25">
      <c r="A21" s="53" t="s">
        <v>156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166</v>
      </c>
      <c r="T21" s="1"/>
      <c r="V21" s="1"/>
      <c r="W21" s="2"/>
    </row>
    <row r="22" spans="1:23" x14ac:dyDescent="0.25">
      <c r="A22" s="53" t="s">
        <v>157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158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159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160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167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168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169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170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171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182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172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176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154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147</v>
      </c>
    </row>
    <row r="60" spans="1:20" x14ac:dyDescent="0.25">
      <c r="A60" s="53" t="s">
        <v>148</v>
      </c>
      <c r="O60" s="1"/>
      <c r="Q60" s="1"/>
      <c r="R60" s="3"/>
      <c r="S60" s="1"/>
    </row>
    <row r="61" spans="1:20" x14ac:dyDescent="0.25">
      <c r="A61" s="53" t="s">
        <v>149</v>
      </c>
      <c r="O61" s="1"/>
      <c r="Q61" s="1"/>
      <c r="R61" s="1"/>
      <c r="S61" s="1"/>
    </row>
    <row r="62" spans="1:20" x14ac:dyDescent="0.25">
      <c r="A62" s="53" t="s">
        <v>150</v>
      </c>
      <c r="O62" s="1"/>
      <c r="Q62" s="1"/>
      <c r="R62" s="1"/>
      <c r="S62" s="1"/>
    </row>
    <row r="63" spans="1:20" x14ac:dyDescent="0.25">
      <c r="A63" s="53" t="s">
        <v>151</v>
      </c>
      <c r="O63" s="1"/>
      <c r="Q63" s="1"/>
      <c r="R63" s="1"/>
      <c r="S63" s="1"/>
      <c r="T63" s="1"/>
    </row>
    <row r="64" spans="1:20" x14ac:dyDescent="0.25">
      <c r="A64" s="53" t="s">
        <v>152</v>
      </c>
      <c r="O64" s="1"/>
      <c r="Q64" s="1"/>
      <c r="R64" s="1"/>
      <c r="S64" s="1"/>
      <c r="T64" s="1"/>
    </row>
    <row r="65" spans="1:20" x14ac:dyDescent="0.25">
      <c r="A65" s="53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7C5E120-19FD-4840-B899-E67A9150D24A}"/>
</file>

<file path=customXml/itemProps2.xml><?xml version="1.0" encoding="utf-8"?>
<ds:datastoreItem xmlns:ds="http://schemas.openxmlformats.org/officeDocument/2006/customXml" ds:itemID="{83A3F2C1-3E6F-4A48-B5B5-C64A4B1C8AF9}"/>
</file>

<file path=customXml/itemProps3.xml><?xml version="1.0" encoding="utf-8"?>
<ds:datastoreItem xmlns:ds="http://schemas.openxmlformats.org/officeDocument/2006/customXml" ds:itemID="{35EB7433-D5C0-4939-883B-D7D5D96A9B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2025-03-05T02:54:56Z</cp:lastPrinted>
  <dcterms:created xsi:type="dcterms:W3CDTF">2019-11-27T23:28:06Z</dcterms:created>
  <dcterms:modified xsi:type="dcterms:W3CDTF">2025-06-11T05:34:38Z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