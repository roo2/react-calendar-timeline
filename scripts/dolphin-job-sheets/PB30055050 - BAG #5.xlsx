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0764A091-6021-498D-96B5-EDB118ECE63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<sst xmlns="http://schemas.openxmlformats.org/spreadsheetml/2006/main" count="303" uniqueCount="199">
  <si>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</si>
  <si>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</si>
  <si>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</si>
  <si>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</si>
  <si>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</si>
  <si>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</si>
  <si>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</si>
  <si>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</si>
  <si>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</si>
  <si>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</si>
  <si>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</si>
  <si>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</si>
  <si>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</si>
  <si>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</si>
  <si>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</si>
  <si>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</si>
  <si>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</si>
  <si>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</si>
  <si>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</si>
  <si>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</si>
  <si>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</si>
  <si>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</si>
  <si>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</si>
  <si>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</si>
  <si>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</si>
  <si>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</si>
  <si>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</si>
  <si>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</si>
  <si>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</si>
  <si>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</si>
  <si>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</si>
  <si>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</si>
  <si>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</si>
  <si>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</si>
  <si>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</si>
  <si>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</si>
  <si>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</si>
  <si>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</si>
  <si>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</si>
  <si>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</si>
  <si>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</si>
  <si>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</si>
  <si>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</si>
  <si>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</si>
  <si>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</si>
  <si>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</si>
  <si>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</si>
  <si>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</si>
  <si>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</si>
  <si>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</si>
  <si>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</si>
  <si>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</si>
  <si>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</si>
  <si>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</si>
  <si>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</si>
  <si>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</si>
  <si>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</si>
  <si>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</si>
  <si>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</si>
  <si>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</si>
  <si>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</si>
  <si>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</si>
  <si>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</si>
  <si>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</si>
  <si>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</si>
  <si>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</si>
  <si>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</si>
  <si>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</si>
  <si>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</si>
  <si>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</si>
  <si>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</si>
  <si>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</si>
  <si>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</si>
  <si>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</si>
  <si>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</si>
  <si>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</si>
  <si>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</si>
  <si>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</si>
  <si>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</si>
  <si>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</si>
  <si>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</si>
  <si>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</si>
  <si>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</si>
  <si>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</si>
  <si>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</si>
  <si>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</si>
  <si>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</si>
  <si>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</si>
  <si>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</si>
  <si>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</si>
  <si>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</si>
  <si>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</si>
  <si>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</si>
  <si>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</si>
  <si>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</si>
  <si>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</si>
  <si>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</si>
  <si>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</si>
  <si>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</si>
  <si>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</si>
  <si>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</si>
  <si>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</si>
  <si>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</si>
  <si>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</si>
  <si>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</si>
  <si>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</si>
  <si>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</si>
  <si>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</si>
  <si>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</si>
  <si>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</si>
  <si>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</si>
  <si>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</si>
  <si>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</si>
  <si>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</si>
  <si>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</si>
  <si>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</si>
  <si>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</si>
  <si>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</si>
  <si>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</si>
  <si>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</si>
  <si>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</si>
  <si>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</si>
  <si>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</si>
  <si>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</si>
  <si>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</si>
  <si>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</si>
  <si>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</si>
  <si>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</si>
  <si>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</si>
  <si>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</si>
  <si>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</si>
  <si>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</si>
  <si>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</si>
  <si>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</si>
  <si>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</si>
  <si>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</si>
  <si>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</si>
  <si>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</si>
  <si>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</si>
  <si>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</si>
  <si>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</si>
  <si>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</si>
  <si>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</si>
  <si>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</si>
  <si>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</si>
  <si>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</si>
  <si>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</si>
  <si>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</si>
  <si>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</si>
  <si>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</si>
  <si>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</si>
  <si>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</si>
  <si>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</si>
  <si>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</si>
  <si>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</si>
  <si>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</si>
  <si>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</si>
  <si>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</si>
  <si>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</si>
  <si>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</si>
  <si>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</si>
  <si>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</si>
  <si>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</si>
  <si>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</si>
  <si>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</si>
  <si>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</si>
  <si>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</si>
  <si>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</si>
  <si>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</si>
  <si>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</si>
  <si>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</si>
  <si>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</si>
  <si>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</si>
  <si>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</si>
  <si>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</si>
  <si>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</si>
  <si>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</si>
  <si>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</si>
  <si>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</si>
  <si>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</si>
  <si>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</si>
  <si>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</si>
  <si>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</si>
  <si>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</si>
  <si>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</si>
  <si>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</si>
  <si>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</si>
  <si>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</si>
  <si>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</si>
  <si>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</si>
  <si>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</si>
  <si>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</si>
  <si>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</si>
  <si>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</si>
  <si>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</si>
  <si>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</si>
  <si>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</si>
  <si>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 xml:space="preserve">GREAT BARRIER REEF </t>
  </si>
  <si>
    <t>BAG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</si>
</sst>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PB30055050</v>
      </c>
      <c r="C1" s="123"/>
      <c r="D1" s="124"/>
      <c r="E1" s="12" t="s">
        <v>57</v>
      </c>
      <c r="F1" s="134" t="s">
        <v>197</v>
      </c>
      <c r="G1" s="135"/>
      <c r="H1" s="136"/>
      <c r="I1" s="13" t="s">
        <v>181</v>
      </c>
      <c r="J1" s="137">
        <f ca="1">TODAY()</f>
        <v>44393</v>
      </c>
      <c r="K1" s="137"/>
      <c r="L1" s="138"/>
      <c r="M1" s="34"/>
      <c r="N1" s="12" t="s">
        <v>56</v>
      </c>
      <c r="O1" s="123" t="str">
        <f>B1</f>
        <v>PB30055050</v>
      </c>
      <c r="P1" s="123"/>
      <c r="Q1" s="124"/>
      <c r="R1" s="12" t="s">
        <v>57</v>
      </c>
      <c r="S1" s="123" t="str">
        <f>F1</f>
        <v xml:space="preserve">GREAT BARRIER REEF </v>
      </c>
      <c r="T1" s="123"/>
      <c r="U1" s="124"/>
      <c r="V1" s="12" t="s">
        <v>181</v>
      </c>
      <c r="W1" s="137">
        <f ca="1">J1</f>
        <v>44393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>BAG #5</v>
      </c>
      <c r="C2" s="123"/>
      <c r="D2" s="124"/>
      <c r="E2" s="12" t="s">
        <v>58</v>
      </c>
      <c r="F2" s="73">
        <v>940847</v>
      </c>
      <c r="G2" s="73"/>
      <c r="H2" s="74"/>
      <c r="I2" s="12" t="s">
        <v>59</v>
      </c>
      <c r="J2" s="140">
        <v>44424</v>
      </c>
      <c r="K2" s="73"/>
      <c r="L2" s="74"/>
      <c r="M2" s="34"/>
      <c r="N2" s="12" t="s">
        <v>100</v>
      </c>
      <c r="O2" s="123" t="str">
        <f>IF(B2="","",B2)</f>
        <v>BAG #5</v>
      </c>
      <c r="P2" s="123"/>
      <c r="Q2" s="124"/>
      <c r="R2" s="12" t="s">
        <v>58</v>
      </c>
      <c r="S2" s="123">
        <f>IF(F2="","",F2)</f>
        <v>940847</v>
      </c>
      <c r="T2" s="123"/>
      <c r="U2" s="124"/>
      <c r="V2" s="12" t="s">
        <v>59</v>
      </c>
      <c r="W2" s="139">
        <f>J2</f>
        <v>44424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WATER TIGHT SEALS - PLEASE CHECK FREQUENTLY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12</v>
      </c>
      <c r="P7" s="74"/>
      <c r="Q7" s="12" t="str">
        <f>IF(ISNUMBER(SEARCH("roll",O8,1)),"Per Roll","Per Carton")</f>
        <v>Per Carton</v>
      </c>
      <c r="R7" s="73">
        <v>250</v>
      </c>
      <c r="S7" s="74"/>
      <c r="T7" s="12" t="str">
        <f>IF(ISNUMBER(SEARCH("bag",O8,1)),"Total Bags","Total Sheets")</f>
        <v>Total Bags</v>
      </c>
      <c r="U7" s="123">
        <f>R7*O7</f>
        <v>3000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195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194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300</v>
      </c>
      <c r="S9" s="20" t="s">
        <v>78</v>
      </c>
      <c r="T9" s="35">
        <v>550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3</v>
      </c>
      <c r="C10" s="74"/>
      <c r="D10" s="54" t="s">
        <v>134</v>
      </c>
      <c r="E10" s="146">
        <f>IF(ISNUMBER(SEARCH("sheet",O8,1)),((R9*T9*H8/540000)*U7/2000*1.3),((R9*T9*H8/540000)*U7/1000*1.08))</f>
        <v>49.500000000000007</v>
      </c>
      <c r="F10" s="147"/>
      <c r="G10" s="12" t="s">
        <v>53</v>
      </c>
      <c r="H10" s="150">
        <f>IF(ISNUMBER(SEARCH("sheet",O8,1)),(U7*T9/2000*1.08),(U7*T9/1000*1.08))</f>
        <v>1782.0000000000002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16.500000000000004</v>
      </c>
      <c r="F11" s="149"/>
      <c r="G11" s="12" t="s">
        <v>15</v>
      </c>
      <c r="H11" s="148">
        <f>H10/B10</f>
        <v>594.00000000000011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44424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9ADE26A-F058-4ECE-8529-56AEECCA7280}"/>
</file>

<file path=customXml/itemProps2.xml><?xml version="1.0" encoding="utf-8"?>
<ds:datastoreItem xmlns:ds="http://schemas.openxmlformats.org/officeDocument/2006/customXml" ds:itemID="{38C39149-BEB4-49CE-A6E3-109C3B8F0B89}"/>
</file>

<file path=customXml/itemProps3.xml><?xml version="1.0" encoding="utf-8"?>
<ds:datastoreItem xmlns:ds="http://schemas.openxmlformats.org/officeDocument/2006/customXml" ds:itemID="{25D1211F-15DF-4384-9E51-D209B11A2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2021-07-16T01:42:22Z</cp:lastPrinted>
  <dcterms:created xsi:type="dcterms:W3CDTF">2019-11-27T23:28:06Z</dcterms:created>
  <dcterms:modified xsi:type="dcterms:W3CDTF">2021-07-16T01:44:25Z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