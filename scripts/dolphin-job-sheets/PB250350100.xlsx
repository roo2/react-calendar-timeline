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02B4FBC-B118-4349-A582-1CEA022E0F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<sst xmlns="http://schemas.openxmlformats.org/spreadsheetml/2006/main" count="304" uniqueCount="200">
  <si>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</si>
  <si>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</si>
  <si>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</si>
  <si>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</si>
  <si>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</si>
  <si>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</si>
  <si>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</si>
  <si>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</si>
  <si>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</si>
  <si>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</si>
  <si>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</si>
  <si>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</si>
  <si>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</si>
  <si>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</si>
  <si>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</si>
  <si>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</si>
  <si>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</si>
  <si>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</si>
  <si>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</si>
  <si>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</si>
  <si>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</si>
  <si>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</si>
  <si>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</si>
  <si>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</si>
  <si>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</si>
  <si>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</si>
  <si>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</si>
  <si>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</si>
  <si>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</si>
  <si>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</si>
  <si>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</si>
  <si>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</si>
  <si>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</si>
  <si>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</si>
  <si>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</si>
  <si>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</si>
  <si>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</si>
  <si>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</si>
  <si>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</si>
  <si>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</si>
  <si>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</si>
  <si>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</si>
  <si>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</si>
  <si>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</si>
  <si>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</si>
  <si>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</si>
  <si>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</si>
  <si>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</si>
  <si>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</si>
  <si>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</si>
  <si>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</si>
  <si>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</si>
  <si>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</si>
  <si>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</si>
  <si>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</si>
  <si>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</si>
  <si>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</si>
  <si>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</si>
  <si>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</si>
  <si>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</si>
  <si>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</si>
  <si>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</si>
  <si>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</si>
  <si>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</si>
  <si>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</si>
  <si>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</si>
  <si>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</si>
  <si>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</si>
  <si>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</si>
  <si>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</si>
  <si>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</si>
  <si>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</si>
  <si>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</si>
  <si>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</si>
  <si>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</si>
  <si>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</si>
  <si>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</si>
  <si>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</si>
  <si>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</si>
  <si>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</si>
  <si>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</si>
  <si>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</si>
  <si>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</si>
  <si>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</si>
  <si>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</si>
  <si>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</si>
  <si>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</si>
  <si>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</si>
  <si>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</si>
  <si>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</si>
  <si>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</si>
  <si>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</si>
  <si>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</si>
  <si>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</si>
  <si>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</si>
  <si>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</si>
  <si>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</si>
  <si>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</si>
  <si>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</si>
  <si>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</si>
  <si>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</si>
  <si>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</si>
  <si>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</si>
  <si>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</si>
  <si>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</si>
  <si>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</si>
  <si>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</si>
  <si>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</si>
  <si>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</si>
  <si>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</si>
  <si>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</si>
  <si>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</si>
  <si>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</si>
  <si>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</si>
  <si>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</si>
  <si>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</si>
  <si>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</si>
  <si>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</si>
  <si>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</si>
  <si>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</si>
  <si>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</si>
  <si>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</si>
  <si>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</si>
  <si>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</si>
  <si>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</si>
  <si>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</si>
  <si>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</si>
  <si>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</si>
  <si>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</si>
  <si>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</si>
  <si>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</si>
  <si>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</si>
  <si>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</si>
  <si>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</si>
  <si>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</si>
  <si>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</si>
  <si>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</si>
  <si>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</si>
  <si>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</si>
  <si>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</si>
  <si>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</si>
  <si>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</si>
  <si>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</si>
  <si>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</si>
  <si>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</si>
  <si>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</si>
  <si>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</si>
  <si>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</si>
  <si>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</si>
  <si>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</si>
  <si>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</si>
  <si>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</si>
  <si>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</si>
  <si>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</si>
  <si>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</si>
  <si>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</si>
  <si>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</si>
  <si>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</si>
  <si>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</si>
  <si>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</si>
  <si>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</si>
  <si>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</si>
  <si>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</si>
  <si>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</si>
  <si>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</si>
  <si>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</si>
  <si>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</si>
  <si>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</si>
  <si>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</si>
  <si>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</si>
  <si>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</si>
  <si>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</si>
  <si>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</si>
  <si>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</si>
  <si>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</si>
  <si>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</si>
  <si>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</si>
  <si>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</si>
  <si>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</si>
  <si>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</si>
  <si>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</si>
  <si>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</si>
  <si>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</si>
  <si>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</si>
  <si>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</si>
  <si>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</si>
  <si>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</si>
  <si>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</si>
  <si>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</si>
  <si>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</si>
  <si>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</si>
  <si>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</si>
  <si>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</si>
  <si>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</si>
  <si>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</si>
  <si>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NOT UNDER</t>
  </si>
  <si>
    <t xml:space="preserve">ORION 1 </t>
  </si>
  <si>
    <t>#1</t>
  </si>
  <si>
    <t>BLACKWOODS</t>
  </si>
  <si>
    <t>951118/951623/951695/951702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</si>
</sst>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PB250400125</v>
      </c>
      <c r="C1" s="111"/>
      <c r="D1" s="112"/>
      <c r="E1" s="10" t="s">
        <v>57</v>
      </c>
      <c r="F1" s="122" t="s">
        <v>198</v>
      </c>
      <c r="G1" s="87"/>
      <c r="H1" s="88"/>
      <c r="I1" s="11" t="s">
        <v>181</v>
      </c>
      <c r="J1" s="84">
        <f ca="1">TODAY()</f>
        <v>46097</v>
      </c>
      <c r="K1" s="84"/>
      <c r="L1" s="85"/>
      <c r="M1" s="28"/>
      <c r="N1" s="10" t="s">
        <v>56</v>
      </c>
      <c r="O1" s="111" t="str">
        <f>B1</f>
        <v>PB250400125</v>
      </c>
      <c r="P1" s="111"/>
      <c r="Q1" s="112"/>
      <c r="R1" s="10" t="s">
        <v>57</v>
      </c>
      <c r="S1" s="111" t="str">
        <f>F1</f>
        <v>BLACKWOODS</v>
      </c>
      <c r="T1" s="111"/>
      <c r="U1" s="112"/>
      <c r="V1" s="10" t="s">
        <v>181</v>
      </c>
      <c r="W1" s="84">
        <f ca="1">J1</f>
        <v>46097</v>
      </c>
      <c r="X1" s="84"/>
      <c r="Y1" s="85"/>
    </row>
    <row r="2" spans="1:25" ht="20.100000000000001" customHeight="1" x14ac:dyDescent="0.25">
      <c r="A2" s="10" t="s">
        <v>100</v>
      </c>
      <c r="B2" s="111" t="str">
        <f>IF(U10="","",U10)</f>
        <v/>
      </c>
      <c r="C2" s="111"/>
      <c r="D2" s="112"/>
      <c r="E2" s="10" t="s">
        <v>58</v>
      </c>
      <c r="F2" s="87" t="s">
        <v>199</v>
      </c>
      <c r="G2" s="87"/>
      <c r="H2" s="88"/>
      <c r="I2" s="10" t="s">
        <v>59</v>
      </c>
      <c r="J2" s="86">
        <v>46106</v>
      </c>
      <c r="K2" s="87"/>
      <c r="L2" s="88"/>
      <c r="M2" s="28"/>
      <c r="N2" s="10" t="s">
        <v>100</v>
      </c>
      <c r="O2" s="111" t="str">
        <f>IF(B2="","",B2)</f>
        <v/>
      </c>
      <c r="P2" s="111"/>
      <c r="Q2" s="112"/>
      <c r="R2" s="10" t="s">
        <v>58</v>
      </c>
      <c r="S2" s="111" t="str">
        <f>IF(F2="","",F2)</f>
        <v>951118/951623/951695/951702</v>
      </c>
      <c r="T2" s="111"/>
      <c r="U2" s="112"/>
      <c r="V2" s="10" t="s">
        <v>59</v>
      </c>
      <c r="W2" s="123">
        <f>J2</f>
        <v>46106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16</v>
      </c>
      <c r="P7" s="88"/>
      <c r="Q7" s="10" t="str">
        <f>IF(ISNUMBER(SEARCH("roll",O8,1)),"Per Roll","Per Carton")</f>
        <v>Per Carton</v>
      </c>
      <c r="R7" s="87">
        <v>500</v>
      </c>
      <c r="S7" s="88"/>
      <c r="T7" s="10" t="str">
        <f>IF(ISNUMBER(SEARCH("bag",O8,1)),"Total Bags","Total Sheets")</f>
        <v>Total Bags</v>
      </c>
      <c r="U7" s="111">
        <f>R7*O7</f>
        <v>8000</v>
      </c>
      <c r="V7" s="112"/>
      <c r="W7" s="10" t="s">
        <v>102</v>
      </c>
      <c r="X7" s="87" t="s">
        <v>23</v>
      </c>
      <c r="Y7" s="88"/>
    </row>
    <row r="8" spans="1:25" ht="20.100000000000001" customHeight="1" x14ac:dyDescent="0.25">
      <c r="A8" s="12" t="s">
        <v>16</v>
      </c>
      <c r="B8" s="89">
        <f>R9</f>
        <v>250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125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6" t="s">
        <v>164</v>
      </c>
      <c r="P8" s="127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30</v>
      </c>
      <c r="L9" s="88"/>
      <c r="M9" s="28"/>
      <c r="N9" s="16"/>
      <c r="O9" s="128" t="str">
        <f>IF(O8="Poly Bag","PB",IF(O8="Poly Bag Roll","PBR",IF(O8="Centrefold Roll","CFR",IF(O8="Sheet","S",IF(O8="Sheet Roll","SR")))))</f>
        <v>PB</v>
      </c>
      <c r="P9" s="129"/>
      <c r="Q9" s="16"/>
      <c r="R9" s="29">
        <v>250</v>
      </c>
      <c r="S9" s="17" t="s">
        <v>78</v>
      </c>
      <c r="T9" s="29">
        <v>400</v>
      </c>
      <c r="U9" s="17" t="s">
        <v>78</v>
      </c>
      <c r="V9" s="29">
        <v>125</v>
      </c>
      <c r="W9" s="16"/>
      <c r="X9" s="137"/>
      <c r="Y9" s="138"/>
    </row>
    <row r="10" spans="1:25" ht="20.100000000000001" customHeight="1" x14ac:dyDescent="0.25">
      <c r="A10" s="10" t="s">
        <v>51</v>
      </c>
      <c r="B10" s="87">
        <v>10</v>
      </c>
      <c r="C10" s="88"/>
      <c r="D10" s="46" t="s">
        <v>134</v>
      </c>
      <c r="E10" s="101">
        <f>IF(ISNUMBER(SEARCH("sheet",O8,1)),((R9*T9*H8/540000)*U7/2000*1.3),((R9*T9*H8/540000)*U7/1000*1.08))</f>
        <v>200.00000000000003</v>
      </c>
      <c r="F10" s="102"/>
      <c r="G10" s="10" t="s">
        <v>53</v>
      </c>
      <c r="H10" s="105">
        <f>IF(ISNUMBER(SEARCH("sheet",O8,1)),(U7*T9/2000*1.08),(U7*T9/1000*1.08))</f>
        <v>3456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6" t="s">
        <v>44</v>
      </c>
      <c r="P10" s="127"/>
      <c r="Q10" s="13" t="s">
        <v>50</v>
      </c>
      <c r="R10" s="124" t="str">
        <f>IF(K11="NONE","None",IF(K11="INLINE","Yes",IF(K11="OUT OF LINE","Yes")))</f>
        <v>None</v>
      </c>
      <c r="S10" s="124"/>
      <c r="T10" s="13" t="s">
        <v>100</v>
      </c>
      <c r="U10" s="131"/>
      <c r="V10" s="131"/>
      <c r="W10" s="131"/>
      <c r="X10" s="131"/>
      <c r="Y10" s="132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20.000000000000004</v>
      </c>
      <c r="F11" s="104"/>
      <c r="G11" s="10" t="s">
        <v>15</v>
      </c>
      <c r="H11" s="103">
        <f>H10/B10</f>
        <v>345.6</v>
      </c>
      <c r="I11" s="104"/>
      <c r="J11" s="10" t="s">
        <v>50</v>
      </c>
      <c r="K11" s="87" t="s">
        <v>44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/>
      </c>
      <c r="S11" s="90"/>
      <c r="T11" s="12"/>
      <c r="U11" s="133"/>
      <c r="V11" s="133"/>
      <c r="W11" s="133"/>
      <c r="X11" s="133"/>
      <c r="Y11" s="134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0" t="s">
        <v>68</v>
      </c>
      <c r="B13" s="87" t="s">
        <v>44</v>
      </c>
      <c r="C13" s="87"/>
      <c r="D13" s="88"/>
      <c r="E13" s="18" t="s">
        <v>61</v>
      </c>
      <c r="F13" s="87" t="s">
        <v>44</v>
      </c>
      <c r="G13" s="87"/>
      <c r="H13" s="88"/>
      <c r="I13" s="10" t="s">
        <v>62</v>
      </c>
      <c r="J13" s="87" t="s">
        <v>44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16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110</v>
      </c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3"/>
      <c r="Y16" s="83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141"/>
      <c r="J17" s="142"/>
      <c r="K17" s="141"/>
      <c r="L17" s="142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31</v>
      </c>
      <c r="V17" s="88"/>
      <c r="W17" s="10" t="str">
        <f>IF(ISNUMBER(SEARCH("roll",O8,1)),"Total Rolls","Total Ctns")</f>
        <v>Total Ctns</v>
      </c>
      <c r="X17" s="143"/>
      <c r="Y17" s="83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141"/>
      <c r="J18" s="142"/>
      <c r="K18" s="141"/>
      <c r="L18" s="142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3"/>
      <c r="Y18" s="83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141"/>
      <c r="J19" s="142"/>
      <c r="K19" s="141"/>
      <c r="L19" s="142"/>
      <c r="M19" s="28"/>
      <c r="N19" s="144" t="s">
        <v>116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141"/>
      <c r="J20" s="142"/>
      <c r="K20" s="141"/>
      <c r="L20" s="142"/>
      <c r="M20" s="28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141"/>
      <c r="J21" s="142"/>
      <c r="K21" s="141"/>
      <c r="L21" s="142"/>
      <c r="M21" s="28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40"/>
      <c r="F22" s="83"/>
      <c r="G22" s="47" t="s">
        <v>86</v>
      </c>
      <c r="H22" s="31"/>
      <c r="I22" s="141"/>
      <c r="J22" s="142"/>
      <c r="K22" s="141"/>
      <c r="L22" s="142"/>
      <c r="M22" s="28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00000000000001" customHeight="1" x14ac:dyDescent="0.2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7" t="s">
        <v>87</v>
      </c>
      <c r="H23" s="31"/>
      <c r="I23" s="141"/>
      <c r="J23" s="142"/>
      <c r="K23" s="141"/>
      <c r="L23" s="142"/>
      <c r="M23" s="28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7" t="s">
        <v>88</v>
      </c>
      <c r="H24" s="31"/>
      <c r="I24" s="141"/>
      <c r="J24" s="142"/>
      <c r="K24" s="141"/>
      <c r="L24" s="14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196</v>
      </c>
      <c r="P25" s="33"/>
      <c r="Q25" s="9">
        <v>24</v>
      </c>
      <c r="R25" s="9"/>
      <c r="S25" s="9"/>
      <c r="T25" s="9"/>
      <c r="U25" s="9"/>
      <c r="V25" s="9"/>
      <c r="W25" s="9">
        <v>175</v>
      </c>
      <c r="X25" s="9">
        <v>175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1" t="s">
        <v>96</v>
      </c>
      <c r="B27" s="7" t="s">
        <v>197</v>
      </c>
      <c r="C27" s="7"/>
      <c r="D27" s="9">
        <v>96</v>
      </c>
      <c r="E27" s="58">
        <v>2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scale="87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46128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46118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8D6CF64-E744-41E7-B2F9-197BD9FFF636}"/>
</file>

<file path=customXml/itemProps2.xml><?xml version="1.0" encoding="utf-8"?>
<ds:datastoreItem xmlns:ds="http://schemas.openxmlformats.org/officeDocument/2006/customXml" ds:itemID="{264986A7-AE4B-48E4-9E2C-F5A79AEC54BE}"/>
</file>

<file path=customXml/itemProps3.xml><?xml version="1.0" encoding="utf-8"?>
<ds:datastoreItem xmlns:ds="http://schemas.openxmlformats.org/officeDocument/2006/customXml" ds:itemID="{AB8AD9BB-FF8F-454E-91EE-6F53F6766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2026-03-04T09:22:06Z</cp:lastPrinted>
  <dcterms:created xsi:type="dcterms:W3CDTF">2019-11-27T23:28:06Z</dcterms:created>
  <dcterms:modified xsi:type="dcterms:W3CDTF">2026-03-16T04:17:38Z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