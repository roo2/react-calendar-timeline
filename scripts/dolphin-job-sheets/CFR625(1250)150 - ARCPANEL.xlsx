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C36702A-3699-41F0-BFDE-C4325EB3A5C6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<sst xmlns="http://schemas.openxmlformats.org/spreadsheetml/2006/main" count="225" uniqueCount="166">
  <si>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</si>
  <si>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</si>
  <si>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</si>
  <si>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</si>
  <si>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</si>
  <si>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</si>
  <si>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</si>
  <si>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</si>
  <si>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</si>
  <si>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</si>
  <si>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</si>
  <si>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</si>
  <si>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</si>
  <si>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</si>
  <si>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</si>
  <si>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</si>
  <si>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</si>
  <si>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</si>
  <si>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</si>
  <si>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</si>
  <si>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</si>
  <si>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</si>
  <si>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</si>
  <si>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</si>
  <si>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</si>
  <si>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</si>
  <si>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</si>
  <si>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</si>
  <si>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</si>
  <si>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</si>
  <si>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</si>
  <si>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</si>
  <si>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</si>
  <si>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</si>
  <si>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</si>
  <si>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</si>
  <si>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</si>
  <si>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</si>
  <si>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</si>
  <si>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</si>
  <si>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</si>
  <si>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</si>
  <si>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</si>
  <si>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</si>
  <si>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</si>
  <si>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</si>
  <si>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</si>
  <si>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</si>
  <si>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</si>
  <si>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</si>
  <si>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</si>
  <si>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</si>
  <si>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</si>
  <si>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</si>
  <si>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</si>
  <si>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</si>
  <si>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</si>
  <si>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</si>
  <si>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</si>
  <si>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</si>
  <si>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</si>
  <si>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</si>
  <si>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</si>
  <si>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</si>
  <si>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</si>
  <si>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</si>
  <si>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</si>
  <si>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</si>
  <si>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</si>
  <si>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</si>
  <si>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</si>
  <si>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</si>
  <si>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</si>
  <si>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</si>
  <si>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</si>
  <si>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</si>
  <si>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</si>
  <si>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</si>
  <si>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</si>
  <si>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</si>
  <si>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</si>
  <si>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</si>
  <si>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</si>
  <si>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</si>
  <si>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</si>
  <si>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</si>
  <si>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</si>
  <si>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</si>
  <si>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</si>
  <si>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</si>
  <si>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</si>
  <si>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</si>
  <si>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</si>
  <si>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</si>
  <si>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</si>
  <si>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</si>
  <si>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</si>
  <si>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</si>
  <si>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</si>
  <si>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</si>
  <si>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</si>
  <si>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</si>
  <si>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</si>
  <si>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</si>
  <si>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</si>
  <si>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</si>
  <si>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</si>
  <si>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</si>
  <si>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</si>
  <si>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</si>
  <si>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</si>
  <si>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</si>
  <si>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</si>
  <si>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</si>
  <si>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</si>
  <si>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</si>
  <si>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</si>
  <si>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</si>
  <si>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</si>
  <si>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</si>
  <si>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</si>
  <si>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</si>
  <si>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</si>
  <si>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</si>
  <si>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</si>
  <si>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</si>
  <si>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</si>
  <si>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</si>
  <si>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</si>
  <si>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</si>
  <si>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</si>
  <si>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</si>
  <si>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</si>
  <si>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</si>
  <si>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</si>
  <si>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</si>
  <si>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</si>
  <si>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</si>
  <si>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</si>
  <si>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</si>
  <si>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</si>
  <si>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</si>
  <si>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</si>
  <si>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</si>
  <si>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</si>
  <si>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</si>
  <si>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</si>
  <si>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</si>
  <si>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</si>
  <si>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</si>
  <si>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</si>
  <si>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</si>
  <si>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</si>
  <si>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</si>
  <si>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</si>
  <si>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</si>
  <si>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</si>
  <si>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</si>
  <si>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</si>
  <si>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</si>
  <si>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</si>
  <si>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</si>
  <si>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</si>
  <si>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ARCPANEL</t>
  </si>
  <si>
    <t xml:space="preserve"> +/- 10mm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</si>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</sst>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O8" sqref="O8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CFR625(1250)150</v>
      </c>
      <c r="C1" s="61"/>
      <c r="D1" s="62"/>
      <c r="E1" s="11" t="s">
        <v>55</v>
      </c>
      <c r="F1" s="51" t="s">
        <v>163</v>
      </c>
      <c r="G1" s="51"/>
      <c r="H1" s="52"/>
      <c r="I1" s="11" t="s">
        <v>148</v>
      </c>
      <c r="J1" s="76">
        <f ca="1">TODAY()</f>
        <v>45574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150M</v>
      </c>
      <c r="C2" s="65"/>
      <c r="D2" s="66"/>
      <c r="E2" s="11" t="s">
        <v>56</v>
      </c>
      <c r="F2" s="51">
        <v>57167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161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146</v>
      </c>
      <c r="K7" s="91"/>
      <c r="L7" s="92"/>
    </row>
    <row r="8" spans="1:14" ht="20.149999999999999" customHeight="1" x14ac:dyDescent="0.8">
      <c r="A8" s="12" t="s">
        <v>14</v>
      </c>
      <c r="B8" s="97">
        <v>625</v>
      </c>
      <c r="C8" s="98"/>
      <c r="D8" s="12" t="str">
        <f>IF(B7="Tube","Gusset","Centrefold")</f>
        <v>Centrefold</v>
      </c>
      <c r="E8" s="93">
        <f>IF(B7="Cont Centrefold",B8*2,"")</f>
        <v>1250</v>
      </c>
      <c r="F8" s="94"/>
      <c r="G8" s="12" t="s">
        <v>50</v>
      </c>
      <c r="H8" s="97">
        <v>150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164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165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32</v>
      </c>
      <c r="C10" s="52"/>
      <c r="D10" s="36" t="s">
        <v>104</v>
      </c>
      <c r="E10" s="85">
        <f>E11*B10</f>
        <v>833.33333333333337</v>
      </c>
      <c r="F10" s="86"/>
      <c r="G10" s="11" t="s">
        <v>51</v>
      </c>
      <c r="H10" s="65">
        <f>H11*B10</f>
        <v>4800</v>
      </c>
      <c r="I10" s="66"/>
      <c r="J10" s="11" t="s">
        <v>39</v>
      </c>
      <c r="K10" s="51" t="s">
        <v>40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>CF Rolls</v>
      </c>
      <c r="B11" s="83">
        <f>IF(AND(B7="Cont Centrefold",D9="RUN 2 UP"),B10*2,IF(B7="Cont Centrefold",B10,IF(B7="Cont Sheet Roll",B10*2,"")))</f>
        <v>32</v>
      </c>
      <c r="C11" s="84"/>
      <c r="D11" s="42" t="s">
        <v>105</v>
      </c>
      <c r="E11" s="87">
        <f>IF(D9="RUN 2 UP",(B8*H8*H11/540000)*2,(B8*H8*H11/540000))</f>
        <v>26.041666666666668</v>
      </c>
      <c r="F11" s="88"/>
      <c r="G11" s="42" t="s">
        <v>13</v>
      </c>
      <c r="H11" s="89">
        <v>150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32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>
        <v>0.2</v>
      </c>
      <c r="F19" s="104"/>
      <c r="G19" s="10" t="s">
        <v>76</v>
      </c>
      <c r="H19" s="31">
        <v>400</v>
      </c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>
        <v>0.8</v>
      </c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4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45605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45595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145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136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144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137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138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139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140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141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142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145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143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143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326A095-2692-4DDD-8E29-FAEAADEF3DBD}"/>
</file>

<file path=customXml/itemProps2.xml><?xml version="1.0" encoding="utf-8"?>
<ds:datastoreItem xmlns:ds="http://schemas.openxmlformats.org/officeDocument/2006/customXml" ds:itemID="{213F3AA2-340F-449C-8695-F561C106CE69}"/>
</file>

<file path=customXml/itemProps3.xml><?xml version="1.0" encoding="utf-8"?>
<ds:datastoreItem xmlns:ds="http://schemas.openxmlformats.org/officeDocument/2006/customXml" ds:itemID="{42047991-7952-455B-9B69-657C4000D5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2023-04-05T00:13:59Z</cp:lastPrinted>
  <dcterms:created xsi:type="dcterms:W3CDTF">2019-11-27T23:28:06Z</dcterms:created>
  <dcterms:modified xsi:type="dcterms:W3CDTF">2024-10-14T23:16:28Z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