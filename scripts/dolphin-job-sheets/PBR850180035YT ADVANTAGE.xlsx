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3D857608-41D8-4A77-B6CE-DBE02391C6AF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<sst xmlns="http://schemas.openxmlformats.org/spreadsheetml/2006/main" count="301" uniqueCount="199">
  <si>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</si>
  <si>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</si>
  <si>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</si>
  <si>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</si>
  <si>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</si>
  <si>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</si>
  <si>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</si>
  <si>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</si>
  <si>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</si>
  <si>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</si>
  <si>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</si>
  <si>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</si>
  <si>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</si>
  <si>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</si>
  <si>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</si>
  <si>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</si>
  <si>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</si>
  <si>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</si>
  <si>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</si>
  <si>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</si>
  <si>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</si>
  <si>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</si>
  <si>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</si>
  <si>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</si>
  <si>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</si>
  <si>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</si>
  <si>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</si>
  <si>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</si>
  <si>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</si>
  <si>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</si>
  <si>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</si>
  <si>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</si>
  <si>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</si>
  <si>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</si>
  <si>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</si>
  <si>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</si>
  <si>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</si>
  <si>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</si>
  <si>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</si>
  <si>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</si>
  <si>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</si>
  <si>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</si>
  <si>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</si>
  <si>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</si>
  <si>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</si>
  <si>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</si>
  <si>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</si>
  <si>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</si>
  <si>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</si>
  <si>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</si>
  <si>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</si>
  <si>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</si>
  <si>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</si>
  <si>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</si>
  <si>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</si>
  <si>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</si>
  <si>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</si>
  <si>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</si>
  <si>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</si>
  <si>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</si>
  <si>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</si>
  <si>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</si>
  <si>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</si>
  <si>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</si>
  <si>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</si>
  <si>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</si>
  <si>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</si>
  <si>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</si>
  <si>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</si>
  <si>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</si>
  <si>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</si>
  <si>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</si>
  <si>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</si>
  <si>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</si>
  <si>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</si>
  <si>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</si>
  <si>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</si>
  <si>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</si>
  <si>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</si>
  <si>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</si>
  <si>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</si>
  <si>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</si>
  <si>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</si>
  <si>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</si>
  <si>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</si>
  <si>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</si>
  <si>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</si>
  <si>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</si>
  <si>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</si>
  <si>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</si>
  <si>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</si>
  <si>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</si>
  <si>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</si>
  <si>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</si>
  <si>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</si>
  <si>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</si>
  <si>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</si>
  <si>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</si>
  <si>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</si>
  <si>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</si>
  <si>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</si>
  <si>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</si>
  <si>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</si>
  <si>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</si>
  <si>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</si>
  <si>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</si>
  <si>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</si>
  <si>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</si>
  <si>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</si>
  <si>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</si>
  <si>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</si>
  <si>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</si>
  <si>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</si>
  <si>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</si>
  <si>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</si>
  <si>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</si>
  <si>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</si>
  <si>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</si>
  <si>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</si>
  <si>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</si>
  <si>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</si>
  <si>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</si>
  <si>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</si>
  <si>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</si>
  <si>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</si>
  <si>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</si>
  <si>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</si>
  <si>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</si>
  <si>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</si>
  <si>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</si>
  <si>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</si>
  <si>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</si>
  <si>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</si>
  <si>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</si>
  <si>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</si>
  <si>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</si>
  <si>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</si>
  <si>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</si>
  <si>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</si>
  <si>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</si>
  <si>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</si>
  <si>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</si>
  <si>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</si>
  <si>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</si>
  <si>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</si>
  <si>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</si>
  <si>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</si>
  <si>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</si>
  <si>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</si>
  <si>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</si>
  <si>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</si>
  <si>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</si>
  <si>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</si>
  <si>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</si>
  <si>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</si>
  <si>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</si>
  <si>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</si>
  <si>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</si>
  <si>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</si>
  <si>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</si>
  <si>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</si>
  <si>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</si>
  <si>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</si>
  <si>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</si>
  <si>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</si>
  <si>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</si>
  <si>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</si>
  <si>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</si>
  <si>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</si>
  <si>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</si>
  <si>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</si>
  <si>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</si>
  <si>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</si>
  <si>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</si>
  <si>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</si>
  <si>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</si>
  <si>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</si>
  <si>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</si>
  <si>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</si>
  <si>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</si>
  <si>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</si>
  <si>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</si>
  <si>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</si>
  <si>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</si>
  <si>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</si>
  <si>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</si>
  <si>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</si>
  <si>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</si>
  <si>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</si>
  <si>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</si>
  <si>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</si>
  <si>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</si>
  <si>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</si>
  <si>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</si>
  <si>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</si>
  <si>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 xml:space="preserve"> +/- 5um</t>
  </si>
  <si>
    <t>ADVANTAGE AIR</t>
  </si>
  <si>
    <t>BLACK TINT</t>
  </si>
  <si>
    <t>UD356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</si>
</sst>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tr">
        <f>O9&amp;R9&amp;IF(X8="G","G","")&amp;IF(O8="Centrefold Roll","("&amp;E8&amp;")","")&amp;T9&amp;V9&amp;C22&amp;C23&amp;C24&amp;O11&amp;R11</f>
        <v>PBR850180035YT</v>
      </c>
      <c r="C1" s="124"/>
      <c r="D1" s="125"/>
      <c r="E1" s="12" t="s">
        <v>57</v>
      </c>
      <c r="F1" s="135" t="s">
        <v>196</v>
      </c>
      <c r="G1" s="135"/>
      <c r="H1" s="136"/>
      <c r="I1" s="13" t="s">
        <v>181</v>
      </c>
      <c r="J1" s="137">
        <f ca="1">TODAY()</f>
        <v>44315</v>
      </c>
      <c r="K1" s="137"/>
      <c r="L1" s="138"/>
      <c r="M1" s="34"/>
      <c r="N1" s="12" t="s">
        <v>56</v>
      </c>
      <c r="O1" s="124" t="str">
        <f>B1</f>
        <v>PBR850180035YT</v>
      </c>
      <c r="P1" s="124"/>
      <c r="Q1" s="125"/>
      <c r="R1" s="12" t="s">
        <v>57</v>
      </c>
      <c r="S1" s="124" t="str">
        <f>F1</f>
        <v>ADVANTAGE AIR</v>
      </c>
      <c r="T1" s="124"/>
      <c r="U1" s="125"/>
      <c r="V1" s="12" t="s">
        <v>181</v>
      </c>
      <c r="W1" s="137">
        <f ca="1">J1</f>
        <v>44315</v>
      </c>
      <c r="X1" s="137"/>
      <c r="Y1" s="138"/>
    </row>
    <row r="2" spans="1:28" ht="20.100000000000001" customHeight="1" x14ac:dyDescent="0.25">
      <c r="A2" s="12" t="s">
        <v>100</v>
      </c>
      <c r="B2" s="124" t="str">
        <f>IF(U10="","",U10)</f>
        <v>UD356</v>
      </c>
      <c r="C2" s="124"/>
      <c r="D2" s="125"/>
      <c r="E2" s="12" t="s">
        <v>58</v>
      </c>
      <c r="F2" s="73">
        <v>940168</v>
      </c>
      <c r="G2" s="73"/>
      <c r="H2" s="74"/>
      <c r="I2" s="12" t="s">
        <v>59</v>
      </c>
      <c r="J2" s="140">
        <v>44345</v>
      </c>
      <c r="K2" s="73"/>
      <c r="L2" s="74"/>
      <c r="M2" s="34"/>
      <c r="N2" s="12" t="s">
        <v>100</v>
      </c>
      <c r="O2" s="124" t="str">
        <f>IF(B2="","",B2)</f>
        <v>UD356</v>
      </c>
      <c r="P2" s="124"/>
      <c r="Q2" s="125"/>
      <c r="R2" s="12" t="s">
        <v>58</v>
      </c>
      <c r="S2" s="124">
        <f>IF(F2="","",F2)</f>
        <v>940168</v>
      </c>
      <c r="T2" s="124"/>
      <c r="U2" s="125"/>
      <c r="V2" s="12" t="s">
        <v>59</v>
      </c>
      <c r="W2" s="139">
        <f>J2</f>
        <v>44345</v>
      </c>
      <c r="X2" s="124"/>
      <c r="Y2" s="125"/>
    </row>
    <row r="3" spans="1:28" ht="20.100000000000001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  <c r="M3" s="34"/>
      <c r="N3" s="126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</row>
    <row r="4" spans="1:28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34"/>
      <c r="N4" s="129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/>
    </row>
    <row r="5" spans="1:28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  <c r="M5" s="34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1:28" ht="20.100000000000001" customHeight="1" x14ac:dyDescent="0.25">
      <c r="A6" s="142" t="s">
        <v>2</v>
      </c>
      <c r="B6" s="143"/>
      <c r="C6" s="143"/>
      <c r="D6" s="143"/>
      <c r="E6" s="143"/>
      <c r="F6" s="143"/>
      <c r="G6" s="143"/>
      <c r="H6" s="143"/>
      <c r="I6" s="143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157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Rolls</v>
      </c>
      <c r="O7" s="73">
        <v>5</v>
      </c>
      <c r="P7" s="74"/>
      <c r="Q7" s="12" t="str">
        <f>IF(ISNUMBER(SEARCH("roll",O8,1)),"Per Roll","Per Carton")</f>
        <v>Per Roll</v>
      </c>
      <c r="R7" s="73">
        <v>200</v>
      </c>
      <c r="S7" s="74"/>
      <c r="T7" s="12" t="str">
        <f>IF(ISNUMBER(SEARCH("bag",O8,1)),"Total Bags","Total Sheets")</f>
        <v>Total Bags</v>
      </c>
      <c r="U7" s="124">
        <f>R7*O7</f>
        <v>1000</v>
      </c>
      <c r="V7" s="125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850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35</v>
      </c>
      <c r="I8" s="112"/>
      <c r="J8" s="12" t="s">
        <v>54</v>
      </c>
      <c r="K8" s="124" t="str">
        <f>IF(X8="None","Layflat Tube",IF(X8="","Layflat Tube",IF(X8="CF","Layflat Tube",IF(X8="G","Gusset Tube",IF(X9="","Layflat Tube",)))))</f>
        <v>Layflat Tube</v>
      </c>
      <c r="L8" s="125"/>
      <c r="M8" s="34"/>
      <c r="N8" s="16" t="s">
        <v>54</v>
      </c>
      <c r="O8" s="113" t="s">
        <v>165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4" t="s">
        <v>194</v>
      </c>
      <c r="C9" s="145"/>
      <c r="D9" s="152" t="str">
        <f>IF(K10="Middle","RUN 2 UP",IF(AND(O8="Centrefold Roll",B8=380),"RUN 2 UP",""))</f>
        <v/>
      </c>
      <c r="E9" s="115"/>
      <c r="F9" s="116"/>
      <c r="G9" s="18" t="s">
        <v>48</v>
      </c>
      <c r="H9" s="144" t="s">
        <v>195</v>
      </c>
      <c r="I9" s="145"/>
      <c r="J9" s="12" t="s">
        <v>55</v>
      </c>
      <c r="K9" s="73" t="s">
        <v>34</v>
      </c>
      <c r="L9" s="74"/>
      <c r="M9" s="34"/>
      <c r="N9" s="19"/>
      <c r="O9" s="117" t="str">
        <f>IF(O8="Poly Bag","PB",IF(O8="Poly Bag Roll","PBR",IF(O8="Centrefold Roll","CFR",IF(O8="Sheet","S",IF(O8="Sheet Roll","SR")))))</f>
        <v>PBR</v>
      </c>
      <c r="P9" s="118"/>
      <c r="Q9" s="19"/>
      <c r="R9" s="35">
        <v>850</v>
      </c>
      <c r="S9" s="20" t="s">
        <v>78</v>
      </c>
      <c r="T9" s="35">
        <v>1800</v>
      </c>
      <c r="U9" s="20" t="s">
        <v>78</v>
      </c>
      <c r="V9" s="35">
        <v>35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5</v>
      </c>
      <c r="C10" s="74"/>
      <c r="D10" s="54" t="s">
        <v>134</v>
      </c>
      <c r="E10" s="146">
        <f>IF(ISNUMBER(SEARCH("sheet",O8,1)),((R9*T9*H8/540000)*U7/2000*1.3),((R9*T9*H8/540000)*U7/1000*1.08))</f>
        <v>107.10000000000001</v>
      </c>
      <c r="F10" s="147"/>
      <c r="G10" s="12" t="s">
        <v>53</v>
      </c>
      <c r="H10" s="150">
        <f>IF(ISNUMBER(SEARCH("sheet",O8,1)),(U7*T9/2000*1.08),(U7*T9/1000*1.08))</f>
        <v>1944.0000000000002</v>
      </c>
      <c r="I10" s="151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 t="s">
        <v>198</v>
      </c>
      <c r="V10" s="119"/>
      <c r="W10" s="119"/>
      <c r="X10" s="120"/>
      <c r="Y10" s="121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48">
        <f>E10/B10</f>
        <v>21.42</v>
      </c>
      <c r="F11" s="149"/>
      <c r="G11" s="12" t="s">
        <v>15</v>
      </c>
      <c r="H11" s="148">
        <f>H10/B10</f>
        <v>388.80000000000007</v>
      </c>
      <c r="I11" s="149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2"/>
      <c r="V11" s="122"/>
      <c r="W11" s="122"/>
      <c r="X11" s="122"/>
      <c r="Y11" s="123"/>
    </row>
    <row r="12" spans="1:28" ht="20.100000000000001" customHeight="1" x14ac:dyDescent="0.25">
      <c r="A12" s="141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6" t="s">
        <v>4</v>
      </c>
      <c r="F16" s="156"/>
      <c r="G16" s="156" t="s">
        <v>5</v>
      </c>
      <c r="H16" s="156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/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/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Rolls</v>
      </c>
      <c r="U17" s="73" t="s">
        <v>31</v>
      </c>
      <c r="V17" s="74"/>
      <c r="W17" s="12" t="str">
        <f>IF(ISNUMBER(SEARCH("roll",O8,1)),"Total Rolls","Total Ctns")</f>
        <v>Total Rolls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/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>YELLOW TINT</v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YT</v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7"/>
      <c r="B23" s="157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8"/>
      <c r="B24" s="159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3" t="s">
        <v>136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Sheet2!$N$54:$N$55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Sheet2!$A$9:$A$29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Sheet2!$N$24:$N$29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37" zoomScaleNormal="100" workbookViewId="0">
      <selection activeCell="A28" sqref="A28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44345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44336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197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1"/>
      <c r="P28" s="1"/>
      <c r="Q28" s="1"/>
      <c r="R28" s="1"/>
      <c r="S28" s="1"/>
      <c r="T28" s="1"/>
      <c r="V28" s="1"/>
      <c r="W28" s="2"/>
    </row>
    <row r="29" spans="1:23" x14ac:dyDescent="0.25">
      <c r="A29" s="64" t="s">
        <v>184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 t="s">
        <v>140</v>
      </c>
      <c r="U29" s="1"/>
      <c r="V29" s="1"/>
    </row>
    <row r="30" spans="1:23" x14ac:dyDescent="0.25">
      <c r="A30" s="5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7"/>
      <c r="U30" s="1"/>
      <c r="V30" s="1"/>
    </row>
    <row r="31" spans="1:23" x14ac:dyDescent="0.25">
      <c r="A31" s="66" t="s">
        <v>46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6" t="s">
        <v>28</v>
      </c>
      <c r="U31" s="1"/>
      <c r="V31" s="1"/>
    </row>
    <row r="32" spans="1:23" x14ac:dyDescent="0.25">
      <c r="A32" s="5" t="s">
        <v>30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 t="s">
        <v>168</v>
      </c>
      <c r="U32" s="1"/>
      <c r="V32" s="1"/>
    </row>
    <row r="33" spans="1:22" x14ac:dyDescent="0.25">
      <c r="A33" s="5" t="s">
        <v>34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110</v>
      </c>
      <c r="U33" s="1"/>
      <c r="V33" s="1"/>
    </row>
    <row r="34" spans="1:22" x14ac:dyDescent="0.25">
      <c r="A34" s="5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130</v>
      </c>
      <c r="U34" s="1"/>
      <c r="V34" s="1"/>
    </row>
    <row r="35" spans="1:22" x14ac:dyDescent="0.25">
      <c r="A35" s="66" t="s">
        <v>47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150</v>
      </c>
      <c r="U35" s="1"/>
      <c r="V35" s="1"/>
    </row>
    <row r="36" spans="1:22" x14ac:dyDescent="0.25">
      <c r="A36" s="5" t="s">
        <v>44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>
        <v>180</v>
      </c>
      <c r="U36" s="1"/>
      <c r="V36" s="1"/>
    </row>
    <row r="37" spans="1:22" x14ac:dyDescent="0.25">
      <c r="A37" s="5" t="s">
        <v>42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169</v>
      </c>
      <c r="U37" s="1"/>
      <c r="V37" s="1"/>
    </row>
    <row r="38" spans="1:22" x14ac:dyDescent="0.25">
      <c r="A38" s="5" t="s">
        <v>43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170</v>
      </c>
      <c r="U38" s="1"/>
      <c r="V38" s="1"/>
    </row>
    <row r="39" spans="1:22" x14ac:dyDescent="0.25">
      <c r="A39" s="5" t="s">
        <v>45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5" t="s">
        <v>38</v>
      </c>
      <c r="U39" s="1"/>
      <c r="V39" s="1"/>
    </row>
    <row r="40" spans="1:22" x14ac:dyDescent="0.25">
      <c r="A40" s="62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</row>
    <row r="41" spans="1:22" x14ac:dyDescent="0.25">
      <c r="A41" s="66" t="s">
        <v>63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6" t="s">
        <v>26</v>
      </c>
    </row>
    <row r="42" spans="1:22" x14ac:dyDescent="0.25">
      <c r="A42" s="5" t="s">
        <v>44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35</v>
      </c>
    </row>
    <row r="43" spans="1:22" x14ac:dyDescent="0.25">
      <c r="A43" s="5" t="s">
        <v>65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37</v>
      </c>
    </row>
    <row r="44" spans="1:22" x14ac:dyDescent="0.25">
      <c r="A44" s="5" t="s">
        <v>64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 t="s">
        <v>171</v>
      </c>
    </row>
    <row r="45" spans="1:22" x14ac:dyDescent="0.2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5"/>
    </row>
    <row r="46" spans="1:22" x14ac:dyDescent="0.25">
      <c r="A46" s="66" t="s">
        <v>68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6" t="s">
        <v>101</v>
      </c>
    </row>
    <row r="47" spans="1:22" x14ac:dyDescent="0.25">
      <c r="A47" s="5" t="s">
        <v>44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38</v>
      </c>
    </row>
    <row r="48" spans="1:22" x14ac:dyDescent="0.25">
      <c r="A48" s="5" t="s">
        <v>70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32</v>
      </c>
    </row>
    <row r="49" spans="1:20" x14ac:dyDescent="0.25">
      <c r="A49" s="5" t="s">
        <v>69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172</v>
      </c>
    </row>
    <row r="50" spans="1:20" x14ac:dyDescent="0.25">
      <c r="A50" s="62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183</v>
      </c>
    </row>
    <row r="51" spans="1:20" x14ac:dyDescent="0.25">
      <c r="A51" s="66" t="s">
        <v>61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5" t="s">
        <v>185</v>
      </c>
    </row>
    <row r="52" spans="1:20" x14ac:dyDescent="0.25">
      <c r="A52" s="5" t="s">
        <v>44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</row>
    <row r="53" spans="1:20" x14ac:dyDescent="0.25">
      <c r="A53" s="5" t="s">
        <v>66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5" t="s">
        <v>173</v>
      </c>
    </row>
    <row r="54" spans="1:20" x14ac:dyDescent="0.25">
      <c r="A54" s="5" t="s">
        <v>67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31</v>
      </c>
    </row>
    <row r="55" spans="1:20" x14ac:dyDescent="0.25">
      <c r="A55" s="62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2" t="s">
        <v>23</v>
      </c>
    </row>
    <row r="56" spans="1:20" x14ac:dyDescent="0.25">
      <c r="A56" s="65" t="s">
        <v>62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</row>
    <row r="57" spans="1:20" x14ac:dyDescent="0.25">
      <c r="A57" s="62" t="s">
        <v>44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6" t="s">
        <v>27</v>
      </c>
    </row>
    <row r="58" spans="1:20" x14ac:dyDescent="0.25">
      <c r="A58" s="63" t="s">
        <v>177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36</v>
      </c>
      <c r="O58" s="1"/>
      <c r="P58" s="1"/>
      <c r="Q58" s="1"/>
      <c r="R58" s="1"/>
      <c r="S58" s="1"/>
      <c r="T58" s="1"/>
    </row>
    <row r="59" spans="1:20" x14ac:dyDescent="0.25">
      <c r="A59" s="64" t="s">
        <v>155</v>
      </c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2" t="s">
        <v>33</v>
      </c>
    </row>
    <row r="60" spans="1:20" x14ac:dyDescent="0.25">
      <c r="A60" s="64" t="s">
        <v>148</v>
      </c>
    </row>
    <row r="61" spans="1:20" x14ac:dyDescent="0.25">
      <c r="A61" s="64" t="s">
        <v>149</v>
      </c>
      <c r="O61" s="1"/>
      <c r="Q61" s="1"/>
      <c r="R61" s="3"/>
      <c r="S61" s="1"/>
    </row>
    <row r="62" spans="1:20" x14ac:dyDescent="0.25">
      <c r="A62" s="64" t="s">
        <v>150</v>
      </c>
      <c r="O62" s="1"/>
      <c r="Q62" s="1"/>
      <c r="R62" s="1"/>
      <c r="S62" s="1"/>
    </row>
    <row r="63" spans="1:20" x14ac:dyDescent="0.25">
      <c r="A63" s="64" t="s">
        <v>151</v>
      </c>
      <c r="O63" s="1"/>
      <c r="Q63" s="1"/>
      <c r="R63" s="1"/>
      <c r="S63" s="1"/>
    </row>
    <row r="64" spans="1:20" x14ac:dyDescent="0.25">
      <c r="A64" s="64" t="s">
        <v>152</v>
      </c>
      <c r="O64" s="1"/>
      <c r="Q64" s="1"/>
      <c r="R64" s="1"/>
      <c r="S64" s="1"/>
      <c r="T64" s="1"/>
    </row>
    <row r="65" spans="1:20" x14ac:dyDescent="0.25">
      <c r="A65" s="64" t="s">
        <v>153</v>
      </c>
      <c r="O65" s="1"/>
      <c r="Q65" s="1"/>
      <c r="R65" s="1"/>
      <c r="S65" s="1"/>
      <c r="T65" s="1"/>
    </row>
    <row r="66" spans="1:20" x14ac:dyDescent="0.25">
      <c r="A66" s="64" t="s">
        <v>174</v>
      </c>
      <c r="N66" s="3"/>
      <c r="O66" s="1"/>
      <c r="P66" s="1"/>
      <c r="Q66" s="1"/>
      <c r="R66" s="1"/>
      <c r="S66" s="1"/>
      <c r="T66" s="1"/>
    </row>
    <row r="67" spans="1:20" x14ac:dyDescent="0.25">
      <c r="A67" s="64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  <c r="O69" s="1"/>
      <c r="P69" s="1"/>
      <c r="Q69" s="1"/>
      <c r="R69" s="1"/>
      <c r="S69" s="1"/>
      <c r="T69" s="1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5CD444E-A9B6-4966-9E36-6CCFC2356770}"/>
</file>

<file path=customXml/itemProps2.xml><?xml version="1.0" encoding="utf-8"?>
<ds:datastoreItem xmlns:ds="http://schemas.openxmlformats.org/officeDocument/2006/customXml" ds:itemID="{E61A2DD6-5ED4-40FE-9E86-CCD321C0B6A5}"/>
</file>

<file path=customXml/itemProps3.xml><?xml version="1.0" encoding="utf-8"?>
<ds:datastoreItem xmlns:ds="http://schemas.openxmlformats.org/officeDocument/2006/customXml" ds:itemID="{64F4C254-B97A-4B97-B51B-4A6DA4D083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2021-04-29T01:11:24Z</cp:lastPrinted>
  <dcterms:created xsi:type="dcterms:W3CDTF">2019-11-27T23:28:06Z</dcterms:created>
  <dcterms:modified xsi:type="dcterms:W3CDTF">2021-04-29T01:11:40Z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