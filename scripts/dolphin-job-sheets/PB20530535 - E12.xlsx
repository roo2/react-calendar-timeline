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5D12399-1D93-41BB-9C8D-7EA3F0D0BFC4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<sst xmlns="http://schemas.openxmlformats.org/spreadsheetml/2006/main" count="305" uniqueCount="202">
  <si>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</si>
  <si>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</si>
  <si>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</si>
  <si>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</si>
  <si>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</si>
  <si>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</si>
  <si>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</si>
  <si>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</si>
  <si>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</si>
  <si>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</si>
  <si>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</si>
  <si>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</si>
  <si>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</si>
  <si>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</si>
  <si>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</si>
  <si>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</si>
  <si>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</si>
  <si>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</si>
  <si>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</si>
  <si>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</si>
  <si>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</si>
  <si>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</si>
  <si>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</si>
  <si>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</si>
  <si>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</si>
  <si>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</si>
  <si>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</si>
  <si>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</si>
  <si>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</si>
  <si>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</si>
  <si>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</si>
  <si>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</si>
  <si>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</si>
  <si>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</si>
  <si>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</si>
  <si>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</si>
  <si>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</si>
  <si>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</si>
  <si>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</si>
  <si>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</si>
  <si>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</si>
  <si>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</si>
  <si>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</si>
  <si>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</si>
  <si>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</si>
  <si>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</si>
  <si>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</si>
  <si>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</si>
  <si>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</si>
  <si>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</si>
  <si>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</si>
  <si>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</si>
  <si>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</si>
  <si>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</si>
  <si>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</si>
  <si>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</si>
  <si>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</si>
  <si>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</si>
  <si>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</si>
  <si>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</si>
  <si>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</si>
  <si>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</si>
  <si>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</si>
  <si>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</si>
  <si>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</si>
  <si>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</si>
  <si>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</si>
  <si>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</si>
  <si>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</si>
  <si>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</si>
  <si>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</si>
  <si>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</si>
  <si>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</si>
  <si>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</si>
  <si>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</si>
  <si>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</si>
  <si>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</si>
  <si>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</si>
  <si>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</si>
  <si>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</si>
  <si>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</si>
  <si>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</si>
  <si>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</si>
  <si>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</si>
  <si>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</si>
  <si>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</si>
  <si>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</si>
  <si>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</si>
  <si>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</si>
  <si>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</si>
  <si>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</si>
  <si>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</si>
  <si>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</si>
  <si>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</si>
  <si>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</si>
  <si>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</si>
  <si>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</si>
  <si>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</si>
  <si>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</si>
  <si>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</si>
  <si>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</si>
  <si>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</si>
  <si>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</si>
  <si>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</si>
  <si>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</si>
  <si>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</si>
  <si>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</si>
  <si>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</si>
  <si>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</si>
  <si>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</si>
  <si>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</si>
  <si>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</si>
  <si>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</si>
  <si>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</si>
  <si>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</si>
  <si>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</si>
  <si>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</si>
  <si>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</si>
  <si>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</si>
  <si>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</si>
  <si>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</si>
  <si>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</si>
  <si>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</si>
  <si>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</si>
  <si>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</si>
  <si>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</si>
  <si>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</si>
  <si>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</si>
  <si>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</si>
  <si>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</si>
  <si>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</si>
  <si>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</si>
  <si>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</si>
  <si>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</si>
  <si>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</si>
  <si>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</si>
  <si>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</si>
  <si>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</si>
  <si>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</si>
  <si>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</si>
  <si>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</si>
  <si>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</si>
  <si>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</si>
  <si>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</si>
  <si>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</si>
  <si>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</si>
  <si>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</si>
  <si>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</si>
  <si>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</si>
  <si>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</si>
  <si>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</si>
  <si>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</si>
  <si>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</si>
  <si>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</si>
  <si>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</si>
  <si>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</si>
  <si>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</si>
  <si>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</si>
  <si>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</si>
  <si>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</si>
  <si>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</si>
  <si>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</si>
  <si>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</si>
  <si>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</si>
  <si>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</si>
  <si>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</si>
  <si>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</si>
  <si>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</si>
  <si>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</si>
  <si>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</si>
  <si>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</si>
  <si>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</si>
  <si>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</si>
  <si>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</si>
  <si>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</si>
  <si>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</si>
  <si>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</si>
  <si>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</si>
  <si>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</si>
  <si>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</si>
  <si>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</si>
  <si>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</si>
  <si>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</si>
  <si>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</si>
  <si>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</si>
  <si>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</si>
  <si>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</si>
  <si>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</si>
  <si>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</si>
  <si>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</si>
  <si>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</si>
  <si>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</si>
  <si>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</si>
  <si>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</si>
  <si>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</si>
  <si>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ANTISTATIC</t>
  </si>
  <si>
    <t>RUN AT 32 - 35um</t>
  </si>
  <si>
    <t>E12</t>
  </si>
  <si>
    <t>THE DECKSTORE</t>
  </si>
  <si>
    <t>LIMAX</t>
  </si>
  <si>
    <t>ANTIBOLCK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</si>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</sst>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0" borderId="7" xfId="0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J2" sqref="J2:L2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PB20530535AS0</v>
      </c>
      <c r="C1" s="108"/>
      <c r="D1" s="109"/>
      <c r="E1" s="11" t="s">
        <v>57</v>
      </c>
      <c r="F1" s="62" t="s">
        <v>198</v>
      </c>
      <c r="G1" s="62"/>
      <c r="H1" s="63"/>
      <c r="I1" s="12" t="s">
        <v>181</v>
      </c>
      <c r="J1" s="119">
        <f ca="1">TODAY()</f>
        <v>45778</v>
      </c>
      <c r="K1" s="119"/>
      <c r="L1" s="120"/>
      <c r="M1" s="29"/>
      <c r="N1" s="11" t="s">
        <v>56</v>
      </c>
      <c r="O1" s="108" t="str">
        <f>B1</f>
        <v>PB20530535AS0</v>
      </c>
      <c r="P1" s="108"/>
      <c r="Q1" s="109"/>
      <c r="R1" s="11" t="s">
        <v>57</v>
      </c>
      <c r="S1" s="108" t="str">
        <f>F1</f>
        <v>THE DECKSTORE</v>
      </c>
      <c r="T1" s="108"/>
      <c r="U1" s="109"/>
      <c r="V1" s="11" t="s">
        <v>181</v>
      </c>
      <c r="W1" s="119">
        <f ca="1">J1</f>
        <v>45778</v>
      </c>
      <c r="X1" s="119"/>
      <c r="Y1" s="120"/>
    </row>
    <row r="2" spans="1:25" ht="20.149999999999999" customHeight="1" x14ac:dyDescent="0.8">
      <c r="A2" s="11" t="s">
        <v>100</v>
      </c>
      <c r="B2" s="108" t="str">
        <f>IF(U10="","",U10)</f>
        <v>E12</v>
      </c>
      <c r="C2" s="108"/>
      <c r="D2" s="109"/>
      <c r="E2" s="11" t="s">
        <v>58</v>
      </c>
      <c r="F2" s="62">
        <v>57289</v>
      </c>
      <c r="G2" s="62"/>
      <c r="H2" s="63"/>
      <c r="I2" s="11" t="s">
        <v>59</v>
      </c>
      <c r="J2" s="122">
        <v>45799</v>
      </c>
      <c r="K2" s="62"/>
      <c r="L2" s="63"/>
      <c r="M2" s="29"/>
      <c r="N2" s="11" t="s">
        <v>100</v>
      </c>
      <c r="O2" s="108" t="str">
        <f>IF(B2="","",B2)</f>
        <v>E12</v>
      </c>
      <c r="P2" s="108"/>
      <c r="Q2" s="109"/>
      <c r="R2" s="11" t="s">
        <v>58</v>
      </c>
      <c r="S2" s="108">
        <f>IF(F2="","",F2)</f>
        <v>57289</v>
      </c>
      <c r="T2" s="108"/>
      <c r="U2" s="109"/>
      <c r="V2" s="11" t="s">
        <v>59</v>
      </c>
      <c r="W2" s="121">
        <f>J2</f>
        <v>45799</v>
      </c>
      <c r="X2" s="108"/>
      <c r="Y2" s="109"/>
    </row>
    <row r="3" spans="1:25" ht="20.149999999999999" customHeight="1" x14ac:dyDescent="0.7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>
        <f>A3</f>
        <v>0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20</v>
      </c>
      <c r="P7" s="63"/>
      <c r="Q7" s="11" t="str">
        <f>IF(ISNUMBER(SEARCH("roll",O8,1)),"Per Roll","Per Carton")</f>
        <v>Per Carton</v>
      </c>
      <c r="R7" s="62">
        <v>3000</v>
      </c>
      <c r="S7" s="63"/>
      <c r="T7" s="11" t="str">
        <f>IF(ISNUMBER(SEARCH("bag",O8,1)),"Total Bags","Total Sheets")</f>
        <v>Total Bags</v>
      </c>
      <c r="U7" s="108">
        <f>R7*O7</f>
        <v>60000</v>
      </c>
      <c r="V7" s="109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6">
        <f>R9</f>
        <v>205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35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25" t="s">
        <v>193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196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205</v>
      </c>
      <c r="S9" s="18" t="s">
        <v>78</v>
      </c>
      <c r="T9" s="30">
        <v>305</v>
      </c>
      <c r="U9" s="18" t="s">
        <v>78</v>
      </c>
      <c r="V9" s="30">
        <v>35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12</v>
      </c>
      <c r="C10" s="63"/>
      <c r="D10" s="47" t="s">
        <v>134</v>
      </c>
      <c r="E10" s="127">
        <f>IF(ISNUMBER(SEARCH("sheet",O8,1)),((R9*T9*H8/540000)*U7/2000*1.3),((R9*T9*H8/540000)*U7/1000*1.08))</f>
        <v>262.60500000000002</v>
      </c>
      <c r="F10" s="128"/>
      <c r="G10" s="11" t="s">
        <v>53</v>
      </c>
      <c r="H10" s="131">
        <f>IF(ISNUMBER(SEARCH("sheet",O8,1)),(U7*T9/2000*1.08),(U7*T9/1000*1.08))</f>
        <v>19764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 t="s">
        <v>197</v>
      </c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21.883750000000003</v>
      </c>
      <c r="F11" s="130"/>
      <c r="G11" s="11" t="s">
        <v>15</v>
      </c>
      <c r="H11" s="129">
        <f>H10/B10</f>
        <v>1647</v>
      </c>
      <c r="I11" s="13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20</v>
      </c>
      <c r="R13" s="11" t="s">
        <v>74</v>
      </c>
      <c r="S13" s="31" t="s">
        <v>138</v>
      </c>
      <c r="T13" s="11" t="s">
        <v>178</v>
      </c>
      <c r="U13" s="20">
        <f>IF(S13="No","",(ROUNDUP(U7/W13/24,0)))</f>
        <v>25</v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46" t="s">
        <v>4</v>
      </c>
      <c r="F16" s="146"/>
      <c r="G16" s="146" t="s">
        <v>5</v>
      </c>
      <c r="H16" s="146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130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23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7" t="s">
        <v>195</v>
      </c>
      <c r="B23" s="147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48" t="s">
        <v>200</v>
      </c>
      <c r="B24" s="149"/>
      <c r="C24" s="92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3"/>
      <c r="E24" s="59" t="s">
        <v>201</v>
      </c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199</v>
      </c>
      <c r="P25" s="34"/>
      <c r="Q25" s="10">
        <v>34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134" t="s">
        <v>116</v>
      </c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6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137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9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140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2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43" t="s">
        <v>136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5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45809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45799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194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4EA12DA-782A-457E-B469-B7BC6C2E91AC}"/>
</file>

<file path=customXml/itemProps2.xml><?xml version="1.0" encoding="utf-8"?>
<ds:datastoreItem xmlns:ds="http://schemas.openxmlformats.org/officeDocument/2006/customXml" ds:itemID="{AF924B4A-9EA4-4836-93D8-19FC2680BD62}"/>
</file>

<file path=customXml/itemProps3.xml><?xml version="1.0" encoding="utf-8"?>
<ds:datastoreItem xmlns:ds="http://schemas.openxmlformats.org/officeDocument/2006/customXml" ds:itemID="{A3ED82B7-C65A-4340-9137-F772B40D99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2025-04-30T23:29:17Z</cp:lastPrinted>
  <dcterms:created xsi:type="dcterms:W3CDTF">2019-11-27T23:28:06Z</dcterms:created>
  <dcterms:modified xsi:type="dcterms:W3CDTF">2025-05-07T01:42:14Z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