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1CD56E8-9586-4EDC-9801-5A8627AF62DD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l="1"/>
  <c r="B1" i="1" s="1"/>
  <c r="J1" i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<sst xmlns="http://schemas.openxmlformats.org/spreadsheetml/2006/main" count="308" uniqueCount="203">
  <si>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</si>
  <si>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</si>
  <si>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</si>
  <si>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</si>
  <si>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</si>
  <si>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</si>
  <si>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</si>
  <si>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</si>
  <si>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</si>
  <si>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</si>
  <si>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</si>
  <si>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</si>
  <si>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</si>
  <si>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</si>
  <si>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</si>
  <si>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</si>
  <si>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</si>
  <si>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</si>
  <si>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</si>
  <si>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</si>
  <si>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</si>
  <si>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</si>
  <si>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</si>
  <si>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</si>
  <si>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</si>
  <si>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</si>
  <si>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</si>
  <si>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</si>
  <si>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</si>
  <si>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</si>
  <si>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</si>
  <si>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</si>
  <si>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</si>
  <si>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</si>
  <si>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</si>
  <si>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</si>
  <si>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</si>
  <si>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</si>
  <si>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</si>
  <si>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</si>
  <si>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</si>
  <si>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</si>
  <si>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</si>
  <si>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</si>
  <si>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</si>
  <si>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</si>
  <si>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</si>
  <si>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</si>
  <si>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</si>
  <si>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</si>
  <si>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</si>
  <si>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</si>
  <si>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</si>
  <si>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</si>
  <si>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</si>
  <si>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</si>
  <si>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</si>
  <si>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</si>
  <si>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</si>
  <si>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</si>
  <si>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</si>
  <si>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</si>
  <si>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</si>
  <si>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</si>
  <si>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</si>
  <si>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</si>
  <si>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</si>
  <si>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</si>
  <si>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</si>
  <si>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</si>
  <si>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</si>
  <si>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</si>
  <si>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</si>
  <si>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</si>
  <si>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</si>
  <si>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</si>
  <si>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</si>
  <si>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</si>
  <si>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</si>
  <si>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</si>
  <si>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</si>
  <si>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</si>
  <si>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</si>
  <si>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</si>
  <si>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</si>
  <si>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</si>
  <si>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</si>
  <si>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</si>
  <si>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</si>
  <si>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</si>
  <si>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</si>
  <si>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</si>
  <si>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</si>
  <si>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</si>
  <si>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</si>
  <si>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</si>
  <si>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</si>
  <si>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</si>
  <si>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</si>
  <si>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</si>
  <si>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</si>
  <si>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</si>
  <si>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</si>
  <si>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</si>
  <si>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</si>
  <si>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</si>
  <si>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</si>
  <si>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</si>
  <si>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</si>
  <si>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</si>
  <si>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</si>
  <si>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</si>
  <si>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</si>
  <si>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</si>
  <si>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</si>
  <si>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</si>
  <si>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</si>
  <si>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</si>
  <si>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</si>
  <si>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</si>
  <si>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</si>
  <si>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</si>
  <si>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</si>
  <si>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</si>
  <si>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</si>
  <si>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</si>
  <si>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</si>
  <si>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</si>
  <si>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</si>
  <si>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</si>
  <si>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</si>
  <si>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</si>
  <si>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</si>
  <si>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</si>
  <si>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</si>
  <si>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</si>
  <si>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</si>
  <si>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</si>
  <si>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</si>
  <si>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</si>
  <si>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</si>
  <si>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</si>
  <si>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</si>
  <si>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</si>
  <si>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</si>
  <si>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</si>
  <si>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</si>
  <si>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</si>
  <si>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</si>
  <si>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</si>
  <si>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</si>
  <si>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</si>
  <si>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</si>
  <si>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</si>
  <si>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</si>
  <si>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</si>
  <si>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</si>
  <si>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</si>
  <si>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</si>
  <si>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</si>
  <si>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</si>
  <si>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</si>
  <si>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</si>
  <si>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</si>
  <si>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</si>
  <si>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</si>
  <si>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</si>
  <si>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</si>
  <si>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</si>
  <si>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</si>
  <si>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</si>
  <si>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</si>
  <si>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</si>
  <si>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</si>
  <si>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</si>
  <si>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</si>
  <si>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</si>
  <si>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</si>
  <si>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</si>
  <si>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</si>
  <si>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</si>
  <si>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</si>
  <si>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</si>
  <si>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</si>
  <si>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</si>
  <si>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</si>
  <si>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</si>
  <si>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</si>
  <si>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</si>
  <si>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</si>
  <si>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</si>
  <si>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</si>
  <si>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</si>
  <si>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</si>
  <si>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BROWN</t>
  </si>
  <si>
    <t>ANTISTATIC</t>
  </si>
  <si>
    <t>RUN AT 30um</t>
  </si>
  <si>
    <t xml:space="preserve"> +/- 5mm</t>
  </si>
  <si>
    <t>BAG INSERT MEDIUM</t>
  </si>
  <si>
    <t>LIMAX</t>
  </si>
  <si>
    <t>MUST BE SOLID BROWN - FILM MUST NOT BE SPLITTY - MUST HAVE ANTISTATIC</t>
  </si>
  <si>
    <t>ANTIBLOCK</t>
  </si>
  <si>
    <t>SAXON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</si>
</sst>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996633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996633"/>
      <color rgb="FFFF99CC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9" t="str">
        <f>O9&amp;R9&amp;IF(X8="G","G","")&amp;IF(O8="Centrefold Roll","("&amp;E8&amp;")","")&amp;T9&amp;V9&amp;C22&amp;C23&amp;C24&amp;O11&amp;R11</f>
        <v>PB46076030BR0AS</v>
      </c>
      <c r="C1" s="109"/>
      <c r="D1" s="110"/>
      <c r="E1" s="11" t="s">
        <v>57</v>
      </c>
      <c r="F1" s="62" t="s">
        <v>202</v>
      </c>
      <c r="G1" s="62"/>
      <c r="H1" s="63"/>
      <c r="I1" s="12" t="s">
        <v>181</v>
      </c>
      <c r="J1" s="120">
        <f ca="1">TODAY()</f>
        <v>46078</v>
      </c>
      <c r="K1" s="120"/>
      <c r="L1" s="121"/>
      <c r="M1" s="29"/>
      <c r="N1" s="11" t="s">
        <v>56</v>
      </c>
      <c r="O1" s="109" t="str">
        <f>B1</f>
        <v>PB46076030BR0AS</v>
      </c>
      <c r="P1" s="109"/>
      <c r="Q1" s="110"/>
      <c r="R1" s="11" t="s">
        <v>57</v>
      </c>
      <c r="S1" s="109" t="str">
        <f>F1</f>
        <v>SAXON AGENCIES</v>
      </c>
      <c r="T1" s="109"/>
      <c r="U1" s="110"/>
      <c r="V1" s="11" t="s">
        <v>181</v>
      </c>
      <c r="W1" s="120">
        <f ca="1">J1</f>
        <v>46078</v>
      </c>
      <c r="X1" s="120"/>
      <c r="Y1" s="121"/>
    </row>
    <row r="2" spans="1:25" ht="20.100000000000001" customHeight="1" x14ac:dyDescent="0.25">
      <c r="A2" s="11" t="s">
        <v>100</v>
      </c>
      <c r="B2" s="109" t="str">
        <f>IF(U10="","",U10)</f>
        <v>BAG INSERT MEDIUM</v>
      </c>
      <c r="C2" s="109"/>
      <c r="D2" s="110"/>
      <c r="E2" s="11" t="s">
        <v>58</v>
      </c>
      <c r="F2" s="62">
        <v>951583</v>
      </c>
      <c r="G2" s="62"/>
      <c r="H2" s="63"/>
      <c r="I2" s="11" t="s">
        <v>59</v>
      </c>
      <c r="J2" s="123">
        <v>45769</v>
      </c>
      <c r="K2" s="62"/>
      <c r="L2" s="63"/>
      <c r="M2" s="29"/>
      <c r="N2" s="11" t="s">
        <v>100</v>
      </c>
      <c r="O2" s="109" t="str">
        <f>IF(B2="","",B2)</f>
        <v>BAG INSERT MEDIUM</v>
      </c>
      <c r="P2" s="109"/>
      <c r="Q2" s="110"/>
      <c r="R2" s="11" t="s">
        <v>58</v>
      </c>
      <c r="S2" s="109">
        <f>IF(F2="","",F2)</f>
        <v>951583</v>
      </c>
      <c r="T2" s="109"/>
      <c r="U2" s="110"/>
      <c r="V2" s="11" t="s">
        <v>59</v>
      </c>
      <c r="W2" s="122">
        <f>J2</f>
        <v>45769</v>
      </c>
      <c r="X2" s="109"/>
      <c r="Y2" s="110"/>
    </row>
    <row r="3" spans="1:25" ht="20.100000000000001" customHeight="1" x14ac:dyDescent="0.25">
      <c r="A3" s="111" t="s">
        <v>200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 t="str">
        <f>A3</f>
        <v>MUST BE SOLID BROWN - FILM MUST NOT BE SPLITTY - MUST HAVE ANTISTATIC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1" t="s">
        <v>194</v>
      </c>
      <c r="C7" s="101"/>
      <c r="D7" s="101"/>
      <c r="E7" s="101"/>
      <c r="F7" s="101"/>
      <c r="G7" s="101"/>
      <c r="H7" s="101"/>
      <c r="I7" s="102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9">
        <f>R7*O7</f>
        <v>10000</v>
      </c>
      <c r="V7" s="110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7">
        <f>R9</f>
        <v>460</v>
      </c>
      <c r="C8" s="98"/>
      <c r="D8" s="27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3" t="s">
        <v>52</v>
      </c>
      <c r="H8" s="97">
        <f>(IF(V9&lt;30,"30",V9))</f>
        <v>30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9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16" t="s">
        <v>48</v>
      </c>
      <c r="B9" s="126" t="s">
        <v>197</v>
      </c>
      <c r="C9" s="127"/>
      <c r="D9" s="134" t="str">
        <f>IF(K10="Middle","RUN 2 UP",IF(AND(O8="Centrefold Roll",B8=380),"RUN 2 UP",""))</f>
        <v/>
      </c>
      <c r="E9" s="101"/>
      <c r="F9" s="102"/>
      <c r="G9" s="16" t="s">
        <v>48</v>
      </c>
      <c r="H9" s="126" t="s">
        <v>196</v>
      </c>
      <c r="I9" s="127"/>
      <c r="J9" s="11" t="s">
        <v>55</v>
      </c>
      <c r="K9" s="62" t="s">
        <v>30</v>
      </c>
      <c r="L9" s="63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460</v>
      </c>
      <c r="S9" s="18" t="s">
        <v>78</v>
      </c>
      <c r="T9" s="30">
        <v>760</v>
      </c>
      <c r="U9" s="18" t="s">
        <v>78</v>
      </c>
      <c r="V9" s="30">
        <v>30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6</v>
      </c>
      <c r="C10" s="63"/>
      <c r="D10" s="47" t="s">
        <v>134</v>
      </c>
      <c r="E10" s="128">
        <f>IF(ISNUMBER(SEARCH("sheet",O8,1)),((R9*T9*H8/540000)*U7/2000*1.3),((R9*T9*H8/540000)*U7/1000*1.08))</f>
        <v>209.76000000000002</v>
      </c>
      <c r="F10" s="129"/>
      <c r="G10" s="11" t="s">
        <v>53</v>
      </c>
      <c r="H10" s="132">
        <f>IF(ISNUMBER(SEARCH("sheet",O8,1)),(U7*T9/2000*1.08),(U7*T9/1000*1.08))</f>
        <v>8208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9" t="s">
        <v>44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 t="s">
        <v>198</v>
      </c>
      <c r="V10" s="105"/>
      <c r="W10" s="105"/>
      <c r="X10" s="105"/>
      <c r="Y10" s="106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0">
        <f>E10/B10</f>
        <v>34.96</v>
      </c>
      <c r="F11" s="131"/>
      <c r="G11" s="11" t="s">
        <v>15</v>
      </c>
      <c r="H11" s="130">
        <f>H10/B10</f>
        <v>1368</v>
      </c>
      <c r="I11" s="131"/>
      <c r="J11" s="11" t="s">
        <v>50</v>
      </c>
      <c r="K11" s="62" t="s">
        <v>44</v>
      </c>
      <c r="L11" s="63"/>
      <c r="M11" s="29"/>
      <c r="N11" s="13"/>
      <c r="O11" s="97" t="str">
        <f>IF(O10="NONE","","V")</f>
        <v/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8" t="s">
        <v>4</v>
      </c>
      <c r="F16" s="138"/>
      <c r="G16" s="138" t="s">
        <v>5</v>
      </c>
      <c r="H16" s="138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169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3" t="s">
        <v>147</v>
      </c>
      <c r="D17" s="94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3" t="s">
        <v>146</v>
      </c>
      <c r="D18" s="94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32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3" t="s">
        <v>145</v>
      </c>
      <c r="D19" s="94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3" t="s">
        <v>144</v>
      </c>
      <c r="D20" s="94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3" t="s">
        <v>143</v>
      </c>
      <c r="D21" s="94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BROWN</v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IF(A22="","",IF(A22="NATURAL","",IF(A22="BLACK","BK",IF(A22="WHITE","WH",IF(A22="YELLOW","Y",IF(A22="PURPLE","PU",IF(A22="BLUE","BL",IF(A22="RED","R",IF(A22="GREEN","GR",IF(A22="ORANGE","OR",IF(A22="LILAC","LI",IF(A22="MAROON","MA",IF(A22="BROWN","BR",IF(A22="WHITE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DEGRADABLE","BD",)))))))))))))))))))))))))))</f>
        <v>BR</v>
      </c>
      <c r="D22" s="94"/>
      <c r="E22" s="90">
        <v>0.04</v>
      </c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9" t="s">
        <v>201</v>
      </c>
      <c r="B23" s="139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0" t="s">
        <v>195</v>
      </c>
      <c r="B24" s="14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4"/>
      <c r="E24" s="90">
        <v>0.02</v>
      </c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199</v>
      </c>
      <c r="P25" s="34"/>
      <c r="Q25" s="10">
        <v>28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3" priority="7" operator="containsText" text="MAROON">
      <formula>NOT(ISERROR(SEARCH("MAROON",B7)))</formula>
    </cfRule>
    <cfRule type="containsText" dxfId="12" priority="8" operator="containsText" text="ORANGE">
      <formula>NOT(ISERROR(SEARCH("ORANGE",B7)))</formula>
    </cfRule>
    <cfRule type="containsText" dxfId="11" priority="9" operator="containsText" text="GREEN">
      <formula>NOT(ISERROR(SEARCH("GREEN",B7)))</formula>
    </cfRule>
    <cfRule type="containsText" dxfId="10" priority="10" operator="containsText" text="RED">
      <formula>NOT(ISERROR(SEARCH("RED",B7)))</formula>
    </cfRule>
    <cfRule type="containsText" dxfId="9" priority="11" operator="containsText" text="WHITE">
      <formula>NOT(ISERROR(SEARCH("WHITE",B7)))</formula>
    </cfRule>
    <cfRule type="containsText" dxfId="8" priority="12" operator="containsText" text="PURPLE">
      <formula>NOT(ISERROR(SEARCH("PURPLE",B7)))</formula>
    </cfRule>
    <cfRule type="containsText" dxfId="7" priority="13" operator="containsText" text="BLUE">
      <formula>NOT(ISERROR(SEARCH("BLUE",B7)))</formula>
    </cfRule>
    <cfRule type="containsText" dxfId="6" priority="14" operator="containsText" text="YELLOW">
      <formula>NOT(ISERROR(SEARCH("YELLOW",B7)))</formula>
    </cfRule>
  </conditionalFormatting>
  <conditionalFormatting sqref="B7:I7">
    <cfRule type="containsText" dxfId="5" priority="1" operator="containsText" text="BROWN">
      <formula>NOT(ISERROR(SEARCH("BROWN",B7)))</formula>
    </cfRule>
    <cfRule type="containsText" dxfId="4" priority="4" operator="containsText" text="BLACK">
      <formula>NOT(ISERROR(SEARCH("BLACK",B7)))</formula>
    </cfRule>
  </conditionalFormatting>
  <conditionalFormatting sqref="J2">
    <cfRule type="containsText" dxfId="3" priority="3" operator="containsText" text="ASAP">
      <formula>NOT(ISERROR(SEARCH("ASAP",J2)))</formula>
    </cfRule>
  </conditionalFormatting>
  <conditionalFormatting sqref="J13 B7">
    <cfRule type="containsText" dxfId="2" priority="6" operator="containsText" text="LILAC">
      <formula>NOT(ISERROR(SEARCH("LILAC",B7)))</formula>
    </cfRule>
  </conditionalFormatting>
  <conditionalFormatting sqref="J13">
    <cfRule type="containsText" dxfId="1" priority="5" operator="containsText" text="BLACK">
      <formula>NOT(ISERROR(SEARCH("BLACK",J13)))</formula>
    </cfRule>
  </conditionalFormatting>
  <conditionalFormatting sqref="W2">
    <cfRule type="containsText" dxfId="0" priority="2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46106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46099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194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162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175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5" t="s">
        <v>184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7" t="s">
        <v>46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 t="s">
        <v>34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7" t="s">
        <v>47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5" t="s">
        <v>45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21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7" t="s">
        <v>63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44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65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" t="s">
        <v>64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7" t="s">
        <v>68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44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70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5" t="s">
        <v>69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21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7" t="s">
        <v>61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44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5" t="s">
        <v>67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21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56" t="s">
        <v>62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21" t="s">
        <v>44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177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155</v>
      </c>
    </row>
    <row r="60" spans="1:20" x14ac:dyDescent="0.25">
      <c r="A60" s="55" t="s">
        <v>148</v>
      </c>
      <c r="O60" s="1"/>
      <c r="Q60" s="1"/>
      <c r="R60" s="3"/>
      <c r="S60" s="1"/>
    </row>
    <row r="61" spans="1:20" x14ac:dyDescent="0.25">
      <c r="A61" s="55" t="s">
        <v>149</v>
      </c>
      <c r="O61" s="1"/>
      <c r="Q61" s="1"/>
      <c r="R61" s="1"/>
      <c r="S61" s="1"/>
    </row>
    <row r="62" spans="1:20" x14ac:dyDescent="0.25">
      <c r="A62" s="55" t="s">
        <v>150</v>
      </c>
      <c r="O62" s="1"/>
      <c r="Q62" s="1"/>
      <c r="R62" s="1"/>
      <c r="S62" s="1"/>
    </row>
    <row r="63" spans="1:20" x14ac:dyDescent="0.25">
      <c r="A63" s="55" t="s">
        <v>151</v>
      </c>
      <c r="O63" s="1"/>
      <c r="Q63" s="1"/>
      <c r="R63" s="1"/>
      <c r="S63" s="1"/>
      <c r="T63" s="1"/>
    </row>
    <row r="64" spans="1:20" x14ac:dyDescent="0.25">
      <c r="A64" s="55" t="s">
        <v>152</v>
      </c>
      <c r="O64" s="1"/>
      <c r="Q64" s="1"/>
      <c r="R64" s="1"/>
      <c r="S64" s="1"/>
      <c r="T64" s="1"/>
    </row>
    <row r="65" spans="1:20" x14ac:dyDescent="0.25">
      <c r="A65" s="55" t="s">
        <v>153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174</v>
      </c>
      <c r="N66" s="4"/>
      <c r="O66" s="1"/>
      <c r="P66" s="1"/>
      <c r="Q66" s="1"/>
      <c r="R66" s="1"/>
      <c r="S66" s="1"/>
      <c r="T66" s="1"/>
    </row>
    <row r="67" spans="1:20" x14ac:dyDescent="0.2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B08C593-1200-40BA-9ADA-3801DDBF2386}"/>
</file>

<file path=customXml/itemProps2.xml><?xml version="1.0" encoding="utf-8"?>
<ds:datastoreItem xmlns:ds="http://schemas.openxmlformats.org/officeDocument/2006/customXml" ds:itemID="{13B48ECF-A964-428F-9517-AE6600591B3F}"/>
</file>

<file path=customXml/itemProps3.xml><?xml version="1.0" encoding="utf-8"?>
<ds:datastoreItem xmlns:ds="http://schemas.openxmlformats.org/officeDocument/2006/customXml" ds:itemID="{11E0AE50-4571-47B7-878B-E26F36831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2025-07-30T00:31:16Z</cp:lastPrinted>
  <dcterms:created xsi:type="dcterms:W3CDTF">2019-11-27T23:28:06Z</dcterms:created>
  <dcterms:modified xsi:type="dcterms:W3CDTF">2026-02-25T06:51:44Z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