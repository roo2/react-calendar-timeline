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049BFB1-0FF8-458A-BC63-F50F5FC9DE3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Sheet1!$A$1:$L$42</definedName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3" i="1" l="1"/>
  <c r="D8" i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<sst xmlns="http://schemas.openxmlformats.org/spreadsheetml/2006/main" count="308" uniqueCount="201">
  <si>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</si>
  <si>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</si>
  <si>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</si>
  <si>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</si>
  <si>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</si>
  <si>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</si>
  <si>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</si>
  <si>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</si>
  <si>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</si>
  <si>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</si>
  <si>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</si>
  <si>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</si>
  <si>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</si>
  <si>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</si>
  <si>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</si>
  <si>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</si>
  <si>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</si>
  <si>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</si>
  <si>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</si>
  <si>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</si>
  <si>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</si>
  <si>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</si>
  <si>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</si>
  <si>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</si>
  <si>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</si>
  <si>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</si>
  <si>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</si>
  <si>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</si>
  <si>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</si>
  <si>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</si>
  <si>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</si>
  <si>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</si>
  <si>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</si>
  <si>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</si>
  <si>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</si>
  <si>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</si>
  <si>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</si>
  <si>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</si>
  <si>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</si>
  <si>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</si>
  <si>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</si>
  <si>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</si>
  <si>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</si>
  <si>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</si>
  <si>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</si>
  <si>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</si>
  <si>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</si>
  <si>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</si>
  <si>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</si>
  <si>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</si>
  <si>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</si>
  <si>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</si>
  <si>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</si>
  <si>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</si>
  <si>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</si>
  <si>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</si>
  <si>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</si>
  <si>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</si>
  <si>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</si>
  <si>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</si>
  <si>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</si>
  <si>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</si>
  <si>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</si>
  <si>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</si>
  <si>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</si>
  <si>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</si>
  <si>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</si>
  <si>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</si>
  <si>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</si>
  <si>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</si>
  <si>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</si>
  <si>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</si>
  <si>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</si>
  <si>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</si>
  <si>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</si>
  <si>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</si>
  <si>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</si>
  <si>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</si>
  <si>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</si>
  <si>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</si>
  <si>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</si>
  <si>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</si>
  <si>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</si>
  <si>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</si>
  <si>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</si>
  <si>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</si>
  <si>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</si>
  <si>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</si>
  <si>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</si>
  <si>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</si>
  <si>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</si>
  <si>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</si>
  <si>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</si>
  <si>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</si>
  <si>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</si>
  <si>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</si>
  <si>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</si>
  <si>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</si>
  <si>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</si>
  <si>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</si>
  <si>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</si>
  <si>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</si>
  <si>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</si>
  <si>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</si>
  <si>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</si>
  <si>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</si>
  <si>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</si>
  <si>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</si>
  <si>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</si>
  <si>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</si>
  <si>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</si>
  <si>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</si>
  <si>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</si>
  <si>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</si>
  <si>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</si>
  <si>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</si>
  <si>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</si>
  <si>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</si>
  <si>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</si>
  <si>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</si>
  <si>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</si>
  <si>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</si>
  <si>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</si>
  <si>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</si>
  <si>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</si>
  <si>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</si>
  <si>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</si>
  <si>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</si>
  <si>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</si>
  <si>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</si>
  <si>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</si>
  <si>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</si>
  <si>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</si>
  <si>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</si>
  <si>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</si>
  <si>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</si>
  <si>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</si>
  <si>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</si>
  <si>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</si>
  <si>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</si>
  <si>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</si>
  <si>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</si>
  <si>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</si>
  <si>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</si>
  <si>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</si>
  <si>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</si>
  <si>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</si>
  <si>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</si>
  <si>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</si>
  <si>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</si>
  <si>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</si>
  <si>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</si>
  <si>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</si>
  <si>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</si>
  <si>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</si>
  <si>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</si>
  <si>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</si>
  <si>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</si>
  <si>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</si>
  <si>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</si>
  <si>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</si>
  <si>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</si>
  <si>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</si>
  <si>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</si>
  <si>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</si>
  <si>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</si>
  <si>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</si>
  <si>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</si>
  <si>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</si>
  <si>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</si>
  <si>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</si>
  <si>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</si>
  <si>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</si>
  <si>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</si>
  <si>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</si>
  <si>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</si>
  <si>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</si>
  <si>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</si>
  <si>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</si>
  <si>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</si>
  <si>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</si>
  <si>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</si>
  <si>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>RUN AT 35UM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</si>
  <si>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</si>
  <si>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</si>
  <si>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</si>
  <si>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</si>
  <si>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</si>
  <si>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</si>
  <si>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</si>
  <si>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</si>
  <si>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</si>
  <si>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</si>
  <si>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</si>
  <si>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</si>
  <si>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IL511</t>
  </si>
  <si>
    <t>THE DECKSTORE</t>
  </si>
  <si>
    <t xml:space="preserve"> +/- 5mm</t>
  </si>
  <si>
    <t>PERF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</si>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</sst>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27" t="s">
        <v>55</v>
      </c>
      <c r="B1" s="88" t="str">
        <f>O9&amp;R9&amp;IF(X8="G","G","")&amp;IF(O8="Centrefold Roll","("&amp;E8&amp;")","")&amp;T9&amp;V9&amp;C22&amp;C23&amp;C24&amp;O11&amp;R11</f>
        <v>SR460170038BTAS0</v>
      </c>
      <c r="C1" s="88"/>
      <c r="D1" s="89"/>
      <c r="E1" s="27" t="s">
        <v>56</v>
      </c>
      <c r="F1" s="86" t="s">
        <v>196</v>
      </c>
      <c r="G1" s="86"/>
      <c r="H1" s="87"/>
      <c r="I1" s="27" t="s">
        <v>180</v>
      </c>
      <c r="J1" s="101">
        <f ca="1">TODAY()</f>
        <v>45691</v>
      </c>
      <c r="K1" s="101"/>
      <c r="L1" s="102"/>
      <c r="M1" s="11"/>
      <c r="N1" s="27" t="s">
        <v>55</v>
      </c>
      <c r="O1" s="88" t="str">
        <f>B1</f>
        <v>SR460170038BTAS0</v>
      </c>
      <c r="P1" s="88"/>
      <c r="Q1" s="89"/>
      <c r="R1" s="27" t="s">
        <v>56</v>
      </c>
      <c r="S1" s="88" t="str">
        <f>F1</f>
        <v>THE DECKSTORE</v>
      </c>
      <c r="T1" s="88"/>
      <c r="U1" s="89"/>
      <c r="V1" s="27" t="s">
        <v>180</v>
      </c>
      <c r="W1" s="101">
        <f ca="1">J1</f>
        <v>45691</v>
      </c>
      <c r="X1" s="101"/>
      <c r="Y1" s="102"/>
    </row>
    <row r="2" spans="1:25" ht="20.149999999999999" customHeight="1" x14ac:dyDescent="0.8">
      <c r="A2" s="27" t="s">
        <v>99</v>
      </c>
      <c r="B2" s="88" t="str">
        <f>IF(U10="","",U10)</f>
        <v>IL511</v>
      </c>
      <c r="C2" s="88"/>
      <c r="D2" s="89"/>
      <c r="E2" s="27" t="s">
        <v>57</v>
      </c>
      <c r="F2" s="86">
        <v>949328</v>
      </c>
      <c r="G2" s="86"/>
      <c r="H2" s="87"/>
      <c r="I2" s="27" t="s">
        <v>58</v>
      </c>
      <c r="J2" s="106" t="s">
        <v>193</v>
      </c>
      <c r="K2" s="86"/>
      <c r="L2" s="87"/>
      <c r="M2" s="11"/>
      <c r="N2" s="27" t="s">
        <v>99</v>
      </c>
      <c r="O2" s="88" t="str">
        <f>IF(B2="","",B2)</f>
        <v>IL511</v>
      </c>
      <c r="P2" s="88"/>
      <c r="Q2" s="89"/>
      <c r="R2" s="27" t="s">
        <v>57</v>
      </c>
      <c r="S2" s="88">
        <f>IF(F2="","",F2)</f>
        <v>949328</v>
      </c>
      <c r="T2" s="88"/>
      <c r="U2" s="89"/>
      <c r="V2" s="27" t="s">
        <v>58</v>
      </c>
      <c r="W2" s="103" t="str">
        <f>J2</f>
        <v>ASAP</v>
      </c>
      <c r="X2" s="88"/>
      <c r="Y2" s="89"/>
    </row>
    <row r="3" spans="1:25" ht="20.149999999999999" customHeight="1" x14ac:dyDescent="0.7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/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49999999999999" customHeight="1" x14ac:dyDescent="0.7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49999999999999" customHeight="1" x14ac:dyDescent="0.7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49999999999999" customHeight="1" x14ac:dyDescent="0.9">
      <c r="A7" s="27" t="s">
        <v>48</v>
      </c>
      <c r="B7" s="90" t="s">
        <v>158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12</v>
      </c>
      <c r="P7" s="87"/>
      <c r="Q7" s="27" t="str">
        <f>IF(ISNUMBER(SEARCH("roll",O8,1)),"Per Roll","Per Carton")</f>
        <v>Per Roll</v>
      </c>
      <c r="R7" s="86">
        <v>660</v>
      </c>
      <c r="S7" s="87"/>
      <c r="T7" s="27" t="str">
        <f>IF(ISNUMBER(SEARCH("bag",O8,1)),"Total Bags","Total Sheets")</f>
        <v>Total Sheets</v>
      </c>
      <c r="U7" s="88">
        <f>R7*O7</f>
        <v>7920</v>
      </c>
      <c r="V7" s="89"/>
      <c r="W7" s="27" t="s">
        <v>101</v>
      </c>
      <c r="X7" s="86" t="s">
        <v>22</v>
      </c>
      <c r="Y7" s="87"/>
    </row>
    <row r="8" spans="1:25" ht="20.149999999999999" customHeight="1" x14ac:dyDescent="0.8">
      <c r="A8" s="30" t="s">
        <v>15</v>
      </c>
      <c r="B8" s="104">
        <f>R9</f>
        <v>460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f>(IF(V9&lt;30,"30",V9))</f>
        <v>38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49999999999999" customHeight="1" x14ac:dyDescent="0.9">
      <c r="A9" s="42" t="s">
        <v>47</v>
      </c>
      <c r="B9" s="111" t="s">
        <v>197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182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460</v>
      </c>
      <c r="S9" s="33" t="s">
        <v>77</v>
      </c>
      <c r="T9" s="12">
        <v>1700</v>
      </c>
      <c r="U9" s="33" t="s">
        <v>77</v>
      </c>
      <c r="V9" s="12">
        <v>38</v>
      </c>
      <c r="W9" s="29"/>
      <c r="X9" s="128"/>
      <c r="Y9" s="129"/>
    </row>
    <row r="10" spans="1:25" ht="20.149999999999999" customHeight="1" x14ac:dyDescent="0.8">
      <c r="A10" s="27" t="s">
        <v>50</v>
      </c>
      <c r="B10" s="86">
        <v>8</v>
      </c>
      <c r="C10" s="87"/>
      <c r="D10" s="48" t="s">
        <v>133</v>
      </c>
      <c r="E10" s="113">
        <f>IF(ISNUMBER(SEARCH("sheet",O8,1)),((R9*T9*H8/540000)*U7/2000*1.3),((R9*T9*H8/540000)*U7/1000*1.08))</f>
        <v>283.29253333333338</v>
      </c>
      <c r="F10" s="114"/>
      <c r="G10" s="27" t="s">
        <v>52</v>
      </c>
      <c r="H10" s="117">
        <f>IF(ISNUMBER(SEARCH("sheet",O8,1)),(U7*T9/2000*1.08),(U7*T9/1000*1.08))</f>
        <v>7270.56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 t="s">
        <v>195</v>
      </c>
      <c r="V10" s="120"/>
      <c r="W10" s="120"/>
      <c r="X10" s="120"/>
      <c r="Y10" s="121"/>
    </row>
    <row r="11" spans="1:25" ht="20.149999999999999" customHeight="1" x14ac:dyDescent="0.8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16</v>
      </c>
      <c r="C11" s="89"/>
      <c r="D11" s="27" t="s">
        <v>134</v>
      </c>
      <c r="E11" s="115">
        <f>E10/B10</f>
        <v>35.411566666666673</v>
      </c>
      <c r="F11" s="116"/>
      <c r="G11" s="27" t="s">
        <v>14</v>
      </c>
      <c r="H11" s="115">
        <f>H10/B10</f>
        <v>908.82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49999999999999" customHeight="1" x14ac:dyDescent="0.7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49999999999999" customHeight="1" x14ac:dyDescent="0.8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12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49999999999999" customHeight="1" x14ac:dyDescent="0.9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60" t="s">
        <v>181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49999999999999" customHeight="1" x14ac:dyDescent="0.8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22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49999999999999" customHeight="1" x14ac:dyDescent="0.8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49999999999999" customHeight="1" x14ac:dyDescent="0.7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>BLUE TINT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0"/>
      <c r="E22" s="84">
        <v>0.02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1" t="s">
        <v>199</v>
      </c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0"/>
      <c r="E23" s="84">
        <v>0.01</v>
      </c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2" t="s">
        <v>200</v>
      </c>
      <c r="B24" s="83"/>
      <c r="C24" s="79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0"/>
      <c r="E24" s="84">
        <v>0.01</v>
      </c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49999999999999" customHeight="1" x14ac:dyDescent="0.7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 t="s">
        <v>198</v>
      </c>
      <c r="P25" s="17"/>
      <c r="Q25" s="10">
        <v>18</v>
      </c>
      <c r="R25" s="10">
        <v>7</v>
      </c>
      <c r="S25" s="10"/>
      <c r="T25" s="10">
        <v>5</v>
      </c>
      <c r="U25" s="10"/>
      <c r="V25" s="10">
        <v>2</v>
      </c>
      <c r="W25" s="10"/>
      <c r="X25" s="10"/>
      <c r="Y25" s="10"/>
    </row>
    <row r="26" spans="1:25" ht="20.149999999999999" customHeight="1" x14ac:dyDescent="0.75">
      <c r="A26" s="38"/>
      <c r="B26" s="34" t="s">
        <v>179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49999999999999" customHeight="1" x14ac:dyDescent="0.7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49999999999999" customHeight="1" x14ac:dyDescent="0.7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3"/>
    </row>
    <row r="44" spans="1:25" ht="20.149999999999999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49999999999999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45719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45712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3C567C4-B187-42B2-A406-11C81049A017}"/>
</file>

<file path=customXml/itemProps2.xml><?xml version="1.0" encoding="utf-8"?>
<ds:datastoreItem xmlns:ds="http://schemas.openxmlformats.org/officeDocument/2006/customXml" ds:itemID="{CF13B4BA-05EF-4BB8-8DE7-57899AB8A144}"/>
</file>

<file path=customXml/itemProps3.xml><?xml version="1.0" encoding="utf-8"?>
<ds:datastoreItem xmlns:ds="http://schemas.openxmlformats.org/officeDocument/2006/customXml" ds:itemID="{EF695614-702D-41C3-95E4-4E16B70E7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2025-02-03T01:19:40Z</cp:lastPrinted>
  <dcterms:created xsi:type="dcterms:W3CDTF">2019-11-27T23:28:06Z</dcterms:created>
  <dcterms:modified xsi:type="dcterms:W3CDTF">2025-02-03T01:36:56Z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