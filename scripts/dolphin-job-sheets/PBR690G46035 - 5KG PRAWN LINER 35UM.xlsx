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AF94B88-3377-499D-80E9-146D7A481BF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<sst xmlns="http://schemas.openxmlformats.org/spreadsheetml/2006/main" count="303" uniqueCount="200">
  <si>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</si>
  <si>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</si>
  <si>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</si>
  <si>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</si>
  <si>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</si>
  <si>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</si>
  <si>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</si>
  <si>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</si>
  <si>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</si>
  <si>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</si>
  <si>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</si>
  <si>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</si>
  <si>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</si>
  <si>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</si>
  <si>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</si>
  <si>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</si>
  <si>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</si>
  <si>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</si>
  <si>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</si>
  <si>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</si>
  <si>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</si>
  <si>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</si>
  <si>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</si>
  <si>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</si>
  <si>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</si>
  <si>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</si>
  <si>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</si>
  <si>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</si>
  <si>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</si>
  <si>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</si>
  <si>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</si>
  <si>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</si>
  <si>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</si>
  <si>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</si>
  <si>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</si>
  <si>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</si>
  <si>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</si>
  <si>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</si>
  <si>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</si>
  <si>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</si>
  <si>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</si>
  <si>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</si>
  <si>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</si>
  <si>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</si>
  <si>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</si>
  <si>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</si>
  <si>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</si>
  <si>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</si>
  <si>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</si>
  <si>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</si>
  <si>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</si>
  <si>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</si>
  <si>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</si>
  <si>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</si>
  <si>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</si>
  <si>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</si>
  <si>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</si>
  <si>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</si>
  <si>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</si>
  <si>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</si>
  <si>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</si>
  <si>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</si>
  <si>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</si>
  <si>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</si>
  <si>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</si>
  <si>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</si>
  <si>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</si>
  <si>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</si>
  <si>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</si>
  <si>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</si>
  <si>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</si>
  <si>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</si>
  <si>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</si>
  <si>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</si>
  <si>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</si>
  <si>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</si>
  <si>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</si>
  <si>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</si>
  <si>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</si>
  <si>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</si>
  <si>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</si>
  <si>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</si>
  <si>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</si>
  <si>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</si>
  <si>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</si>
  <si>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</si>
  <si>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</si>
  <si>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</si>
  <si>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</si>
  <si>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</si>
  <si>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</si>
  <si>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</si>
  <si>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</si>
  <si>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</si>
  <si>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</si>
  <si>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</si>
  <si>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</si>
  <si>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</si>
  <si>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</si>
  <si>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</si>
  <si>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</si>
  <si>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</si>
  <si>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</si>
  <si>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</si>
  <si>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</si>
  <si>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</si>
  <si>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</si>
  <si>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</si>
  <si>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</si>
  <si>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</si>
  <si>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</si>
  <si>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</si>
  <si>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</si>
  <si>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</si>
  <si>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</si>
  <si>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</si>
  <si>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</si>
  <si>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</si>
  <si>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</si>
  <si>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</si>
  <si>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</si>
  <si>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</si>
  <si>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</si>
  <si>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</si>
  <si>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</si>
  <si>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</si>
  <si>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</si>
  <si>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</si>
  <si>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</si>
  <si>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</si>
  <si>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</si>
  <si>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</si>
  <si>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</si>
  <si>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</si>
  <si>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</si>
  <si>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</si>
  <si>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</si>
  <si>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</si>
  <si>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</si>
  <si>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</si>
  <si>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</si>
  <si>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</si>
  <si>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</si>
  <si>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</si>
  <si>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</si>
  <si>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</si>
  <si>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</si>
  <si>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</si>
  <si>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</si>
  <si>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</si>
  <si>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</si>
  <si>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</si>
  <si>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</si>
  <si>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</si>
  <si>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</si>
  <si>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</si>
  <si>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</si>
  <si>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</si>
  <si>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</si>
  <si>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</si>
  <si>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</si>
  <si>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</si>
  <si>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</si>
  <si>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</si>
  <si>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</si>
  <si>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</si>
  <si>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</si>
  <si>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</si>
  <si>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</si>
  <si>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</si>
  <si>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</si>
  <si>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</si>
  <si>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</si>
  <si>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</si>
  <si>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</si>
  <si>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</si>
  <si>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</si>
  <si>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</si>
  <si>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</si>
  <si>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</si>
  <si>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</si>
  <si>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</si>
  <si>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</si>
  <si>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</si>
  <si>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</si>
  <si>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</si>
  <si>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</si>
  <si>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</si>
  <si>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</si>
  <si>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</si>
  <si>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</si>
  <si>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</si>
  <si>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</si>
  <si>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</si>
  <si>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(390+300)</t>
  </si>
  <si>
    <t xml:space="preserve"> +/- 5mm</t>
  </si>
  <si>
    <t xml:space="preserve">5KG PRAWN LINER </t>
  </si>
  <si>
    <t>RUN AT 35um</t>
  </si>
  <si>
    <t>MRF &amp; OCENANIC</t>
  </si>
  <si>
    <t>30 ON BACKORDER 23.3.2022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</si>
</sst>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PBR690G46035</v>
      </c>
      <c r="C1" s="125"/>
      <c r="D1" s="126"/>
      <c r="E1" s="18" t="s">
        <v>56</v>
      </c>
      <c r="F1" s="145" t="s">
        <v>198</v>
      </c>
      <c r="G1" s="145"/>
      <c r="H1" s="146"/>
      <c r="I1" s="18" t="s">
        <v>180</v>
      </c>
      <c r="J1" s="142">
        <f ca="1">TODAY()</f>
        <v>44690</v>
      </c>
      <c r="K1" s="142"/>
      <c r="L1" s="143"/>
      <c r="M1" s="35"/>
      <c r="N1" s="18" t="s">
        <v>55</v>
      </c>
      <c r="O1" s="125" t="str">
        <f>B1</f>
        <v>PBR690G46035</v>
      </c>
      <c r="P1" s="125"/>
      <c r="Q1" s="126"/>
      <c r="R1" s="18" t="s">
        <v>56</v>
      </c>
      <c r="S1" s="125" t="str">
        <f>F1</f>
        <v>MRF &amp; OCENANIC</v>
      </c>
      <c r="T1" s="125"/>
      <c r="U1" s="126"/>
      <c r="V1" s="18" t="s">
        <v>180</v>
      </c>
      <c r="W1" s="142">
        <f ca="1">J1</f>
        <v>44690</v>
      </c>
      <c r="X1" s="142"/>
      <c r="Y1" s="143"/>
    </row>
    <row r="2" spans="1:25" ht="20.100000000000001" customHeight="1" x14ac:dyDescent="0.25">
      <c r="A2" s="18" t="s">
        <v>99</v>
      </c>
      <c r="B2" s="125" t="str">
        <f>IF(U10="","",U10)</f>
        <v xml:space="preserve">5KG PRAWN LINER </v>
      </c>
      <c r="C2" s="125"/>
      <c r="D2" s="126"/>
      <c r="E2" s="18" t="s">
        <v>57</v>
      </c>
      <c r="F2" s="104">
        <v>939934</v>
      </c>
      <c r="G2" s="104"/>
      <c r="H2" s="105"/>
      <c r="I2" s="18" t="s">
        <v>58</v>
      </c>
      <c r="J2" s="103" t="s">
        <v>192</v>
      </c>
      <c r="K2" s="104"/>
      <c r="L2" s="105"/>
      <c r="M2" s="35"/>
      <c r="N2" s="18" t="s">
        <v>99</v>
      </c>
      <c r="O2" s="125" t="str">
        <f>IF(B2="","",B2)</f>
        <v xml:space="preserve">5KG PRAWN LINER </v>
      </c>
      <c r="P2" s="125"/>
      <c r="Q2" s="126"/>
      <c r="R2" s="18" t="s">
        <v>57</v>
      </c>
      <c r="S2" s="125">
        <f>IF(F2="","",F2)</f>
        <v>939934</v>
      </c>
      <c r="T2" s="125"/>
      <c r="U2" s="126"/>
      <c r="V2" s="18" t="s">
        <v>58</v>
      </c>
      <c r="W2" s="144" t="str">
        <f>J2</f>
        <v>ASAP</v>
      </c>
      <c r="X2" s="125"/>
      <c r="Y2" s="126"/>
    </row>
    <row r="3" spans="1:25" ht="20.100000000000001" customHeight="1" x14ac:dyDescent="0.25">
      <c r="A3" s="137" t="s">
        <v>199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  <c r="M3" s="35"/>
      <c r="N3" s="137" t="str">
        <f>A3</f>
        <v>30 ON BACKORDER 23.3.2022</v>
      </c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7"/>
    </row>
    <row r="4" spans="1:25" ht="20.100000000000001" customHeight="1" x14ac:dyDescent="0.2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40"/>
      <c r="M4" s="35"/>
      <c r="N4" s="138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40"/>
    </row>
    <row r="5" spans="1:25" ht="20.100000000000001" customHeight="1" x14ac:dyDescent="0.25">
      <c r="A5" s="141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5"/>
      <c r="N5" s="141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48" t="s">
        <v>1</v>
      </c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50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60</v>
      </c>
      <c r="P7" s="105"/>
      <c r="Q7" s="18" t="str">
        <f>IF(ISNUMBER(SEARCH("roll",O8,1)),"Per Roll","Per Carton")</f>
        <v>Per Roll</v>
      </c>
      <c r="R7" s="104">
        <v>500</v>
      </c>
      <c r="S7" s="105"/>
      <c r="T7" s="18" t="str">
        <f>IF(ISNUMBER(SEARCH("bag",O8,1)),"Total Bags","Total Sheets")</f>
        <v>Total Bags</v>
      </c>
      <c r="U7" s="125">
        <f>R7*O7</f>
        <v>30000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690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(390+300)</v>
      </c>
      <c r="F8" s="116"/>
      <c r="G8" s="19" t="s">
        <v>51</v>
      </c>
      <c r="H8" s="113">
        <f>(IF(V9&lt;30,"30",V9))</f>
        <v>35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47"/>
    </row>
    <row r="9" spans="1:25" ht="20.100000000000001" customHeight="1" x14ac:dyDescent="0.3">
      <c r="A9" s="23" t="s">
        <v>47</v>
      </c>
      <c r="B9" s="123" t="s">
        <v>195</v>
      </c>
      <c r="C9" s="124"/>
      <c r="D9" s="154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690</v>
      </c>
      <c r="S9" s="25" t="s">
        <v>77</v>
      </c>
      <c r="T9" s="36">
        <v>460</v>
      </c>
      <c r="U9" s="25" t="s">
        <v>77</v>
      </c>
      <c r="V9" s="36">
        <v>35</v>
      </c>
      <c r="W9" s="24"/>
      <c r="X9" s="110" t="s">
        <v>194</v>
      </c>
      <c r="Y9" s="111"/>
    </row>
    <row r="10" spans="1:25" ht="20.100000000000001" customHeight="1" x14ac:dyDescent="0.25">
      <c r="A10" s="18" t="s">
        <v>50</v>
      </c>
      <c r="B10" s="104">
        <v>60</v>
      </c>
      <c r="C10" s="105"/>
      <c r="D10" s="56" t="s">
        <v>133</v>
      </c>
      <c r="E10" s="127">
        <f>IF(ISNUMBER(SEARCH("sheet",O8,1)),((R9*T9*H8/540000)*U7/2000*1.3),((R9*T9*H8/540000)*U7/1000*1.08))</f>
        <v>666.54</v>
      </c>
      <c r="F10" s="128"/>
      <c r="G10" s="18" t="s">
        <v>52</v>
      </c>
      <c r="H10" s="131">
        <f>IF(ISNUMBER(SEARCH("sheet",O8,1)),(U7*T9/2000*1.08),(U7*T9/1000*1.08))</f>
        <v>14904.000000000002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196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11.109</v>
      </c>
      <c r="F11" s="130"/>
      <c r="G11" s="18" t="s">
        <v>14</v>
      </c>
      <c r="H11" s="129">
        <f>H10/B10</f>
        <v>248.40000000000003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1" t="s">
        <v>70</v>
      </c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3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60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0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5"/>
      <c r="Y16" s="156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22</v>
      </c>
      <c r="V17" s="105"/>
      <c r="W17" s="18" t="str">
        <f>IF(ISNUMBER(SEARCH("roll",O8,1)),"Total Rolls","Total Ctns")</f>
        <v>Total Rolls</v>
      </c>
      <c r="X17" s="155"/>
      <c r="Y17" s="156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5"/>
      <c r="Y18" s="156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0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1" t="s">
        <v>131</v>
      </c>
      <c r="H26" s="161"/>
      <c r="I26" s="161" t="s">
        <v>130</v>
      </c>
      <c r="J26" s="161"/>
      <c r="K26" s="12" t="s">
        <v>93</v>
      </c>
      <c r="L26" s="12" t="s">
        <v>94</v>
      </c>
      <c r="M26" s="35"/>
      <c r="N26" s="157" t="s">
        <v>136</v>
      </c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9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44721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44711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24211E1-38D4-41B2-907C-4387CC33C867}"/>
</file>

<file path=customXml/itemProps2.xml><?xml version="1.0" encoding="utf-8"?>
<ds:datastoreItem xmlns:ds="http://schemas.openxmlformats.org/officeDocument/2006/customXml" ds:itemID="{9E72CE7F-4125-4A3B-BE7C-6F2BEB0D33F7}"/>
</file>

<file path=customXml/itemProps3.xml><?xml version="1.0" encoding="utf-8"?>
<ds:datastoreItem xmlns:ds="http://schemas.openxmlformats.org/officeDocument/2006/customXml" ds:itemID="{15C6EE89-2712-4BAE-B2CF-EF19DE5CE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2022-05-09T02:40:28Z</cp:lastPrinted>
  <dcterms:created xsi:type="dcterms:W3CDTF">2019-11-27T23:28:06Z</dcterms:created>
  <dcterms:modified xsi:type="dcterms:W3CDTF">2022-05-09T02:41:01Z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