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A021D07-CE15-46BE-84B6-72D0731543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<sst xmlns="http://schemas.openxmlformats.org/spreadsheetml/2006/main" count="305" uniqueCount="201">
  <si>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</si>
  <si>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</si>
  <si>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</si>
  <si>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</si>
  <si>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</si>
  <si>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</si>
  <si>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</si>
  <si>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</si>
  <si>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</si>
  <si>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</si>
  <si>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</si>
  <si>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</si>
  <si>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</si>
  <si>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</si>
  <si>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</si>
  <si>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</si>
  <si>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</si>
  <si>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</si>
  <si>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</si>
  <si>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</si>
  <si>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</si>
  <si>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</si>
  <si>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</si>
  <si>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</si>
  <si>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</si>
  <si>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</si>
  <si>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</si>
  <si>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</si>
  <si>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</si>
  <si>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</si>
  <si>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</si>
  <si>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</si>
  <si>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</si>
  <si>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</si>
  <si>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</si>
  <si>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</si>
  <si>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</si>
  <si>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</si>
  <si>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</si>
  <si>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</si>
  <si>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</si>
  <si>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</si>
  <si>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</si>
  <si>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</si>
  <si>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</si>
  <si>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</si>
  <si>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</si>
  <si>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</si>
  <si>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</si>
  <si>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</si>
  <si>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</si>
  <si>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</si>
  <si>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</si>
  <si>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</si>
  <si>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</si>
  <si>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</si>
  <si>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</si>
  <si>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</si>
  <si>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</si>
  <si>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</si>
  <si>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</si>
  <si>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</si>
  <si>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</si>
  <si>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</si>
  <si>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</si>
  <si>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</si>
  <si>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</si>
  <si>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</si>
  <si>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</si>
  <si>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</si>
  <si>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</si>
  <si>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</si>
  <si>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</si>
  <si>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</si>
  <si>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</si>
  <si>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</si>
  <si>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</si>
  <si>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</si>
  <si>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</si>
  <si>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</si>
  <si>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</si>
  <si>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</si>
  <si>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</si>
  <si>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</si>
  <si>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</si>
  <si>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</si>
  <si>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</si>
  <si>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</si>
  <si>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</si>
  <si>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</si>
  <si>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</si>
  <si>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</si>
  <si>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</si>
  <si>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</si>
  <si>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</si>
  <si>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</si>
  <si>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</si>
  <si>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</si>
  <si>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</si>
  <si>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</si>
  <si>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</si>
  <si>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</si>
  <si>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</si>
  <si>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</si>
  <si>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</si>
  <si>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</si>
  <si>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</si>
  <si>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</si>
  <si>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</si>
  <si>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</si>
  <si>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</si>
  <si>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</si>
  <si>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</si>
  <si>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</si>
  <si>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</si>
  <si>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</si>
  <si>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</si>
  <si>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</si>
  <si>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</si>
  <si>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</si>
  <si>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</si>
  <si>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</si>
  <si>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</si>
  <si>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</si>
  <si>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</si>
  <si>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</si>
  <si>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</si>
  <si>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</si>
  <si>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</si>
  <si>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</si>
  <si>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</si>
  <si>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</si>
  <si>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</si>
  <si>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</si>
  <si>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</si>
  <si>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</si>
  <si>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</si>
  <si>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</si>
  <si>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</si>
  <si>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</si>
  <si>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</si>
  <si>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</si>
  <si>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</si>
  <si>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</si>
  <si>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</si>
  <si>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</si>
  <si>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</si>
  <si>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</si>
  <si>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</si>
  <si>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</si>
  <si>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</si>
  <si>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</si>
  <si>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</si>
  <si>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</si>
  <si>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</si>
  <si>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</si>
  <si>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</si>
  <si>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</si>
  <si>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</si>
  <si>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</si>
  <si>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</si>
  <si>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</si>
  <si>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</si>
  <si>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</si>
  <si>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</si>
  <si>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</si>
  <si>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</si>
  <si>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</si>
  <si>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</si>
  <si>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</si>
  <si>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</si>
  <si>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</si>
  <si>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</si>
  <si>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</si>
  <si>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</si>
  <si>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</si>
  <si>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</si>
  <si>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</si>
  <si>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</si>
  <si>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</si>
  <si>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</si>
  <si>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</si>
  <si>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</si>
  <si>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</si>
  <si>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</si>
  <si>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</si>
  <si>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</si>
  <si>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</si>
  <si>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</si>
  <si>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</si>
  <si>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</si>
  <si>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</si>
  <si>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</si>
  <si>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</si>
  <si>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+0mm/- 5mm</t>
  </si>
  <si>
    <t>NOT OVER</t>
  </si>
  <si>
    <t>LIMAX</t>
  </si>
  <si>
    <t>LIVE CORALS AUS</t>
  </si>
  <si>
    <t>ANTISLIP</t>
  </si>
  <si>
    <t>LINE 1</t>
  </si>
  <si>
    <t>22/20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</si>
</sst>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Q25" sqref="Q25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PB1103101500</v>
      </c>
      <c r="C1" s="110"/>
      <c r="D1" s="111"/>
      <c r="E1" s="10" t="s">
        <v>57</v>
      </c>
      <c r="F1" s="121" t="s">
        <v>197</v>
      </c>
      <c r="G1" s="86"/>
      <c r="H1" s="87"/>
      <c r="I1" s="11" t="s">
        <v>181</v>
      </c>
      <c r="J1" s="83">
        <f ca="1">TODAY()</f>
        <v>45835</v>
      </c>
      <c r="K1" s="83"/>
      <c r="L1" s="84"/>
      <c r="M1" s="28"/>
      <c r="N1" s="10" t="s">
        <v>56</v>
      </c>
      <c r="O1" s="110" t="str">
        <f>B1</f>
        <v>PB1103101500</v>
      </c>
      <c r="P1" s="110"/>
      <c r="Q1" s="111"/>
      <c r="R1" s="10" t="s">
        <v>57</v>
      </c>
      <c r="S1" s="110" t="str">
        <f>F1</f>
        <v>LIVE CORALS AUS</v>
      </c>
      <c r="T1" s="110"/>
      <c r="U1" s="111"/>
      <c r="V1" s="10" t="s">
        <v>181</v>
      </c>
      <c r="W1" s="83">
        <f ca="1">J1</f>
        <v>45835</v>
      </c>
      <c r="X1" s="83"/>
      <c r="Y1" s="84"/>
    </row>
    <row r="2" spans="1:25" ht="20.100000000000001" customHeight="1" x14ac:dyDescent="0.25">
      <c r="A2" s="10" t="s">
        <v>100</v>
      </c>
      <c r="B2" s="110" t="str">
        <f>IF(U10="","",U10)</f>
        <v/>
      </c>
      <c r="C2" s="110"/>
      <c r="D2" s="111"/>
      <c r="E2" s="10" t="s">
        <v>58</v>
      </c>
      <c r="F2" s="86">
        <v>949606</v>
      </c>
      <c r="G2" s="86"/>
      <c r="H2" s="87"/>
      <c r="I2" s="10" t="s">
        <v>59</v>
      </c>
      <c r="J2" s="85">
        <v>45757</v>
      </c>
      <c r="K2" s="86"/>
      <c r="L2" s="87"/>
      <c r="M2" s="28"/>
      <c r="N2" s="10" t="s">
        <v>100</v>
      </c>
      <c r="O2" s="110" t="str">
        <f>IF(B2="","",B2)</f>
        <v/>
      </c>
      <c r="P2" s="110"/>
      <c r="Q2" s="111"/>
      <c r="R2" s="10" t="s">
        <v>58</v>
      </c>
      <c r="S2" s="110">
        <f>IF(F2="","",F2)</f>
        <v>949606</v>
      </c>
      <c r="T2" s="110"/>
      <c r="U2" s="111"/>
      <c r="V2" s="10" t="s">
        <v>59</v>
      </c>
      <c r="W2" s="122">
        <f>J2</f>
        <v>45757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17</v>
      </c>
      <c r="P7" s="87"/>
      <c r="Q7" s="10" t="str">
        <f>IF(ISNUMBER(SEARCH("roll",O8,1)),"Per Roll","Per Carton")</f>
        <v>Per Carton</v>
      </c>
      <c r="R7" s="86">
        <v>1000</v>
      </c>
      <c r="S7" s="87"/>
      <c r="T7" s="10" t="str">
        <f>IF(ISNUMBER(SEARCH("bag",O8,1)),"Total Bags","Total Sheets")</f>
        <v>Total Bags</v>
      </c>
      <c r="U7" s="110">
        <f>R7*O7</f>
        <v>17000</v>
      </c>
      <c r="V7" s="111"/>
      <c r="W7" s="10" t="s">
        <v>102</v>
      </c>
      <c r="X7" s="86" t="s">
        <v>23</v>
      </c>
      <c r="Y7" s="87"/>
    </row>
    <row r="8" spans="1:25" ht="20.100000000000001" customHeight="1" x14ac:dyDescent="0.25">
      <c r="A8" s="12" t="s">
        <v>16</v>
      </c>
      <c r="B8" s="88">
        <f>R9</f>
        <v>110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2" t="s">
        <v>52</v>
      </c>
      <c r="H8" s="88">
        <f>(IF(V9&lt;30,"30",V9))</f>
        <v>150</v>
      </c>
      <c r="I8" s="8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25" t="s">
        <v>164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5" t="s">
        <v>48</v>
      </c>
      <c r="B9" s="98" t="s">
        <v>194</v>
      </c>
      <c r="C9" s="99"/>
      <c r="D9" s="106" t="str">
        <f>IF(K10="Middle","RUN 2 UP",IF(AND(O8="Centrefold Roll",B8=380),"RUN 2 UP",""))</f>
        <v/>
      </c>
      <c r="E9" s="107"/>
      <c r="F9" s="108"/>
      <c r="G9" s="15" t="s">
        <v>48</v>
      </c>
      <c r="H9" s="98" t="s">
        <v>195</v>
      </c>
      <c r="I9" s="99"/>
      <c r="J9" s="10" t="s">
        <v>55</v>
      </c>
      <c r="K9" s="86" t="s">
        <v>30</v>
      </c>
      <c r="L9" s="87"/>
      <c r="M9" s="28"/>
      <c r="N9" s="16"/>
      <c r="O9" s="127" t="str">
        <f>IF(O8="Poly Bag","PB",IF(O8="Poly Bag Roll","PBR",IF(O8="Centrefold Roll","CFR",IF(O8="Sheet","S",IF(O8="Sheet Roll","SR")))))</f>
        <v>PB</v>
      </c>
      <c r="P9" s="128"/>
      <c r="Q9" s="16"/>
      <c r="R9" s="29">
        <v>110</v>
      </c>
      <c r="S9" s="17" t="s">
        <v>78</v>
      </c>
      <c r="T9" s="29">
        <v>310</v>
      </c>
      <c r="U9" s="17" t="s">
        <v>78</v>
      </c>
      <c r="V9" s="29">
        <v>150</v>
      </c>
      <c r="W9" s="16"/>
      <c r="X9" s="136"/>
      <c r="Y9" s="137"/>
    </row>
    <row r="10" spans="1:25" ht="20.100000000000001" customHeight="1" x14ac:dyDescent="0.25">
      <c r="A10" s="10" t="s">
        <v>51</v>
      </c>
      <c r="B10" s="86">
        <v>14</v>
      </c>
      <c r="C10" s="87"/>
      <c r="D10" s="46" t="s">
        <v>134</v>
      </c>
      <c r="E10" s="100">
        <f>IF(ISNUMBER(SEARCH("sheet",O8,1)),((R9*T9*H8/540000)*U7/2000*1.3),((R9*T9*H8/540000)*U7/1000*1.08))</f>
        <v>173.90999999999997</v>
      </c>
      <c r="F10" s="101"/>
      <c r="G10" s="10" t="s">
        <v>53</v>
      </c>
      <c r="H10" s="104">
        <f>IF(ISNUMBER(SEARCH("sheet",O8,1)),(U7*T9/2000*1.08),(U7*T9/1000*1.08))</f>
        <v>5691.6</v>
      </c>
      <c r="I10" s="105"/>
      <c r="J10" s="10" t="s">
        <v>41</v>
      </c>
      <c r="K10" s="86" t="s">
        <v>44</v>
      </c>
      <c r="L10" s="87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None</v>
      </c>
      <c r="S10" s="123"/>
      <c r="T10" s="13" t="s">
        <v>100</v>
      </c>
      <c r="U10" s="130"/>
      <c r="V10" s="130"/>
      <c r="W10" s="130"/>
      <c r="X10" s="130"/>
      <c r="Y10" s="131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02">
        <f>E10/B10</f>
        <v>12.422142857142855</v>
      </c>
      <c r="F11" s="103"/>
      <c r="G11" s="10" t="s">
        <v>15</v>
      </c>
      <c r="H11" s="102">
        <f>H10/B10</f>
        <v>406.54285714285714</v>
      </c>
      <c r="I11" s="103"/>
      <c r="J11" s="10" t="s">
        <v>50</v>
      </c>
      <c r="K11" s="86" t="s">
        <v>44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/>
      </c>
      <c r="S11" s="89"/>
      <c r="T11" s="12"/>
      <c r="U11" s="132"/>
      <c r="V11" s="132"/>
      <c r="W11" s="132"/>
      <c r="X11" s="132"/>
      <c r="Y11" s="133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29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44</v>
      </c>
      <c r="C13" s="86"/>
      <c r="D13" s="87"/>
      <c r="E13" s="18" t="s">
        <v>61</v>
      </c>
      <c r="F13" s="86" t="s">
        <v>44</v>
      </c>
      <c r="G13" s="86"/>
      <c r="H13" s="87"/>
      <c r="I13" s="10" t="s">
        <v>62</v>
      </c>
      <c r="J13" s="86" t="s">
        <v>44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17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8"/>
      <c r="N14" s="129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>
        <v>130</v>
      </c>
      <c r="P16" s="87"/>
      <c r="Q16" s="10" t="s">
        <v>105</v>
      </c>
      <c r="R16" s="86" t="s">
        <v>31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35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31</v>
      </c>
      <c r="V17" s="87"/>
      <c r="W17" s="10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38</v>
      </c>
      <c r="P18" s="87"/>
      <c r="Q18" s="10" t="s">
        <v>106</v>
      </c>
      <c r="R18" s="86" t="s">
        <v>31</v>
      </c>
      <c r="S18" s="87"/>
      <c r="T18" s="20" t="s">
        <v>27</v>
      </c>
      <c r="U18" s="86" t="s">
        <v>36</v>
      </c>
      <c r="V18" s="87"/>
      <c r="W18" s="10" t="s">
        <v>109</v>
      </c>
      <c r="X18" s="139"/>
      <c r="Y18" s="140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141" t="s">
        <v>116</v>
      </c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3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144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6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144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6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7" t="s">
        <v>86</v>
      </c>
      <c r="H22" s="31"/>
      <c r="I22" s="81"/>
      <c r="J22" s="82"/>
      <c r="K22" s="81"/>
      <c r="L22" s="82"/>
      <c r="M22" s="28"/>
      <c r="N22" s="147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9"/>
    </row>
    <row r="23" spans="1:25" ht="20.100000000000001" customHeight="1" x14ac:dyDescent="0.25">
      <c r="A23" s="78" t="s">
        <v>198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7" t="s">
        <v>87</v>
      </c>
      <c r="H23" s="31"/>
      <c r="I23" s="81"/>
      <c r="J23" s="82"/>
      <c r="K23" s="81"/>
      <c r="L23" s="82"/>
      <c r="M23" s="28"/>
      <c r="N23" s="129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 t="s">
        <v>196</v>
      </c>
      <c r="P25" s="33"/>
      <c r="Q25" s="9" t="s">
        <v>200</v>
      </c>
      <c r="R25" s="9"/>
      <c r="S25" s="9"/>
      <c r="T25" s="9"/>
      <c r="U25" s="9"/>
      <c r="V25" s="9"/>
      <c r="W25" s="9">
        <v>20</v>
      </c>
      <c r="X25" s="9">
        <v>16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8" t="s">
        <v>132</v>
      </c>
      <c r="H26" s="138"/>
      <c r="I26" s="138" t="s">
        <v>131</v>
      </c>
      <c r="J26" s="138"/>
      <c r="K26" s="23" t="s">
        <v>94</v>
      </c>
      <c r="L26" s="23" t="s">
        <v>95</v>
      </c>
      <c r="M26" s="28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199</v>
      </c>
      <c r="C27" s="7"/>
      <c r="D27" s="150">
        <v>82</v>
      </c>
      <c r="E27" s="151">
        <v>2.8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4"/>
      <c r="G29" s="134"/>
      <c r="H29" s="134"/>
      <c r="I29" s="134"/>
      <c r="J29" s="134"/>
      <c r="K29" s="91"/>
      <c r="L29" s="135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45865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45856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3F95909-30F9-4A25-9D61-AC6CB1EA45A7}"/>
</file>

<file path=customXml/itemProps2.xml><?xml version="1.0" encoding="utf-8"?>
<ds:datastoreItem xmlns:ds="http://schemas.openxmlformats.org/officeDocument/2006/customXml" ds:itemID="{9327E92D-0B0E-4570-B75B-577BEB0EBA94}"/>
</file>

<file path=customXml/itemProps3.xml><?xml version="1.0" encoding="utf-8"?>
<ds:datastoreItem xmlns:ds="http://schemas.openxmlformats.org/officeDocument/2006/customXml" ds:itemID="{B97A3217-EFD8-40A8-98B6-DE9901787C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2025-03-20T00:05:36Z</cp:lastPrinted>
  <dcterms:created xsi:type="dcterms:W3CDTF">2019-11-27T23:28:06Z</dcterms:created>
  <dcterms:modified xsi:type="dcterms:W3CDTF">2025-06-26T22:44:03Z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