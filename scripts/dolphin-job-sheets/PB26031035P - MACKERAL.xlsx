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FE215FB-6055-4373-BEF5-B84C5329C3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<sst xmlns="http://schemas.openxmlformats.org/spreadsheetml/2006/main" count="308" uniqueCount="203">
  <si>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</si>
  <si>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</si>
  <si>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</si>
  <si>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</si>
  <si>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</si>
  <si>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</si>
  <si>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</si>
  <si>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</si>
  <si>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</si>
  <si>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</si>
  <si>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</si>
  <si>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</si>
  <si>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</si>
  <si>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</si>
  <si>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</si>
  <si>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</si>
  <si>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</si>
  <si>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</si>
  <si>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</si>
  <si>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</si>
  <si>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</si>
  <si>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</si>
  <si>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</si>
  <si>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</si>
  <si>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</si>
  <si>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</si>
  <si>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</si>
  <si>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</si>
  <si>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</si>
  <si>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</si>
  <si>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</si>
  <si>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</si>
  <si>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</si>
  <si>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</si>
  <si>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</si>
  <si>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</si>
  <si>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</si>
  <si>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</si>
  <si>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</si>
  <si>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</si>
  <si>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</si>
  <si>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</si>
  <si>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</si>
  <si>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</si>
  <si>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</si>
  <si>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</si>
  <si>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</si>
  <si>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</si>
  <si>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</si>
  <si>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</si>
  <si>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</si>
  <si>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</si>
  <si>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</si>
  <si>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</si>
  <si>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</si>
  <si>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</si>
  <si>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</si>
  <si>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</si>
  <si>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</si>
  <si>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</si>
  <si>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</si>
  <si>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</si>
  <si>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</si>
  <si>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</si>
  <si>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</si>
  <si>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</si>
  <si>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</si>
  <si>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</si>
  <si>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</si>
  <si>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</si>
  <si>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</si>
  <si>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</si>
  <si>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</si>
  <si>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</si>
  <si>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</si>
  <si>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</si>
  <si>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</si>
  <si>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</si>
  <si>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</si>
  <si>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</si>
  <si>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</si>
  <si>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</si>
  <si>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</si>
  <si>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</si>
  <si>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</si>
  <si>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</si>
  <si>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</si>
  <si>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</si>
  <si>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</si>
  <si>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</si>
  <si>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</si>
  <si>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</si>
  <si>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</si>
  <si>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</si>
  <si>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</si>
  <si>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</si>
  <si>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</si>
  <si>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</si>
  <si>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</si>
  <si>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</si>
  <si>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</si>
  <si>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</si>
  <si>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</si>
  <si>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</si>
  <si>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</si>
  <si>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</si>
  <si>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</si>
  <si>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</si>
  <si>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</si>
  <si>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</si>
  <si>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</si>
  <si>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</si>
  <si>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</si>
  <si>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</si>
  <si>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</si>
  <si>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</si>
  <si>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</si>
  <si>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</si>
  <si>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</si>
  <si>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</si>
  <si>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</si>
  <si>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</si>
  <si>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</si>
  <si>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</si>
  <si>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</si>
  <si>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</si>
  <si>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</si>
  <si>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</si>
  <si>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</si>
  <si>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</si>
  <si>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</si>
  <si>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</si>
  <si>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</si>
  <si>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</si>
  <si>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</si>
  <si>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</si>
  <si>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</si>
  <si>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</si>
  <si>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</si>
  <si>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</si>
  <si>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</si>
  <si>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</si>
  <si>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</si>
  <si>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</si>
  <si>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</si>
  <si>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</si>
  <si>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</si>
  <si>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</si>
  <si>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</si>
  <si>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</si>
  <si>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</si>
  <si>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</si>
  <si>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</si>
  <si>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</si>
  <si>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</si>
  <si>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</si>
  <si>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</si>
  <si>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</si>
  <si>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</si>
  <si>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</si>
  <si>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</si>
  <si>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</si>
  <si>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</si>
  <si>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</si>
  <si>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</si>
  <si>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</si>
  <si>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</si>
  <si>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</si>
  <si>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</si>
  <si>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</si>
  <si>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</si>
  <si>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</si>
  <si>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</si>
  <si>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</si>
  <si>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</si>
  <si>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</si>
  <si>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</si>
  <si>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</si>
  <si>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</si>
  <si>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</si>
  <si>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</si>
  <si>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</si>
  <si>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</si>
  <si>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</si>
  <si>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</si>
  <si>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</si>
  <si>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</si>
  <si>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</si>
  <si>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</si>
  <si>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</si>
  <si>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</si>
  <si>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</si>
  <si>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</si>
  <si>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</si>
  <si>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</si>
  <si>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MUST HAVE WATERPROOF SEALS - PLEASE CHECK FREQUENTLY</t>
  </si>
  <si>
    <t>MACKERAL</t>
  </si>
  <si>
    <t>"MACKERAL"</t>
  </si>
  <si>
    <t>ROB BEN</t>
  </si>
  <si>
    <t>ANTISTATIC</t>
  </si>
  <si>
    <t>ANTIBLOCK</t>
  </si>
  <si>
    <t>#5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</si>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</sst>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PB26031035AS0P</v>
      </c>
      <c r="C1" s="108"/>
      <c r="D1" s="109"/>
      <c r="E1" s="10" t="s">
        <v>57</v>
      </c>
      <c r="F1" s="62" t="s">
        <v>198</v>
      </c>
      <c r="G1" s="62"/>
      <c r="H1" s="63"/>
      <c r="I1" s="11" t="s">
        <v>181</v>
      </c>
      <c r="J1" s="119">
        <f ca="1">TODAY()</f>
        <v>45593</v>
      </c>
      <c r="K1" s="119"/>
      <c r="L1" s="120"/>
      <c r="M1" s="28"/>
      <c r="N1" s="10" t="s">
        <v>56</v>
      </c>
      <c r="O1" s="108" t="str">
        <f>B1</f>
        <v>PB26031035AS0P</v>
      </c>
      <c r="P1" s="108"/>
      <c r="Q1" s="109"/>
      <c r="R1" s="10" t="s">
        <v>57</v>
      </c>
      <c r="S1" s="108" t="str">
        <f>F1</f>
        <v>ROB BEN</v>
      </c>
      <c r="T1" s="108"/>
      <c r="U1" s="109"/>
      <c r="V1" s="10" t="s">
        <v>181</v>
      </c>
      <c r="W1" s="119">
        <f ca="1">J1</f>
        <v>45593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MACKERAL</v>
      </c>
      <c r="C2" s="108"/>
      <c r="D2" s="109"/>
      <c r="E2" s="10" t="s">
        <v>58</v>
      </c>
      <c r="F2" s="62">
        <v>947646</v>
      </c>
      <c r="G2" s="62"/>
      <c r="H2" s="63"/>
      <c r="I2" s="10" t="s">
        <v>59</v>
      </c>
      <c r="J2" s="122">
        <v>45411</v>
      </c>
      <c r="K2" s="62"/>
      <c r="L2" s="63"/>
      <c r="M2" s="28"/>
      <c r="N2" s="10" t="s">
        <v>100</v>
      </c>
      <c r="O2" s="108" t="str">
        <f>IF(B2="","",B2)</f>
        <v>MACKERAL</v>
      </c>
      <c r="P2" s="108"/>
      <c r="Q2" s="109"/>
      <c r="R2" s="10" t="s">
        <v>58</v>
      </c>
      <c r="S2" s="108">
        <f>IF(F2="","",F2)</f>
        <v>947646</v>
      </c>
      <c r="T2" s="108"/>
      <c r="U2" s="109"/>
      <c r="V2" s="10" t="s">
        <v>59</v>
      </c>
      <c r="W2" s="121">
        <f>J2</f>
        <v>45411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MUST HAVE WATERPROOF SEALS - PLEASE CHECK FREQUENTLY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11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11000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260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35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194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260</v>
      </c>
      <c r="S9" s="17" t="s">
        <v>78</v>
      </c>
      <c r="T9" s="29">
        <v>310</v>
      </c>
      <c r="U9" s="17" t="s">
        <v>78</v>
      </c>
      <c r="V9" s="29">
        <v>35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4</v>
      </c>
      <c r="C10" s="63"/>
      <c r="D10" s="46" t="s">
        <v>134</v>
      </c>
      <c r="E10" s="127">
        <f>IF(ISNUMBER(SEARCH("sheet",O8,1)),((R9*T9*H8/540000)*U7/2000*1.3),((R9*T9*H8/540000)*U7/1000*1.08))</f>
        <v>62.061999999999998</v>
      </c>
      <c r="F10" s="128"/>
      <c r="G10" s="10" t="s">
        <v>53</v>
      </c>
      <c r="H10" s="131">
        <f>IF(ISNUMBER(SEARCH("sheet",O8,1)),(U7*T9/2000*1.08),(U7*T9/1000*1.08))</f>
        <v>3682.8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Yes</v>
      </c>
      <c r="S10" s="94"/>
      <c r="T10" s="13" t="s">
        <v>100</v>
      </c>
      <c r="U10" s="104" t="s">
        <v>196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15.515499999999999</v>
      </c>
      <c r="F11" s="130"/>
      <c r="G11" s="10" t="s">
        <v>15</v>
      </c>
      <c r="H11" s="129">
        <f>H10/B10</f>
        <v>920.7</v>
      </c>
      <c r="I11" s="130"/>
      <c r="J11" s="10" t="s">
        <v>50</v>
      </c>
      <c r="K11" s="62" t="s">
        <v>64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>P</v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70</v>
      </c>
      <c r="C13" s="62"/>
      <c r="D13" s="63"/>
      <c r="E13" s="18" t="s">
        <v>61</v>
      </c>
      <c r="F13" s="62" t="s">
        <v>66</v>
      </c>
      <c r="G13" s="62"/>
      <c r="H13" s="63"/>
      <c r="I13" s="10" t="s">
        <v>62</v>
      </c>
      <c r="J13" s="62" t="s">
        <v>177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11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 t="s">
        <v>197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199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200</v>
      </c>
      <c r="B24" s="14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202</v>
      </c>
      <c r="P25" s="33"/>
      <c r="Q25" s="141">
        <v>30</v>
      </c>
      <c r="R25" s="141">
        <v>6</v>
      </c>
      <c r="S25" s="9"/>
      <c r="T25" s="141">
        <v>8</v>
      </c>
      <c r="U25" s="9"/>
      <c r="V25" s="9"/>
      <c r="W25" s="9">
        <v>17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9">
        <v>20.2</v>
      </c>
      <c r="E27" s="58">
        <v>6.4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90B56A-B9D2-449B-BC31-5DEAC2986DBE}"/>
</file>

<file path=customXml/itemProps2.xml><?xml version="1.0" encoding="utf-8"?>
<ds:datastoreItem xmlns:ds="http://schemas.openxmlformats.org/officeDocument/2006/customXml" ds:itemID="{4EC6B63C-01E4-426B-8D81-504D783DB5B1}"/>
</file>

<file path=customXml/itemProps3.xml><?xml version="1.0" encoding="utf-8"?>
<ds:datastoreItem xmlns:ds="http://schemas.openxmlformats.org/officeDocument/2006/customXml" ds:itemID="{16C7A303-F83A-4956-B535-2DE2CF8B4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2024-04-08T00:00:46Z</cp:lastPrinted>
  <dcterms:created xsi:type="dcterms:W3CDTF">2019-11-27T23:28:06Z</dcterms:created>
  <dcterms:modified xsi:type="dcterms:W3CDTF">2024-10-27T23:47:33Z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