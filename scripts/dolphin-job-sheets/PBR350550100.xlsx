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37D4EB4-C7E3-47B9-83A2-8DE39F4DCC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<sst xmlns="http://schemas.openxmlformats.org/spreadsheetml/2006/main" count="301" uniqueCount="199">
  <si>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</si>
  <si>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</si>
  <si>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</si>
  <si>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</si>
  <si>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</si>
  <si>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</si>
  <si>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</si>
  <si>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</si>
  <si>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</si>
  <si>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</si>
  <si>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</si>
  <si>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</si>
  <si>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</si>
  <si>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</si>
  <si>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</si>
  <si>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</si>
  <si>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</si>
  <si>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</si>
  <si>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</si>
  <si>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</si>
  <si>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</si>
  <si>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</si>
  <si>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</si>
  <si>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</si>
  <si>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</si>
  <si>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</si>
  <si>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</si>
  <si>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</si>
  <si>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</si>
  <si>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</si>
  <si>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</si>
  <si>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</si>
  <si>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</si>
  <si>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</si>
  <si>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</si>
  <si>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</si>
  <si>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</si>
  <si>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</si>
  <si>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</si>
  <si>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</si>
  <si>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</si>
  <si>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</si>
  <si>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</si>
  <si>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</si>
  <si>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</si>
  <si>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</si>
  <si>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</si>
  <si>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</si>
  <si>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</si>
  <si>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</si>
  <si>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</si>
  <si>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</si>
  <si>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</si>
  <si>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</si>
  <si>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</si>
  <si>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</si>
  <si>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</si>
  <si>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</si>
  <si>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</si>
  <si>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</si>
  <si>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</si>
  <si>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</si>
  <si>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</si>
  <si>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</si>
  <si>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</si>
  <si>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</si>
  <si>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</si>
  <si>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</si>
  <si>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</si>
  <si>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</si>
  <si>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</si>
  <si>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</si>
  <si>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</si>
  <si>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</si>
  <si>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</si>
  <si>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</si>
  <si>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</si>
  <si>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</si>
  <si>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</si>
  <si>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</si>
  <si>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</si>
  <si>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</si>
  <si>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</si>
  <si>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</si>
  <si>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</si>
  <si>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</si>
  <si>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</si>
  <si>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</si>
  <si>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</si>
  <si>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</si>
  <si>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</si>
  <si>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</si>
  <si>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</si>
  <si>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</si>
  <si>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</si>
  <si>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</si>
  <si>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</si>
  <si>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</si>
  <si>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</si>
  <si>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</si>
  <si>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</si>
  <si>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</si>
  <si>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</si>
  <si>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</si>
  <si>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</si>
  <si>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</si>
  <si>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</si>
  <si>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</si>
  <si>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</si>
  <si>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</si>
  <si>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</si>
  <si>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</si>
  <si>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</si>
  <si>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</si>
  <si>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</si>
  <si>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</si>
  <si>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</si>
  <si>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</si>
  <si>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</si>
  <si>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</si>
  <si>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</si>
  <si>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</si>
  <si>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</si>
  <si>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</si>
  <si>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</si>
  <si>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</si>
  <si>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</si>
  <si>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</si>
  <si>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</si>
  <si>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</si>
  <si>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</si>
  <si>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</si>
  <si>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</si>
  <si>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</si>
  <si>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</si>
  <si>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</si>
  <si>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</si>
  <si>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</si>
  <si>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</si>
  <si>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</si>
  <si>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</si>
  <si>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</si>
  <si>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</si>
  <si>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</si>
  <si>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</si>
  <si>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</si>
  <si>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</si>
  <si>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</si>
  <si>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</si>
  <si>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</si>
  <si>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</si>
  <si>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</si>
  <si>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</si>
  <si>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</si>
  <si>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</si>
  <si>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</si>
  <si>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</si>
  <si>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</si>
  <si>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</si>
  <si>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</si>
  <si>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</si>
  <si>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</si>
  <si>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</si>
  <si>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</si>
  <si>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</si>
  <si>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</si>
  <si>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</si>
  <si>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</si>
  <si>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</si>
  <si>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</si>
  <si>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</si>
  <si>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</si>
  <si>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</si>
  <si>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</si>
  <si>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</si>
  <si>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</si>
  <si>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</si>
  <si>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</si>
  <si>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</si>
  <si>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</si>
  <si>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</si>
  <si>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</si>
  <si>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</si>
  <si>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</si>
  <si>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</si>
  <si>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</si>
  <si>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</si>
  <si>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</si>
  <si>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</si>
  <si>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</si>
  <si>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</si>
  <si>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</si>
  <si>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</si>
  <si>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</si>
  <si>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</si>
  <si>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</si>
  <si>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PERF</t>
  </si>
  <si>
    <t>POINT CARTWRIGHT</t>
  </si>
  <si>
    <t>MUST HAVE WATER TIGHT SEALS - PLEASE TEST FREQUENTLY - 20 ROLLS ON BACKORDER 22.7.2021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</si>
</sst>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H12" sqref="AH12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PBR350550100</v>
      </c>
      <c r="C1" s="125"/>
      <c r="D1" s="126"/>
      <c r="E1" s="18" t="s">
        <v>56</v>
      </c>
      <c r="F1" s="149" t="s">
        <v>197</v>
      </c>
      <c r="G1" s="149"/>
      <c r="H1" s="150"/>
      <c r="I1" s="18" t="s">
        <v>180</v>
      </c>
      <c r="J1" s="146">
        <f ca="1">TODAY()</f>
        <v>44407</v>
      </c>
      <c r="K1" s="146"/>
      <c r="L1" s="147"/>
      <c r="M1" s="35"/>
      <c r="N1" s="18" t="s">
        <v>55</v>
      </c>
      <c r="O1" s="125" t="str">
        <f>B1</f>
        <v>PBR350550100</v>
      </c>
      <c r="P1" s="125"/>
      <c r="Q1" s="126"/>
      <c r="R1" s="18" t="s">
        <v>56</v>
      </c>
      <c r="S1" s="125" t="str">
        <f>F1</f>
        <v>POINT CARTWRIGHT</v>
      </c>
      <c r="T1" s="125"/>
      <c r="U1" s="126"/>
      <c r="V1" s="18" t="s">
        <v>180</v>
      </c>
      <c r="W1" s="146">
        <f ca="1">J1</f>
        <v>44407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94036</v>
      </c>
      <c r="G2" s="104"/>
      <c r="H2" s="105"/>
      <c r="I2" s="18" t="s">
        <v>58</v>
      </c>
      <c r="J2" s="103">
        <v>44428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94036</v>
      </c>
      <c r="T2" s="125"/>
      <c r="U2" s="126"/>
      <c r="V2" s="18" t="s">
        <v>58</v>
      </c>
      <c r="W2" s="148">
        <f>J2</f>
        <v>44428</v>
      </c>
      <c r="X2" s="125"/>
      <c r="Y2" s="126"/>
    </row>
    <row r="3" spans="1:25" ht="20.100000000000001" customHeight="1" x14ac:dyDescent="0.25">
      <c r="A3" s="137" t="s">
        <v>198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MUST HAVE WATER TIGHT SEALS - PLEASE TEST FREQUENTLY - 20 ROLLS ON BACKORDER 22.7.2021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40</v>
      </c>
      <c r="P7" s="105"/>
      <c r="Q7" s="18" t="str">
        <f>IF(ISNUMBER(SEARCH("roll",O8,1)),"Per Roll","Per Carton")</f>
        <v>Per Roll</v>
      </c>
      <c r="R7" s="104">
        <v>500</v>
      </c>
      <c r="S7" s="105"/>
      <c r="T7" s="18" t="str">
        <f>IF(ISNUMBER(SEARCH("bag",O8,1)),"Total Bags","Total Sheets")</f>
        <v>Total Bags</v>
      </c>
      <c r="U7" s="125">
        <f>R7*O7</f>
        <v>20000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350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29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350</v>
      </c>
      <c r="S9" s="25" t="s">
        <v>77</v>
      </c>
      <c r="T9" s="36">
        <v>550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26</v>
      </c>
      <c r="C10" s="105"/>
      <c r="D10" s="56" t="s">
        <v>133</v>
      </c>
      <c r="E10" s="127">
        <f>IF(ISNUMBER(SEARCH("sheet",O8,1)),((R9*T9*H8/540000)*U7/2000*1.3),((R9*T9*H8/540000)*U7/1000*1.08))</f>
        <v>770</v>
      </c>
      <c r="F10" s="128"/>
      <c r="G10" s="18" t="s">
        <v>52</v>
      </c>
      <c r="H10" s="131">
        <f>IF(ISNUMBER(SEARCH("sheet",O8,1)),(U7*T9/2000*1.08),(U7*T9/1000*1.08))</f>
        <v>11880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29.615384615384617</v>
      </c>
      <c r="F11" s="130"/>
      <c r="G11" s="18" t="s">
        <v>14</v>
      </c>
      <c r="H11" s="129">
        <f>H10/B10</f>
        <v>456.92307692307691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40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22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196</v>
      </c>
      <c r="P25" s="41"/>
      <c r="Q25" s="10">
        <v>24</v>
      </c>
      <c r="R25" s="10">
        <v>8</v>
      </c>
      <c r="S25" s="10"/>
      <c r="T25" s="10">
        <v>10</v>
      </c>
      <c r="U25" s="10">
        <v>2</v>
      </c>
      <c r="V25" s="10">
        <v>3</v>
      </c>
      <c r="W25" s="10">
        <v>185</v>
      </c>
      <c r="X25" s="10">
        <v>185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44438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44428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73FB36D-78A5-48EF-85B8-389EAC0403EE}"/>
</file>

<file path=customXml/itemProps2.xml><?xml version="1.0" encoding="utf-8"?>
<ds:datastoreItem xmlns:ds="http://schemas.openxmlformats.org/officeDocument/2006/customXml" ds:itemID="{51CC3A95-7C83-4F14-AB54-FD883FB84729}"/>
</file>

<file path=customXml/itemProps3.xml><?xml version="1.0" encoding="utf-8"?>
<ds:datastoreItem xmlns:ds="http://schemas.openxmlformats.org/officeDocument/2006/customXml" ds:itemID="{BB5AD0AD-F314-4013-B0FE-8B06F816F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2021-07-30T03:17:30Z</cp:lastPrinted>
  <dcterms:created xsi:type="dcterms:W3CDTF">2019-11-27T23:28:06Z</dcterms:created>
  <dcterms:modified xsi:type="dcterms:W3CDTF">2021-07-30T03:23:22Z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