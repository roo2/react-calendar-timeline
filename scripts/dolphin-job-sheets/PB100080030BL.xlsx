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6B0B0B1-88A6-4168-9410-853543ADB08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<sst xmlns="http://schemas.openxmlformats.org/spreadsheetml/2006/main" count="306" uniqueCount="201">
  <si>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</si>
  <si>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</si>
  <si>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</si>
  <si>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</si>
  <si>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</si>
  <si>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</si>
  <si>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</si>
  <si>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</si>
  <si>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</si>
  <si>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</si>
  <si>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</si>
  <si>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</si>
  <si>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</si>
  <si>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</si>
  <si>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</si>
  <si>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</si>
  <si>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</si>
  <si>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</si>
  <si>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</si>
  <si>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</si>
  <si>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</si>
  <si>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</si>
  <si>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</si>
  <si>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</si>
  <si>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</si>
  <si>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</si>
  <si>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</si>
  <si>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</si>
  <si>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</si>
  <si>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</si>
  <si>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</si>
  <si>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</si>
  <si>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</si>
  <si>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</si>
  <si>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</si>
  <si>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</si>
  <si>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</si>
  <si>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</si>
  <si>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</si>
  <si>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</si>
  <si>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</si>
  <si>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</si>
  <si>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</si>
  <si>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</si>
  <si>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</si>
  <si>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</si>
  <si>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</si>
  <si>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</si>
  <si>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</si>
  <si>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</si>
  <si>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</si>
  <si>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</si>
  <si>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</si>
  <si>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</si>
  <si>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</si>
  <si>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</si>
  <si>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</si>
  <si>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</si>
  <si>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</si>
  <si>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</si>
  <si>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</si>
  <si>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</si>
  <si>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</si>
  <si>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</si>
  <si>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</si>
  <si>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</si>
  <si>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</si>
  <si>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</si>
  <si>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</si>
  <si>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</si>
  <si>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</si>
  <si>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</si>
  <si>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</si>
  <si>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</si>
  <si>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</si>
  <si>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</si>
  <si>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</si>
  <si>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</si>
  <si>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</si>
  <si>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</si>
  <si>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</si>
  <si>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</si>
  <si>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</si>
  <si>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</si>
  <si>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</si>
  <si>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</si>
  <si>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</si>
  <si>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</si>
  <si>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</si>
  <si>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</si>
  <si>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</si>
  <si>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</si>
  <si>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</si>
  <si>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</si>
  <si>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</si>
  <si>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</si>
  <si>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</si>
  <si>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</si>
  <si>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</si>
  <si>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</si>
  <si>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</si>
  <si>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</si>
  <si>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</si>
  <si>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</si>
  <si>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</si>
  <si>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</si>
  <si>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</si>
  <si>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</si>
  <si>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</si>
  <si>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</si>
  <si>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</si>
  <si>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</si>
  <si>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</si>
  <si>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</si>
  <si>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</si>
  <si>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</si>
  <si>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</si>
  <si>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</si>
  <si>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</si>
  <si>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</si>
  <si>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</si>
  <si>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</si>
  <si>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</si>
  <si>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</si>
  <si>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</si>
  <si>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</si>
  <si>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</si>
  <si>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</si>
  <si>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</si>
  <si>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</si>
  <si>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</si>
  <si>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</si>
  <si>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</si>
  <si>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</si>
  <si>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</si>
  <si>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</si>
  <si>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</si>
  <si>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</si>
  <si>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</si>
  <si>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</si>
  <si>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</si>
  <si>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</si>
  <si>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</si>
  <si>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</si>
  <si>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</si>
  <si>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</si>
  <si>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</si>
  <si>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</si>
  <si>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</si>
  <si>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</si>
  <si>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</si>
  <si>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</si>
  <si>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</si>
  <si>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</si>
  <si>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</si>
  <si>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</si>
  <si>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</si>
  <si>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</si>
  <si>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</si>
  <si>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</si>
  <si>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</si>
  <si>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</si>
  <si>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</si>
  <si>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</si>
  <si>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</si>
  <si>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</si>
  <si>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</si>
  <si>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</si>
  <si>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</si>
  <si>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</si>
  <si>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</si>
  <si>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</si>
  <si>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</si>
  <si>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</si>
  <si>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</si>
  <si>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</si>
  <si>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</si>
  <si>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</si>
  <si>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</si>
  <si>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</si>
  <si>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</si>
  <si>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</si>
  <si>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</si>
  <si>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</si>
  <si>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</si>
  <si>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</si>
  <si>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</si>
  <si>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</si>
  <si>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</si>
  <si>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</si>
  <si>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</si>
  <si>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</si>
  <si>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</si>
  <si>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</si>
  <si>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</si>
  <si>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NOT UNDER</t>
  </si>
  <si>
    <t>LIMAX</t>
  </si>
  <si>
    <t>ANTISTATIC</t>
  </si>
  <si>
    <t>ABL</t>
  </si>
  <si>
    <t>G</t>
  </si>
  <si>
    <r>
      <t xml:space="preserve">NO DOLPHIN PLASTICS ON LABELS!!!! MUST BE PLAIN LABELS FOR CUSTOMER TO ON-SELL </t>
    </r>
    <r>
      <rPr>
        <b/>
        <sz val="20"/>
        <color rgb="FFFF0000"/>
        <rFont val="Calibri"/>
        <family val="2"/>
        <scheme val="minor"/>
      </rPr>
      <t>BAG IS WIDER THAN IT IS LONG!!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</si>
</sst>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8" fillId="5" borderId="7" xfId="0" applyFont="1" applyFill="1" applyBorder="1" applyAlignment="1" applyProtection="1">
      <alignment horizontal="center" vertical="center" wrapText="1"/>
      <protection locked="0"/>
    </xf>
    <xf numFmtId="0" fontId="18" fillId="5" borderId="3" xfId="0" applyFont="1" applyFill="1" applyBorder="1" applyAlignment="1" applyProtection="1">
      <alignment horizontal="center" vertical="center" wrapText="1"/>
      <protection locked="0"/>
    </xf>
    <xf numFmtId="0" fontId="18" fillId="5" borderId="8" xfId="0" applyFont="1" applyFill="1" applyBorder="1" applyAlignment="1" applyProtection="1">
      <alignment horizontal="center" vertical="center" wrapText="1"/>
      <protection locked="0"/>
    </xf>
    <xf numFmtId="0" fontId="18" fillId="5" borderId="9" xfId="0" applyFont="1" applyFill="1" applyBorder="1" applyAlignment="1" applyProtection="1">
      <alignment horizontal="center" vertical="center" wrapText="1"/>
      <protection locked="0"/>
    </xf>
    <xf numFmtId="0" fontId="18" fillId="5" borderId="0" xfId="0" applyFont="1" applyFill="1" applyAlignment="1" applyProtection="1">
      <alignment horizontal="center" vertical="center" wrapText="1"/>
      <protection locked="0"/>
    </xf>
    <xf numFmtId="0" fontId="18" fillId="5" borderId="10" xfId="0" applyFont="1" applyFill="1" applyBorder="1" applyAlignment="1" applyProtection="1">
      <alignment horizontal="center" vertical="center" wrapText="1"/>
      <protection locked="0"/>
    </xf>
    <xf numFmtId="0" fontId="18" fillId="5" borderId="11" xfId="0" applyFont="1" applyFill="1" applyBorder="1" applyAlignment="1" applyProtection="1">
      <alignment horizontal="center" vertical="center" wrapText="1"/>
      <protection locked="0"/>
    </xf>
    <xf numFmtId="0" fontId="18" fillId="5" borderId="1" xfId="0" applyFont="1" applyFill="1" applyBorder="1" applyAlignment="1" applyProtection="1">
      <alignment horizontal="center" vertical="center" wrapText="1"/>
      <protection locked="0"/>
    </xf>
    <xf numFmtId="0" fontId="18" fillId="5" borderId="12" xfId="0" applyFont="1" applyFill="1" applyBorder="1" applyAlignment="1" applyProtection="1">
      <alignment horizontal="center" vertical="center" wrapText="1"/>
      <protection locked="0"/>
    </xf>
    <xf numFmtId="9" fontId="17" fillId="0" borderId="2" xfId="0" applyNumberFormat="1" applyFont="1" applyBorder="1" applyAlignment="1" applyProtection="1">
      <alignment horizontal="center"/>
      <protection locked="0"/>
    </xf>
    <xf numFmtId="0" fontId="17" fillId="0" borderId="2" xfId="0" applyFont="1" applyBorder="1" applyAlignment="1" applyProtection="1">
      <alignment horizontal="center"/>
      <protection locked="0"/>
    </xf>
    <xf numFmtId="0" fontId="17" fillId="0" borderId="5" xfId="0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6" fillId="0" borderId="3" xfId="2" applyFont="1" applyBorder="1" applyAlignment="1" applyProtection="1">
      <alignment horizontal="left" vertical="top"/>
      <protection locked="0"/>
    </xf>
    <xf numFmtId="0" fontId="16" fillId="0" borderId="8" xfId="2" applyFont="1" applyBorder="1" applyAlignment="1" applyProtection="1">
      <alignment horizontal="left" vertical="top"/>
      <protection locked="0"/>
    </xf>
    <xf numFmtId="0" fontId="16" fillId="0" borderId="9" xfId="2" applyFont="1" applyBorder="1" applyAlignment="1" applyProtection="1">
      <alignment horizontal="left" vertical="top"/>
      <protection locked="0"/>
    </xf>
    <xf numFmtId="0" fontId="16" fillId="0" borderId="0" xfId="2" applyFont="1" applyBorder="1" applyAlignment="1" applyProtection="1">
      <alignment horizontal="left" vertical="top"/>
      <protection locked="0"/>
    </xf>
    <xf numFmtId="0" fontId="16" fillId="0" borderId="10" xfId="2" applyFont="1" applyBorder="1" applyAlignment="1" applyProtection="1">
      <alignment horizontal="left" vertical="top"/>
      <protection locked="0"/>
    </xf>
    <xf numFmtId="0" fontId="16" fillId="0" borderId="11" xfId="2" applyFont="1" applyBorder="1" applyAlignment="1" applyProtection="1">
      <alignment horizontal="left" vertical="top"/>
      <protection locked="0"/>
    </xf>
    <xf numFmtId="0" fontId="16" fillId="0" borderId="1" xfId="2" applyFont="1" applyBorder="1" applyAlignment="1" applyProtection="1">
      <alignment horizontal="left" vertical="top"/>
      <protection locked="0"/>
    </xf>
    <xf numFmtId="0" fontId="16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PB1000800100BTAS</v>
      </c>
      <c r="C1" s="111"/>
      <c r="D1" s="112"/>
      <c r="E1" s="11" t="s">
        <v>57</v>
      </c>
      <c r="F1" s="122" t="s">
        <v>198</v>
      </c>
      <c r="G1" s="123"/>
      <c r="H1" s="124"/>
      <c r="I1" s="12" t="s">
        <v>181</v>
      </c>
      <c r="J1" s="84">
        <f ca="1">TODAY()</f>
        <v>45357</v>
      </c>
      <c r="K1" s="84"/>
      <c r="L1" s="85"/>
      <c r="M1" s="29"/>
      <c r="N1" s="11" t="s">
        <v>56</v>
      </c>
      <c r="O1" s="111" t="str">
        <f>B1</f>
        <v>PB1000800100BTAS</v>
      </c>
      <c r="P1" s="111"/>
      <c r="Q1" s="112"/>
      <c r="R1" s="11" t="s">
        <v>57</v>
      </c>
      <c r="S1" s="111" t="str">
        <f>F1</f>
        <v>ABL</v>
      </c>
      <c r="T1" s="111"/>
      <c r="U1" s="112"/>
      <c r="V1" s="11" t="s">
        <v>181</v>
      </c>
      <c r="W1" s="84">
        <f ca="1">J1</f>
        <v>45357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947391</v>
      </c>
      <c r="G2" s="87"/>
      <c r="H2" s="88"/>
      <c r="I2" s="11" t="s">
        <v>59</v>
      </c>
      <c r="J2" s="86" t="s">
        <v>192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947391</v>
      </c>
      <c r="T2" s="111"/>
      <c r="U2" s="112"/>
      <c r="V2" s="11" t="s">
        <v>59</v>
      </c>
      <c r="W2" s="125" t="str">
        <f>J2</f>
        <v>ASAP</v>
      </c>
      <c r="X2" s="111"/>
      <c r="Y2" s="112"/>
    </row>
    <row r="3" spans="1:25" ht="20.149999999999999" customHeight="1" x14ac:dyDescent="0.75">
      <c r="A3" s="113" t="s">
        <v>200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NO DOLPHIN PLASTICS ON LABELS!!!! MUST BE PLAIN LABELS FOR CUSTOMER TO ON-SELL BAG IS WIDER THAN IT IS LONG!!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159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48</v>
      </c>
      <c r="P7" s="88"/>
      <c r="Q7" s="11" t="str">
        <f>IF(ISNUMBER(SEARCH("roll",O8,1)),"Per Roll","Per Carton")</f>
        <v>Per Carton</v>
      </c>
      <c r="R7" s="87">
        <v>100</v>
      </c>
      <c r="S7" s="88"/>
      <c r="T7" s="11" t="str">
        <f>IF(ISNUMBER(SEARCH("bag",O8,1)),"Total Bags","Total Sheets")</f>
        <v>Total Bags</v>
      </c>
      <c r="U7" s="111">
        <f>R7*O7</f>
        <v>4800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1000</v>
      </c>
      <c r="C8" s="90"/>
      <c r="D8" s="27" t="str">
        <f>IF(ISNUMBER(SEARCH("bag",O8,1)),"Gusset","Centrefold")</f>
        <v>Gusset</v>
      </c>
      <c r="E8" s="89"/>
      <c r="F8" s="90"/>
      <c r="G8" s="13" t="s">
        <v>52</v>
      </c>
      <c r="H8" s="89">
        <f>(IF(V9&lt;30,"30",V9))</f>
        <v>100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8" t="s">
        <v>164</v>
      </c>
      <c r="P8" s="12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6"/>
      <c r="Y8" s="127"/>
    </row>
    <row r="9" spans="1:25" ht="20.149999999999999" customHeight="1" x14ac:dyDescent="0.9">
      <c r="A9" s="16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195</v>
      </c>
      <c r="I9" s="100"/>
      <c r="J9" s="11" t="s">
        <v>55</v>
      </c>
      <c r="K9" s="87" t="s">
        <v>30</v>
      </c>
      <c r="L9" s="88"/>
      <c r="M9" s="29"/>
      <c r="N9" s="17"/>
      <c r="O9" s="130" t="str">
        <f>IF(O8="Poly Bag","PB",IF(O8="Poly Bag Roll","PBR",IF(O8="Centrefold Roll","CFR",IF(O8="Sheet","S",IF(O8="Sheet Roll","SR")))))</f>
        <v>PB</v>
      </c>
      <c r="P9" s="131"/>
      <c r="Q9" s="17"/>
      <c r="R9" s="30">
        <v>1000</v>
      </c>
      <c r="S9" s="18" t="s">
        <v>78</v>
      </c>
      <c r="T9" s="30">
        <v>800</v>
      </c>
      <c r="U9" s="18" t="s">
        <v>78</v>
      </c>
      <c r="V9" s="30">
        <v>100</v>
      </c>
      <c r="W9" s="17"/>
      <c r="X9" s="139" t="s">
        <v>199</v>
      </c>
      <c r="Y9" s="140"/>
    </row>
    <row r="10" spans="1:25" ht="20.149999999999999" customHeight="1" x14ac:dyDescent="0.8">
      <c r="A10" s="11" t="s">
        <v>51</v>
      </c>
      <c r="B10" s="87">
        <v>18</v>
      </c>
      <c r="C10" s="88"/>
      <c r="D10" s="47" t="s">
        <v>134</v>
      </c>
      <c r="E10" s="101">
        <f>IF(ISNUMBER(SEARCH("sheet",O8,1)),((R9*T9*H8/540000)*U7/2000*1.3),((R9*T9*H8/540000)*U7/1000*1.08))</f>
        <v>768</v>
      </c>
      <c r="F10" s="102"/>
      <c r="G10" s="11" t="s">
        <v>53</v>
      </c>
      <c r="H10" s="105">
        <f>IF(ISNUMBER(SEARCH("sheet",O8,1)),(U7*T9/2000*1.08),(U7*T9/1000*1.08))</f>
        <v>4147.2000000000007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8" t="s">
        <v>44</v>
      </c>
      <c r="P10" s="129"/>
      <c r="Q10" s="14" t="s">
        <v>50</v>
      </c>
      <c r="R10" s="126" t="str">
        <f>IF(K11="NONE","None",IF(K11="INLINE","Yes",IF(K11="OUT OF LINE","Yes")))</f>
        <v>None</v>
      </c>
      <c r="S10" s="126"/>
      <c r="T10" s="14" t="s">
        <v>100</v>
      </c>
      <c r="U10" s="133"/>
      <c r="V10" s="133"/>
      <c r="W10" s="133"/>
      <c r="X10" s="133"/>
      <c r="Y10" s="134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42.666666666666664</v>
      </c>
      <c r="F11" s="104"/>
      <c r="G11" s="11" t="s">
        <v>15</v>
      </c>
      <c r="H11" s="103">
        <f>H10/B10</f>
        <v>230.40000000000003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5"/>
      <c r="V11" s="135"/>
      <c r="W11" s="135"/>
      <c r="X11" s="135"/>
      <c r="Y11" s="136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32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48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32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 t="s">
        <v>38</v>
      </c>
      <c r="P16" s="88"/>
      <c r="Q16" s="11" t="s">
        <v>105</v>
      </c>
      <c r="R16" s="87" t="s">
        <v>23</v>
      </c>
      <c r="S16" s="88"/>
      <c r="T16" s="12" t="s">
        <v>103</v>
      </c>
      <c r="U16" s="99" t="s">
        <v>23</v>
      </c>
      <c r="V16" s="100"/>
      <c r="W16" s="11" t="str">
        <f>IF(ISNUMBER(SEARCH("bag",O8,1)),"Total Bags","Total Sheets")</f>
        <v>Total Bags</v>
      </c>
      <c r="X16" s="142"/>
      <c r="Y16" s="143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99" t="s">
        <v>23</v>
      </c>
      <c r="V17" s="100"/>
      <c r="W17" s="11" t="str">
        <f>IF(ISNUMBER(SEARCH("roll",O8,1)),"Total Rolls","Total Ctns")</f>
        <v>Total Ctns</v>
      </c>
      <c r="X17" s="142"/>
      <c r="Y17" s="143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2"/>
      <c r="Y18" s="143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144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6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147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9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147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9"/>
    </row>
    <row r="22" spans="1:25" ht="20.149999999999999" customHeight="1" x14ac:dyDescent="0.75">
      <c r="A22" s="74" t="str">
        <f>(IF(B7="NATURAL","",B7))</f>
        <v>BLUE TINT</v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78"/>
      <c r="E22" s="82">
        <v>2</v>
      </c>
      <c r="F22" s="83"/>
      <c r="G22" s="48" t="s">
        <v>86</v>
      </c>
      <c r="H22" s="32"/>
      <c r="I22" s="82"/>
      <c r="J22" s="83"/>
      <c r="K22" s="82"/>
      <c r="L22" s="83"/>
      <c r="M22" s="29"/>
      <c r="N22" s="150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2"/>
    </row>
    <row r="23" spans="1:25" ht="20.149999999999999" customHeight="1" x14ac:dyDescent="0.75">
      <c r="A23" s="79" t="s">
        <v>197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8"/>
      <c r="E23" s="82">
        <v>1</v>
      </c>
      <c r="F23" s="83"/>
      <c r="G23" s="48" t="s">
        <v>87</v>
      </c>
      <c r="H23" s="32"/>
      <c r="I23" s="82"/>
      <c r="J23" s="83"/>
      <c r="K23" s="82"/>
      <c r="L23" s="83"/>
      <c r="M23" s="29"/>
      <c r="N23" s="132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196</v>
      </c>
      <c r="P25" s="34"/>
      <c r="Q25" s="10">
        <v>30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41" t="s">
        <v>132</v>
      </c>
      <c r="H26" s="141"/>
      <c r="I26" s="141" t="s">
        <v>131</v>
      </c>
      <c r="J26" s="141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7"/>
      <c r="G29" s="137"/>
      <c r="H29" s="137"/>
      <c r="I29" s="137"/>
      <c r="J29" s="137"/>
      <c r="K29" s="92"/>
      <c r="L29" s="138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45388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45378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85E67D1-85F4-4567-9C5A-94F163A80471}"/>
</file>

<file path=customXml/itemProps2.xml><?xml version="1.0" encoding="utf-8"?>
<ds:datastoreItem xmlns:ds="http://schemas.openxmlformats.org/officeDocument/2006/customXml" ds:itemID="{81F1B377-7C01-47D6-A0DE-8C47C745357A}"/>
</file>

<file path=customXml/itemProps3.xml><?xml version="1.0" encoding="utf-8"?>
<ds:datastoreItem xmlns:ds="http://schemas.openxmlformats.org/officeDocument/2006/customXml" ds:itemID="{22216F72-23EA-4A95-9B8E-40B48916F6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2024-03-06T04:47:51Z</cp:lastPrinted>
  <dcterms:created xsi:type="dcterms:W3CDTF">2019-11-27T23:28:06Z</dcterms:created>
  <dcterms:modified xsi:type="dcterms:W3CDTF">2024-03-06T04:52:21Z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