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3EF2436-5F40-4EC7-A694-59D7E880590C}" xr6:coauthVersionLast="47" xr6:coauthVersionMax="47" xr10:uidLastSave="{00000000-0000-0000-0000-000000000000}"/>
  <bookViews>
    <workbookView xWindow="33165" yWindow="735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9" i="1" l="1"/>
  <c r="E11" i="1" s="1"/>
  <c r="B2" i="1" l="1"/>
  <c r="B11" i="1" l="1"/>
  <c r="C25" i="1"/>
  <c r="A11" i="1" l="1"/>
  <c r="D8" i="1" l="1"/>
  <c r="K8" i="1" l="1"/>
  <c r="C24" i="1" l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<sst xmlns="http://schemas.openxmlformats.org/spreadsheetml/2006/main" count="227" uniqueCount="168">
  <si>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</si>
  <si>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</si>
  <si>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</si>
  <si>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</si>
  <si>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</si>
  <si>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</si>
  <si>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</si>
  <si>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</si>
  <si>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</si>
  <si>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</si>
  <si>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</si>
  <si>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</si>
  <si>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</si>
  <si>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</si>
  <si>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</si>
  <si>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</si>
  <si>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</si>
  <si>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</si>
  <si>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</si>
  <si>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</si>
  <si>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</si>
  <si>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</si>
  <si>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</si>
  <si>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</si>
  <si>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</si>
  <si>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</si>
  <si>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</si>
  <si>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</si>
  <si>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</si>
  <si>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</si>
  <si>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</si>
  <si>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</si>
  <si>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</si>
  <si>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</si>
  <si>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</si>
  <si>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</si>
  <si>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</si>
  <si>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</si>
  <si>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</si>
  <si>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</si>
  <si>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</si>
  <si>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</si>
  <si>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</si>
  <si>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</si>
  <si>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</si>
  <si>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</si>
  <si>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</si>
  <si>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</si>
  <si>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</si>
  <si>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</si>
  <si>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</si>
  <si>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</si>
  <si>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</si>
  <si>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</si>
  <si>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</si>
  <si>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</si>
  <si>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</si>
  <si>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</si>
  <si>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</si>
  <si>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</si>
  <si>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</si>
  <si>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</si>
  <si>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</si>
  <si>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</si>
  <si>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</si>
  <si>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</si>
  <si>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</si>
  <si>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</si>
  <si>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</si>
  <si>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</si>
  <si>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</si>
  <si>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</si>
  <si>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</si>
  <si>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</si>
  <si>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</si>
  <si>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</si>
  <si>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</si>
  <si>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</si>
  <si>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</si>
  <si>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</si>
  <si>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</si>
  <si>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</si>
  <si>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</si>
  <si>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</si>
  <si>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</si>
  <si>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</si>
  <si>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</si>
  <si>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</si>
  <si>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</si>
  <si>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</si>
  <si>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</si>
  <si>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</si>
  <si>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</si>
  <si>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</si>
  <si>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</si>
  <si>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</si>
  <si>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</si>
  <si>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</si>
  <si>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</si>
  <si>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</si>
  <si>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</si>
  <si>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</si>
  <si>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</si>
  <si>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</si>
  <si>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</si>
  <si>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</si>
  <si>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</si>
  <si>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</si>
  <si>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</si>
  <si>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</si>
  <si>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</si>
  <si>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</si>
  <si>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</si>
  <si>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</si>
  <si>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</si>
  <si>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</si>
  <si>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</si>
  <si>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</si>
  <si>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</si>
  <si>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</si>
  <si>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</si>
  <si>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</si>
  <si>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</si>
  <si>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</si>
  <si>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</si>
  <si>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</si>
  <si>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</si>
  <si>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</si>
  <si>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</si>
  <si>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</si>
  <si>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</si>
  <si>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</si>
  <si>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</si>
  <si>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</si>
  <si>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</si>
  <si>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</si>
  <si>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</si>
  <si>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</si>
  <si>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</si>
  <si>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</si>
  <si>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</si>
  <si>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</si>
  <si>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</si>
  <si>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</si>
  <si>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</si>
  <si>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</si>
  <si>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</si>
  <si>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</si>
  <si>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</si>
  <si>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</si>
  <si>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</si>
  <si>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</si>
  <si>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</si>
  <si>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</si>
  <si>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</si>
  <si>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</si>
  <si>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</si>
  <si>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</si>
  <si>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</si>
  <si>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</si>
  <si>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</si>
  <si>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</si>
  <si>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</si>
  <si>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RUN AT 140UM</t>
  </si>
  <si>
    <t>UV</t>
  </si>
  <si>
    <t xml:space="preserve"> +/- 5mm</t>
  </si>
  <si>
    <t>DAY WALK</t>
  </si>
  <si>
    <t>SHRINK CENTREFOLD - MUST HAVE UV - MUST BE EXACT OR CUSTOMER WILL REJECT - 
NO UNDERS PRINT DAYWALK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</si>
</sst>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0" fontId="9" fillId="5" borderId="4" xfId="0" applyNumberFormat="1" applyFont="1" applyFill="1" applyBorder="1" applyAlignment="1" applyProtection="1">
      <alignment horizontal="center"/>
      <protection locked="0"/>
    </xf>
    <xf numFmtId="10" fontId="9" fillId="5" borderId="5" xfId="0" applyNumberFormat="1" applyFont="1" applyFill="1" applyBorder="1" applyAlignment="1" applyProtection="1">
      <alignment horizontal="center"/>
      <protection locked="0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16" fillId="5" borderId="6" xfId="0" applyFont="1" applyFill="1" applyBorder="1" applyAlignment="1" applyProtection="1">
      <alignment horizontal="left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topLeftCell="A3" zoomScale="80" zoomScaleNormal="80" workbookViewId="0">
      <selection activeCell="B13" sqref="B13:D13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4" t="str">
        <f>IF(B7="Tube","T",IF(B7="Cont Sheet Roll","SR",IF(B7="Cont Centrefold","CFR")))&amp;B8&amp;IF(E8="","",E8)&amp;H8&amp;(IF(K11="INLINE","P",IF(K11="OUT OF LINE","P",IF(K11="NONE",""))))&amp;C24&amp;C25</f>
        <v>CFR1180(2360)140UV</v>
      </c>
      <c r="C1" s="104"/>
      <c r="D1" s="105"/>
      <c r="E1" s="11" t="s">
        <v>55</v>
      </c>
      <c r="F1" s="46" t="s">
        <v>166</v>
      </c>
      <c r="G1" s="46"/>
      <c r="H1" s="47"/>
      <c r="I1" s="11" t="s">
        <v>148</v>
      </c>
      <c r="J1" s="115">
        <f ca="1">TODAY()</f>
        <v>46083</v>
      </c>
      <c r="K1" s="115"/>
      <c r="L1" s="116"/>
    </row>
    <row r="2" spans="1:14" ht="20.100000000000001" customHeight="1" x14ac:dyDescent="0.25">
      <c r="A2" s="11" t="s">
        <v>94</v>
      </c>
      <c r="B2" s="95" t="str">
        <f>IF(B7="Tube",(ROUNDUP(E11,0)&amp;"KG"),(ROUNDUP(H11,0)&amp;"M"))</f>
        <v>65M</v>
      </c>
      <c r="C2" s="95"/>
      <c r="D2" s="96"/>
      <c r="E2" s="11" t="s">
        <v>56</v>
      </c>
      <c r="F2" s="46">
        <v>951184</v>
      </c>
      <c r="G2" s="46"/>
      <c r="H2" s="47"/>
      <c r="I2" s="11" t="s">
        <v>57</v>
      </c>
      <c r="J2" s="117" t="s">
        <v>162</v>
      </c>
      <c r="K2" s="46"/>
      <c r="L2" s="47"/>
    </row>
    <row r="3" spans="1:14" ht="20.100000000000001" customHeight="1" x14ac:dyDescent="0.25">
      <c r="A3" s="106" t="s">
        <v>167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8"/>
    </row>
    <row r="4" spans="1:14" ht="20.100000000000001" customHeight="1" x14ac:dyDescent="0.25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1"/>
    </row>
    <row r="5" spans="1:14" ht="20.100000000000001" customHeight="1" x14ac:dyDescent="0.25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4"/>
    </row>
    <row r="6" spans="1:14" ht="20.100000000000001" customHeight="1" x14ac:dyDescent="0.25">
      <c r="A6" s="83" t="s">
        <v>1</v>
      </c>
      <c r="B6" s="84"/>
      <c r="C6" s="84"/>
      <c r="D6" s="84"/>
      <c r="E6" s="84"/>
      <c r="F6" s="84"/>
      <c r="G6" s="84"/>
      <c r="H6" s="84"/>
      <c r="I6" s="84"/>
      <c r="J6" s="85"/>
      <c r="K6" s="85"/>
      <c r="L6" s="86"/>
    </row>
    <row r="7" spans="1:14" ht="20.100000000000001" customHeight="1" x14ac:dyDescent="0.3">
      <c r="A7" s="11" t="s">
        <v>158</v>
      </c>
      <c r="B7" s="46" t="s">
        <v>161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9" t="s">
        <v>146</v>
      </c>
      <c r="K7" s="99"/>
      <c r="L7" s="79"/>
    </row>
    <row r="8" spans="1:14" ht="20.100000000000001" customHeight="1" x14ac:dyDescent="0.25">
      <c r="A8" s="12" t="s">
        <v>14</v>
      </c>
      <c r="B8" s="70">
        <v>1180</v>
      </c>
      <c r="C8" s="71"/>
      <c r="D8" s="12" t="str">
        <f>IF(B7="Tube","Gusset","Centrefold")</f>
        <v>Centrefold</v>
      </c>
      <c r="E8" s="100" t="str">
        <f>IF(B7="Cont Centrefold","("&amp;B8*2&amp;")","")</f>
        <v>(2360)</v>
      </c>
      <c r="F8" s="101"/>
      <c r="G8" s="12" t="s">
        <v>50</v>
      </c>
      <c r="H8" s="70">
        <v>140</v>
      </c>
      <c r="I8" s="71"/>
      <c r="J8" s="11" t="s">
        <v>52</v>
      </c>
      <c r="K8" s="104" t="str">
        <f>IF(ISNUMBER(SEARCH("+",E8,1)),"Gusset Tube","Layflat Tube")</f>
        <v>Layflat Tube</v>
      </c>
      <c r="L8" s="105"/>
    </row>
    <row r="9" spans="1:14" ht="20.100000000000001" customHeight="1" x14ac:dyDescent="0.3">
      <c r="A9" s="13" t="s">
        <v>46</v>
      </c>
      <c r="B9" s="87" t="s">
        <v>165</v>
      </c>
      <c r="C9" s="88"/>
      <c r="D9" s="119" t="str">
        <f>IF(K10="Middle","RUN 2 UP",IF(AND(B7="Cont Centrefold",B8=380),"RUN 2 UP",""))</f>
        <v/>
      </c>
      <c r="E9" s="120"/>
      <c r="F9" s="121"/>
      <c r="G9" s="13" t="s">
        <v>46</v>
      </c>
      <c r="H9" s="87" t="s">
        <v>163</v>
      </c>
      <c r="I9" s="88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30</v>
      </c>
      <c r="C10" s="47"/>
      <c r="D10" s="36" t="s">
        <v>104</v>
      </c>
      <c r="E10" s="91">
        <f>E11*B10</f>
        <v>596.55555555555554</v>
      </c>
      <c r="F10" s="92"/>
      <c r="G10" s="11" t="s">
        <v>51</v>
      </c>
      <c r="H10" s="95">
        <f>H11*B10</f>
        <v>1950</v>
      </c>
      <c r="I10" s="96"/>
      <c r="J10" s="11" t="s">
        <v>39</v>
      </c>
      <c r="K10" s="46" t="s">
        <v>40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>CF Rolls</v>
      </c>
      <c r="B11" s="89">
        <f>IF(AND(B7="Cont Centrefold",D9="RUN 2 UP"),B10*2,IF(B7="Cont Centrefold",B10,IF(B7="Cont Sheet Roll",B10*2,"")))</f>
        <v>30</v>
      </c>
      <c r="C11" s="90"/>
      <c r="D11" s="42" t="s">
        <v>105</v>
      </c>
      <c r="E11" s="93">
        <f>IF(D9="RUN 2 UP",(B8*H8*H11/540000)*2,(B8*H8*H11/540000))</f>
        <v>19.885185185185186</v>
      </c>
      <c r="F11" s="94"/>
      <c r="G11" s="42" t="s">
        <v>13</v>
      </c>
      <c r="H11" s="97">
        <v>65</v>
      </c>
      <c r="I11" s="98"/>
      <c r="J11" s="42" t="s">
        <v>48</v>
      </c>
      <c r="K11" s="102" t="s">
        <v>42</v>
      </c>
      <c r="L11" s="103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2"/>
      <c r="F12" s="72"/>
      <c r="G12" s="72"/>
      <c r="H12" s="72"/>
      <c r="I12" s="72"/>
      <c r="J12" s="72"/>
      <c r="K12" s="72"/>
      <c r="L12" s="73"/>
    </row>
    <row r="13" spans="1:14" ht="20.100000000000001" customHeight="1" x14ac:dyDescent="0.25">
      <c r="A13" s="11" t="s">
        <v>59</v>
      </c>
      <c r="B13" s="46" t="s">
        <v>69</v>
      </c>
      <c r="C13" s="46"/>
      <c r="D13" s="47"/>
      <c r="E13" s="14" t="s">
        <v>60</v>
      </c>
      <c r="F13" s="46" t="s">
        <v>65</v>
      </c>
      <c r="G13" s="46"/>
      <c r="H13" s="47"/>
      <c r="I13" s="11" t="s">
        <v>61</v>
      </c>
      <c r="J13" s="46" t="s">
        <v>145</v>
      </c>
      <c r="K13" s="46"/>
      <c r="L13" s="47"/>
    </row>
    <row r="14" spans="1:14" ht="20.100000000000001" customHeight="1" x14ac:dyDescent="0.3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4"/>
    </row>
    <row r="15" spans="1:14" ht="20.100000000000001" customHeight="1" x14ac:dyDescent="0.25">
      <c r="A15" s="83" t="s">
        <v>70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124"/>
    </row>
    <row r="16" spans="1:14" ht="20.100000000000001" customHeight="1" x14ac:dyDescent="0.25">
      <c r="A16" s="11" t="s">
        <v>71</v>
      </c>
      <c r="B16" s="46" t="s">
        <v>55</v>
      </c>
      <c r="C16" s="46"/>
      <c r="D16" s="47"/>
      <c r="E16" s="11" t="s">
        <v>72</v>
      </c>
      <c r="F16" s="104">
        <f>B10</f>
        <v>30</v>
      </c>
      <c r="G16" s="104"/>
      <c r="H16" s="105"/>
      <c r="I16" s="11" t="s">
        <v>74</v>
      </c>
      <c r="J16" s="46"/>
      <c r="K16" s="46"/>
      <c r="L16" s="47"/>
    </row>
    <row r="17" spans="1:12" ht="20.100000000000001" customHeight="1" x14ac:dyDescent="0.25">
      <c r="A17" s="75" t="s">
        <v>149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7"/>
    </row>
    <row r="18" spans="1:12" ht="20.100000000000001" customHeight="1" x14ac:dyDescent="0.25">
      <c r="A18" s="78" t="s">
        <v>2</v>
      </c>
      <c r="B18" s="79"/>
      <c r="C18" s="78" t="s">
        <v>111</v>
      </c>
      <c r="D18" s="79"/>
      <c r="E18" s="78" t="s">
        <v>3</v>
      </c>
      <c r="F18" s="79"/>
      <c r="G18" s="78" t="s">
        <v>4</v>
      </c>
      <c r="H18" s="79"/>
      <c r="I18" s="78" t="s">
        <v>9</v>
      </c>
      <c r="J18" s="79"/>
      <c r="K18" s="78" t="s">
        <v>10</v>
      </c>
      <c r="L18" s="79"/>
    </row>
    <row r="19" spans="1:12" ht="20.100000000000001" customHeight="1" x14ac:dyDescent="0.25">
      <c r="A19" s="80" t="s">
        <v>5</v>
      </c>
      <c r="B19" s="80"/>
      <c r="C19" s="57" t="s">
        <v>115</v>
      </c>
      <c r="D19" s="58"/>
      <c r="E19" s="59"/>
      <c r="F19" s="60"/>
      <c r="G19" s="10" t="s">
        <v>76</v>
      </c>
      <c r="H19" s="31"/>
      <c r="I19" s="68"/>
      <c r="J19" s="69"/>
      <c r="K19" s="68"/>
      <c r="L19" s="69"/>
    </row>
    <row r="20" spans="1:12" ht="20.100000000000001" customHeight="1" x14ac:dyDescent="0.25">
      <c r="A20" s="80" t="s">
        <v>6</v>
      </c>
      <c r="B20" s="80"/>
      <c r="C20" s="57" t="s">
        <v>114</v>
      </c>
      <c r="D20" s="58"/>
      <c r="E20" s="59"/>
      <c r="F20" s="60"/>
      <c r="G20" s="10" t="s">
        <v>77</v>
      </c>
      <c r="H20" s="31"/>
      <c r="I20" s="68"/>
      <c r="J20" s="69"/>
      <c r="K20" s="68"/>
      <c r="L20" s="69"/>
    </row>
    <row r="21" spans="1:12" ht="20.100000000000001" customHeight="1" x14ac:dyDescent="0.25">
      <c r="A21" s="80" t="s">
        <v>7</v>
      </c>
      <c r="B21" s="80"/>
      <c r="C21" s="57" t="s">
        <v>113</v>
      </c>
      <c r="D21" s="58"/>
      <c r="E21" s="59"/>
      <c r="F21" s="60"/>
      <c r="G21" s="10" t="s">
        <v>78</v>
      </c>
      <c r="H21" s="31"/>
      <c r="I21" s="68"/>
      <c r="J21" s="69"/>
      <c r="K21" s="68"/>
      <c r="L21" s="69"/>
    </row>
    <row r="22" spans="1:12" ht="20.100000000000001" customHeight="1" x14ac:dyDescent="0.25">
      <c r="A22" s="80" t="s">
        <v>8</v>
      </c>
      <c r="B22" s="80"/>
      <c r="C22" s="57" t="s">
        <v>112</v>
      </c>
      <c r="D22" s="58"/>
      <c r="E22" s="59"/>
      <c r="F22" s="60"/>
      <c r="G22" s="10" t="s">
        <v>79</v>
      </c>
      <c r="H22" s="31"/>
      <c r="I22" s="68"/>
      <c r="J22" s="69"/>
      <c r="K22" s="68"/>
      <c r="L22" s="69"/>
    </row>
    <row r="23" spans="1:12" ht="20.100000000000001" customHeight="1" x14ac:dyDescent="0.25">
      <c r="A23" s="80" t="s">
        <v>150</v>
      </c>
      <c r="B23" s="80"/>
      <c r="C23" s="57" t="s">
        <v>151</v>
      </c>
      <c r="D23" s="58"/>
      <c r="E23" s="59"/>
      <c r="F23" s="60"/>
      <c r="G23" s="10" t="s">
        <v>80</v>
      </c>
      <c r="H23" s="31"/>
      <c r="I23" s="68"/>
      <c r="J23" s="69"/>
      <c r="K23" s="68"/>
      <c r="L23" s="69"/>
    </row>
    <row r="24" spans="1:12" ht="20.100000000000001" customHeight="1" x14ac:dyDescent="0.35">
      <c r="A24" s="82" t="s">
        <v>164</v>
      </c>
      <c r="B24" s="82"/>
      <c r="C24" s="6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UV</v>
      </c>
      <c r="D24" s="67"/>
      <c r="E24" s="64">
        <v>0.02</v>
      </c>
      <c r="F24" s="65"/>
      <c r="G24" s="10" t="s">
        <v>81</v>
      </c>
      <c r="H24" s="31"/>
      <c r="I24" s="68"/>
      <c r="J24" s="69"/>
      <c r="K24" s="68"/>
      <c r="L24" s="69"/>
    </row>
    <row r="25" spans="1:12" ht="20.100000000000001" customHeight="1" x14ac:dyDescent="0.25">
      <c r="A25" s="122"/>
      <c r="B25" s="122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58"/>
      <c r="E25" s="59"/>
      <c r="F25" s="60"/>
      <c r="G25" s="10" t="s">
        <v>82</v>
      </c>
      <c r="H25" s="31"/>
      <c r="I25" s="68"/>
      <c r="J25" s="69"/>
      <c r="K25" s="68"/>
      <c r="L25" s="69"/>
    </row>
    <row r="26" spans="1:12" ht="20.100000000000001" customHeight="1" x14ac:dyDescent="0.25">
      <c r="A26" s="81" t="s">
        <v>0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23" t="s">
        <v>103</v>
      </c>
      <c r="H27" s="123"/>
      <c r="I27" s="123" t="s">
        <v>102</v>
      </c>
      <c r="J27" s="123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8"/>
      <c r="H28" s="118"/>
      <c r="I28" s="118"/>
      <c r="J28" s="118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8"/>
      <c r="H29" s="118"/>
      <c r="I29" s="118"/>
      <c r="J29" s="118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5" t="s">
        <v>106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7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46114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46104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136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144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137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138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139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140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141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142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145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143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143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E739DAE-8D5A-49FF-93AB-A4982EA7507B}"/>
</file>

<file path=customXml/itemProps2.xml><?xml version="1.0" encoding="utf-8"?>
<ds:datastoreItem xmlns:ds="http://schemas.openxmlformats.org/officeDocument/2006/customXml" ds:itemID="{077162DB-1B24-4C2B-AEBC-CFC8918964B6}"/>
</file>

<file path=customXml/itemProps3.xml><?xml version="1.0" encoding="utf-8"?>
<ds:datastoreItem xmlns:ds="http://schemas.openxmlformats.org/officeDocument/2006/customXml" ds:itemID="{9E430DBC-EAD5-4751-A7F1-B9A2E0F19F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2026-03-01T23:39:53Z</cp:lastPrinted>
  <dcterms:created xsi:type="dcterms:W3CDTF">2019-11-27T23:28:06Z</dcterms:created>
  <dcterms:modified xsi:type="dcterms:W3CDTF">2026-03-01T23:43:16Z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