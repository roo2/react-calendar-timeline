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6812B6B-2ED2-431A-A672-608A67D2DDFD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<sst xmlns="http://schemas.openxmlformats.org/spreadsheetml/2006/main" count="304" uniqueCount="199">
  <si>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</si>
  <si>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</si>
  <si>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</si>
  <si>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</si>
  <si>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</si>
  <si>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</si>
  <si>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</si>
  <si>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</si>
  <si>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</si>
  <si>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</si>
  <si>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</si>
  <si>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</si>
  <si>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</si>
  <si>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</si>
  <si>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</si>
  <si>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</si>
  <si>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</si>
  <si>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</si>
  <si>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</si>
  <si>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</si>
  <si>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</si>
  <si>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</si>
  <si>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</si>
  <si>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</si>
  <si>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</si>
  <si>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</si>
  <si>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</si>
  <si>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</si>
  <si>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</si>
  <si>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</si>
  <si>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</si>
  <si>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</si>
  <si>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</si>
  <si>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</si>
  <si>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</si>
  <si>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</si>
  <si>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</si>
  <si>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</si>
  <si>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</si>
  <si>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</si>
  <si>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</si>
  <si>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</si>
  <si>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</si>
  <si>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</si>
  <si>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</si>
  <si>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</si>
  <si>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</si>
  <si>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</si>
  <si>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</si>
  <si>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</si>
  <si>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</si>
  <si>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</si>
  <si>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</si>
  <si>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</si>
  <si>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</si>
  <si>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</si>
  <si>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</si>
  <si>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</si>
  <si>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</si>
  <si>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</si>
  <si>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</si>
  <si>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</si>
  <si>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</si>
  <si>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</si>
  <si>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</si>
  <si>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</si>
  <si>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</si>
  <si>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</si>
  <si>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</si>
  <si>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</si>
  <si>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</si>
  <si>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</si>
  <si>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</si>
  <si>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</si>
  <si>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</si>
  <si>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</si>
  <si>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</si>
  <si>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</si>
  <si>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</si>
  <si>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</si>
  <si>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</si>
  <si>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</si>
  <si>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</si>
  <si>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</si>
  <si>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</si>
  <si>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</si>
  <si>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</si>
  <si>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</si>
  <si>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</si>
  <si>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</si>
  <si>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</si>
  <si>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</si>
  <si>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</si>
  <si>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</si>
  <si>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</si>
  <si>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</si>
  <si>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</si>
  <si>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</si>
  <si>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</si>
  <si>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</si>
  <si>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</si>
  <si>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</si>
  <si>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</si>
  <si>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</si>
  <si>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</si>
  <si>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</si>
  <si>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</si>
  <si>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</si>
  <si>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</si>
  <si>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</si>
  <si>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</si>
  <si>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</si>
  <si>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</si>
  <si>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</si>
  <si>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</si>
  <si>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</si>
  <si>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</si>
  <si>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</si>
  <si>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</si>
  <si>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</si>
  <si>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</si>
  <si>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</si>
  <si>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</si>
  <si>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</si>
  <si>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</si>
  <si>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</si>
  <si>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</si>
  <si>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</si>
  <si>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</si>
  <si>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</si>
  <si>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</si>
  <si>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</si>
  <si>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</si>
  <si>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</si>
  <si>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</si>
  <si>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</si>
  <si>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</si>
  <si>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</si>
  <si>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</si>
  <si>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</si>
  <si>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</si>
  <si>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</si>
  <si>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</si>
  <si>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</si>
  <si>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</si>
  <si>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</si>
  <si>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</si>
  <si>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</si>
  <si>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</si>
  <si>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</si>
  <si>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</si>
  <si>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</si>
  <si>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</si>
  <si>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</si>
  <si>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</si>
  <si>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</si>
  <si>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</si>
  <si>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</si>
  <si>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</si>
  <si>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</si>
  <si>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</si>
  <si>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</si>
  <si>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</si>
  <si>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</si>
  <si>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</si>
  <si>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</si>
  <si>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</si>
  <si>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</si>
  <si>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</si>
  <si>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</si>
  <si>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</si>
  <si>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</si>
  <si>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</si>
  <si>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</si>
  <si>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</si>
  <si>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</si>
  <si>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</si>
  <si>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</si>
  <si>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</si>
  <si>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</si>
  <si>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</si>
  <si>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</si>
  <si>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</si>
  <si>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</si>
  <si>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</si>
  <si>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</si>
  <si>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</si>
  <si>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</si>
  <si>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</si>
  <si>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</si>
  <si>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</si>
  <si>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</si>
  <si>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</si>
  <si>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</si>
  <si>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</si>
  <si>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</si>
  <si>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 xml:space="preserve">LIMAX </t>
  </si>
  <si>
    <t>KEITH &amp; JOE DELLOW</t>
  </si>
  <si>
    <t>MUST BE WITHIN TOLERANCE - MUST HAVE WATER TIGHT SEALS - PLEASE CHECK SEALS FREQUENTLY.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</si>
</sst>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Border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8" ht="20.149999999999999" customHeight="1" x14ac:dyDescent="0.8">
      <c r="A1" s="12" t="s">
        <v>56</v>
      </c>
      <c r="B1" s="123" t="str">
        <f>O9&amp;R9&amp;IF(X8="G","G","")&amp;IF(O8="Centrefold Roll","("&amp;E8&amp;")","")&amp;T9&amp;V9&amp;C22&amp;C23&amp;C24&amp;O11&amp;R11</f>
        <v>PB14068035</v>
      </c>
      <c r="C1" s="123"/>
      <c r="D1" s="124"/>
      <c r="E1" s="12" t="s">
        <v>57</v>
      </c>
      <c r="F1" s="134" t="s">
        <v>197</v>
      </c>
      <c r="G1" s="134"/>
      <c r="H1" s="135"/>
      <c r="I1" s="13" t="s">
        <v>181</v>
      </c>
      <c r="J1" s="136">
        <f ca="1">TODAY()</f>
        <v>44789</v>
      </c>
      <c r="K1" s="136"/>
      <c r="L1" s="137"/>
      <c r="M1" s="34"/>
      <c r="N1" s="12" t="s">
        <v>56</v>
      </c>
      <c r="O1" s="123" t="str">
        <f>B1</f>
        <v>PB14068035</v>
      </c>
      <c r="P1" s="123"/>
      <c r="Q1" s="124"/>
      <c r="R1" s="12" t="s">
        <v>57</v>
      </c>
      <c r="S1" s="123" t="str">
        <f>F1</f>
        <v>KEITH &amp; JOE DELLOW</v>
      </c>
      <c r="T1" s="123"/>
      <c r="U1" s="124"/>
      <c r="V1" s="12" t="s">
        <v>181</v>
      </c>
      <c r="W1" s="136">
        <f ca="1">J1</f>
        <v>44789</v>
      </c>
      <c r="X1" s="136"/>
      <c r="Y1" s="137"/>
    </row>
    <row r="2" spans="1:28" ht="20.149999999999999" customHeight="1" x14ac:dyDescent="0.8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943927</v>
      </c>
      <c r="G2" s="73"/>
      <c r="H2" s="74"/>
      <c r="I2" s="12" t="s">
        <v>59</v>
      </c>
      <c r="J2" s="139">
        <v>44810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943927</v>
      </c>
      <c r="T2" s="123"/>
      <c r="U2" s="124"/>
      <c r="V2" s="12" t="s">
        <v>59</v>
      </c>
      <c r="W2" s="138">
        <f>J2</f>
        <v>44810</v>
      </c>
      <c r="X2" s="123"/>
      <c r="Y2" s="124"/>
    </row>
    <row r="3" spans="1:28" ht="20.149999999999999" customHeight="1" x14ac:dyDescent="0.75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BE WITHIN TOLERANCE - MUST HAVE WATER TIGHT SEALS - PLEASE CHECK SEALS FREQUENTLY.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49999999999999" customHeight="1" x14ac:dyDescent="0.7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49999999999999" customHeight="1" x14ac:dyDescent="0.9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10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10000</v>
      </c>
      <c r="V7" s="124"/>
      <c r="W7" s="12" t="s">
        <v>102</v>
      </c>
      <c r="X7" s="73" t="s">
        <v>23</v>
      </c>
      <c r="Y7" s="74"/>
      <c r="AB7" s="14"/>
    </row>
    <row r="8" spans="1:28" ht="20.149999999999999" customHeight="1" x14ac:dyDescent="0.8">
      <c r="A8" s="15" t="s">
        <v>16</v>
      </c>
      <c r="B8" s="111">
        <f>R9</f>
        <v>140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49999999999999" customHeight="1" x14ac:dyDescent="0.9">
      <c r="A9" s="18" t="s">
        <v>48</v>
      </c>
      <c r="B9" s="143" t="s">
        <v>195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194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140</v>
      </c>
      <c r="S9" s="20" t="s">
        <v>78</v>
      </c>
      <c r="T9" s="35">
        <v>680</v>
      </c>
      <c r="U9" s="20" t="s">
        <v>78</v>
      </c>
      <c r="V9" s="35">
        <v>35</v>
      </c>
      <c r="W9" s="19"/>
      <c r="X9" s="99"/>
      <c r="Y9" s="100"/>
    </row>
    <row r="10" spans="1:28" ht="20.149999999999999" customHeight="1" x14ac:dyDescent="0.8">
      <c r="A10" s="12" t="s">
        <v>51</v>
      </c>
      <c r="B10" s="73">
        <v>6</v>
      </c>
      <c r="C10" s="74"/>
      <c r="D10" s="54" t="s">
        <v>134</v>
      </c>
      <c r="E10" s="145">
        <f>IF(ISNUMBER(SEARCH("sheet",O8,1)),((R9*T9*H8/540000)*U7/2000*1.3),((R9*T9*H8/540000)*U7/1000*1.08))</f>
        <v>66.64</v>
      </c>
      <c r="F10" s="146"/>
      <c r="G10" s="12" t="s">
        <v>53</v>
      </c>
      <c r="H10" s="149">
        <f>IF(ISNUMBER(SEARCH("sheet",O8,1)),(U7*T9/2000*1.08),(U7*T9/1000*1.08))</f>
        <v>7344.0000000000009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49999999999999" customHeight="1" x14ac:dyDescent="0.8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11.106666666666667</v>
      </c>
      <c r="F11" s="148"/>
      <c r="G11" s="12" t="s">
        <v>15</v>
      </c>
      <c r="H11" s="147">
        <f>H10/B10</f>
        <v>1224.0000000000002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49999999999999" customHeight="1" x14ac:dyDescent="0.7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49999999999999" customHeight="1" x14ac:dyDescent="0.8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49999999999999" customHeight="1" x14ac:dyDescent="0.9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49999999999999" customHeight="1" x14ac:dyDescent="0.7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49999999999999" customHeight="1" x14ac:dyDescent="0.8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49999999999999" customHeight="1" x14ac:dyDescent="0.8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49999999999999" customHeight="1" x14ac:dyDescent="0.8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49999999999999" customHeight="1" x14ac:dyDescent="0.7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49999999999999" customHeight="1" x14ac:dyDescent="0.7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49999999999999" customHeight="1" x14ac:dyDescent="0.7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49999999999999" customHeight="1" x14ac:dyDescent="0.7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49999999999999" customHeight="1" x14ac:dyDescent="0.7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49999999999999" customHeight="1" x14ac:dyDescent="0.7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49999999999999" customHeight="1" x14ac:dyDescent="0.7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196</v>
      </c>
      <c r="P25" s="39"/>
      <c r="Q25" s="10">
        <v>22</v>
      </c>
      <c r="R25" s="10"/>
      <c r="S25" s="10"/>
      <c r="T25" s="10"/>
      <c r="U25" s="10"/>
      <c r="V25" s="10"/>
      <c r="W25" s="10">
        <v>18</v>
      </c>
      <c r="X25" s="10">
        <v>14</v>
      </c>
      <c r="Y25" s="10"/>
    </row>
    <row r="26" spans="1:25" ht="20.149999999999999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49999999999999" customHeight="1" x14ac:dyDescent="0.7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49999999999999" customHeight="1" x14ac:dyDescent="0.7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49999999999999" customHeight="1" x14ac:dyDescent="0.7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49999999999999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49999999999999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49999999999999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49999999999999" customHeight="1" x14ac:dyDescent="0.7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49999999999999" customHeight="1" x14ac:dyDescent="0.7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49999999999999" customHeight="1" x14ac:dyDescent="0.7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49999999999999" customHeight="1" x14ac:dyDescent="0.7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49999999999999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49999999999999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49999999999999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49999999999999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49999999999999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49999999999999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49999999999999" customHeight="1" x14ac:dyDescent="0.75">
      <c r="N43" s="59"/>
    </row>
    <row r="44" spans="1:25" ht="20.149999999999999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49999999999999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49999999999999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49999999999999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49999999999999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49999999999999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49999999999999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49999999999999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49999999999999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49999999999999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49999999999999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49999999999999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49999999999999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49999999999999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49999999999999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49999999999999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49999999999999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49999999999999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49999999999999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49999999999999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49999999999999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49999999999999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49999999999999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49999999999999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49999999999999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49999999999999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49999999999999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49999999999999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49999999999999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49999999999999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49999999999999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49999999999999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49999999999999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49999999999999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49999999999999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49999999999999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44820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44810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A003297-59A7-4E5C-B543-679A674C9F3E}"/>
</file>

<file path=customXml/itemProps2.xml><?xml version="1.0" encoding="utf-8"?>
<ds:datastoreItem xmlns:ds="http://schemas.openxmlformats.org/officeDocument/2006/customXml" ds:itemID="{07A0081E-89E0-42E1-9DCD-95E0642C697C}"/>
</file>

<file path=customXml/itemProps3.xml><?xml version="1.0" encoding="utf-8"?>
<ds:datastoreItem xmlns:ds="http://schemas.openxmlformats.org/officeDocument/2006/customXml" ds:itemID="{9DA58A27-35CA-4BAB-AAA1-7C5E2FAF60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2022-08-16T00:40:35Z</cp:lastPrinted>
  <dcterms:created xsi:type="dcterms:W3CDTF">2019-11-27T23:28:06Z</dcterms:created>
  <dcterms:modified xsi:type="dcterms:W3CDTF">2022-08-16T00:44:54Z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