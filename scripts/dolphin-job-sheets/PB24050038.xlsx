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xr:revisionPtr revIDLastSave="0" documentId="13_ncr:1_{764B6998-5EA1-4393-ADA3-94845679225E}" xr6:coauthVersionLast="45" xr6:coauthVersionMax="45" xr10:uidLastSave="{00000000-0000-0000-0000-000000000000}"/>
  <bookViews>
    <workbookView xWindow="-113" yWindow="-113" windowWidth="24267" windowHeight="13749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<sst xmlns="http://schemas.openxmlformats.org/spreadsheetml/2006/main" count="304" uniqueCount="198">
  <si>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</si>
  <si>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</si>
  <si>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</si>
  <si>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</si>
  <si>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</si>
  <si>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</si>
  <si>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</si>
  <si>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</si>
  <si>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</si>
  <si>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</si>
  <si>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</si>
  <si>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</si>
  <si>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</si>
  <si>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</si>
  <si>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</si>
  <si>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</si>
  <si>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</si>
  <si>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</si>
  <si>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</si>
  <si>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</si>
  <si>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</si>
  <si>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</si>
  <si>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</si>
  <si>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</si>
  <si>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</si>
  <si>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</si>
  <si>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</si>
  <si>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</si>
  <si>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</si>
  <si>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</si>
  <si>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</si>
  <si>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</si>
  <si>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</si>
  <si>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</si>
  <si>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</si>
  <si>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</si>
  <si>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</si>
  <si>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</si>
  <si>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</si>
  <si>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</si>
  <si>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</si>
  <si>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</si>
  <si>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</si>
  <si>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</si>
  <si>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</si>
  <si>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</si>
  <si>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</si>
  <si>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</si>
  <si>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</si>
  <si>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</si>
  <si>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</si>
  <si>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</si>
  <si>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</si>
  <si>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</si>
  <si>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</si>
  <si>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</si>
  <si>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</si>
  <si>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</si>
  <si>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</si>
  <si>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</si>
  <si>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</si>
  <si>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</si>
  <si>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</si>
  <si>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</si>
  <si>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</si>
  <si>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</si>
  <si>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</si>
  <si>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</si>
  <si>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</si>
  <si>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</si>
  <si>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</si>
  <si>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</si>
  <si>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</si>
  <si>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</si>
  <si>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</si>
  <si>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</si>
  <si>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</si>
  <si>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</si>
  <si>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</si>
  <si>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</si>
  <si>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</si>
  <si>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</si>
  <si>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</si>
  <si>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</si>
  <si>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</si>
  <si>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</si>
  <si>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</si>
  <si>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</si>
  <si>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</si>
  <si>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</si>
  <si>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</si>
  <si>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</si>
  <si>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</si>
  <si>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</si>
  <si>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</si>
  <si>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</si>
  <si>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</si>
  <si>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</si>
  <si>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</si>
  <si>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</si>
  <si>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</si>
  <si>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</si>
  <si>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</si>
  <si>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</si>
  <si>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</si>
  <si>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</si>
  <si>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</si>
  <si>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</si>
  <si>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</si>
  <si>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</si>
  <si>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</si>
  <si>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</si>
  <si>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</si>
  <si>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</si>
  <si>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</si>
  <si>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</si>
  <si>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</si>
  <si>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</si>
  <si>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</si>
  <si>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</si>
  <si>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</si>
  <si>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</si>
  <si>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</si>
  <si>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</si>
  <si>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</si>
  <si>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</si>
  <si>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</si>
  <si>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</si>
  <si>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</si>
  <si>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</si>
  <si>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</si>
  <si>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</si>
  <si>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</si>
  <si>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</si>
  <si>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</si>
  <si>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</si>
  <si>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</si>
  <si>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</si>
  <si>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</si>
  <si>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</si>
  <si>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</si>
  <si>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</si>
  <si>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</si>
  <si>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</si>
  <si>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</si>
  <si>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</si>
  <si>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</si>
  <si>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</si>
  <si>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</si>
  <si>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</si>
  <si>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</si>
  <si>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</si>
  <si>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</si>
  <si>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</si>
  <si>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</si>
  <si>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</si>
  <si>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</si>
  <si>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</si>
  <si>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</si>
  <si>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</si>
  <si>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</si>
  <si>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</si>
  <si>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</si>
  <si>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</si>
  <si>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</si>
  <si>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</si>
  <si>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</si>
  <si>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</si>
  <si>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</si>
  <si>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</si>
  <si>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</si>
  <si>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</si>
  <si>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</si>
  <si>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</si>
  <si>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</si>
  <si>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</si>
  <si>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</si>
  <si>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</si>
  <si>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</si>
  <si>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</si>
  <si>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</si>
  <si>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</si>
  <si>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</si>
  <si>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</si>
  <si>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</si>
  <si>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</si>
  <si>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</si>
  <si>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</si>
  <si>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</si>
  <si>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</si>
  <si>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</si>
  <si>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</si>
  <si>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</si>
  <si>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</si>
  <si>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+/- 5mm</t>
  </si>
  <si>
    <t>ANTISTATIC</t>
  </si>
  <si>
    <t>DAVES POPCORN</t>
  </si>
  <si>
    <t>NEW ITEM - FOOD 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</si>
</sst>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7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7" fillId="0" borderId="7" xfId="2" applyFont="1" applyBorder="1" applyAlignment="1" applyProtection="1">
      <alignment horizontal="left" vertical="top"/>
      <protection locked="0"/>
    </xf>
    <xf numFmtId="0" fontId="17" fillId="0" borderId="3" xfId="2" applyFont="1" applyBorder="1" applyAlignment="1" applyProtection="1">
      <alignment horizontal="left" vertical="top"/>
      <protection locked="0"/>
    </xf>
    <xf numFmtId="0" fontId="17" fillId="0" borderId="8" xfId="2" applyFont="1" applyBorder="1" applyAlignment="1" applyProtection="1">
      <alignment horizontal="left" vertical="top"/>
      <protection locked="0"/>
    </xf>
    <xf numFmtId="0" fontId="17" fillId="0" borderId="9" xfId="2" applyFont="1" applyBorder="1" applyAlignment="1" applyProtection="1">
      <alignment horizontal="left" vertical="top"/>
      <protection locked="0"/>
    </xf>
    <xf numFmtId="0" fontId="17" fillId="0" borderId="0" xfId="2" applyFont="1" applyBorder="1" applyAlignment="1" applyProtection="1">
      <alignment horizontal="left" vertical="top"/>
      <protection locked="0"/>
    </xf>
    <xf numFmtId="0" fontId="17" fillId="0" borderId="10" xfId="2" applyFont="1" applyBorder="1" applyAlignment="1" applyProtection="1">
      <alignment horizontal="left" vertical="top"/>
      <protection locked="0"/>
    </xf>
    <xf numFmtId="0" fontId="17" fillId="0" borderId="11" xfId="2" applyFont="1" applyBorder="1" applyAlignment="1" applyProtection="1">
      <alignment horizontal="left" vertical="top"/>
      <protection locked="0"/>
    </xf>
    <xf numFmtId="0" fontId="17" fillId="0" borderId="1" xfId="2" applyFont="1" applyBorder="1" applyAlignment="1" applyProtection="1">
      <alignment horizontal="left" vertical="top"/>
      <protection locked="0"/>
    </xf>
    <xf numFmtId="0" fontId="17" fillId="0" borderId="12" xfId="2" applyFont="1" applyBorder="1" applyAlignment="1" applyProtection="1">
      <alignment horizontal="left" vertical="top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3" xfId="0" applyFill="1" applyBorder="1" applyAlignment="1" applyProtection="1">
      <alignment horizontal="center"/>
    </xf>
    <xf numFmtId="0" fontId="9" fillId="0" borderId="4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10" fontId="9" fillId="0" borderId="4" xfId="0" applyNumberFormat="1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9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3">
    <cellStyle name="Hyperlink" xfId="2" builtinId="8"/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A3" sqref="A3:L5"/>
    </sheetView>
  </sheetViews>
  <sheetFormatPr defaultRowHeight="15.05" x14ac:dyDescent="0.3"/>
  <sheetData>
    <row r="1" spans="1:28" ht="20.05" customHeight="1" x14ac:dyDescent="0.3">
      <c r="A1" s="12" t="s">
        <v>56</v>
      </c>
      <c r="B1" s="126" t="str">
        <f>O9&amp;R9&amp;IF(X8="G","G","")&amp;IF(O8="Centrefold Roll","("&amp;E8&amp;")","")&amp;T9&amp;V9&amp;C22&amp;C23&amp;C24&amp;O11&amp;R11</f>
        <v>PB24050038AS</v>
      </c>
      <c r="C1" s="126"/>
      <c r="D1" s="127"/>
      <c r="E1" s="12" t="s">
        <v>57</v>
      </c>
      <c r="F1" s="137" t="s">
        <v>196</v>
      </c>
      <c r="G1" s="138"/>
      <c r="H1" s="139"/>
      <c r="I1" s="13" t="s">
        <v>181</v>
      </c>
      <c r="J1" s="140">
        <f ca="1">TODAY()</f>
        <v>44050</v>
      </c>
      <c r="K1" s="140"/>
      <c r="L1" s="141"/>
      <c r="M1" s="34"/>
      <c r="N1" s="12" t="s">
        <v>56</v>
      </c>
      <c r="O1" s="126" t="str">
        <f>B1</f>
        <v>PB24050038AS</v>
      </c>
      <c r="P1" s="126"/>
      <c r="Q1" s="127"/>
      <c r="R1" s="12" t="s">
        <v>57</v>
      </c>
      <c r="S1" s="126" t="str">
        <f>F1</f>
        <v>DAVES POPCORN</v>
      </c>
      <c r="T1" s="126"/>
      <c r="U1" s="127"/>
      <c r="V1" s="12" t="s">
        <v>181</v>
      </c>
      <c r="W1" s="140">
        <f ca="1">J1</f>
        <v>44050</v>
      </c>
      <c r="X1" s="140"/>
      <c r="Y1" s="141"/>
    </row>
    <row r="2" spans="1:28" ht="20.05" customHeight="1" x14ac:dyDescent="0.3">
      <c r="A2" s="12" t="s">
        <v>100</v>
      </c>
      <c r="B2" s="126" t="str">
        <f>IF(U10="","",U10)</f>
        <v/>
      </c>
      <c r="C2" s="126"/>
      <c r="D2" s="127"/>
      <c r="E2" s="12" t="s">
        <v>58</v>
      </c>
      <c r="F2" s="74">
        <v>938060</v>
      </c>
      <c r="G2" s="74"/>
      <c r="H2" s="75"/>
      <c r="I2" s="12" t="s">
        <v>59</v>
      </c>
      <c r="J2" s="143">
        <v>44081</v>
      </c>
      <c r="K2" s="74"/>
      <c r="L2" s="75"/>
      <c r="M2" s="34"/>
      <c r="N2" s="12" t="s">
        <v>100</v>
      </c>
      <c r="O2" s="126" t="str">
        <f>IF(B2="","",B2)</f>
        <v/>
      </c>
      <c r="P2" s="126"/>
      <c r="Q2" s="127"/>
      <c r="R2" s="12" t="s">
        <v>58</v>
      </c>
      <c r="S2" s="126">
        <f>IF(F2="","",F2)</f>
        <v>938060</v>
      </c>
      <c r="T2" s="126"/>
      <c r="U2" s="127"/>
      <c r="V2" s="12" t="s">
        <v>59</v>
      </c>
      <c r="W2" s="142">
        <f>J2</f>
        <v>44081</v>
      </c>
      <c r="X2" s="126"/>
      <c r="Y2" s="127"/>
    </row>
    <row r="3" spans="1:28" ht="20.05" customHeight="1" x14ac:dyDescent="0.3">
      <c r="A3" s="128" t="s">
        <v>197</v>
      </c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30"/>
      <c r="M3" s="34"/>
      <c r="N3" s="128" t="str">
        <f>A3</f>
        <v>NEW ITEM - FOOD GRADE</v>
      </c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30"/>
    </row>
    <row r="4" spans="1:28" ht="20.05" customHeight="1" x14ac:dyDescent="0.3">
      <c r="A4" s="131"/>
      <c r="B4" s="132"/>
      <c r="C4" s="132"/>
      <c r="D4" s="132"/>
      <c r="E4" s="132"/>
      <c r="F4" s="132"/>
      <c r="G4" s="132"/>
      <c r="H4" s="132"/>
      <c r="I4" s="132"/>
      <c r="J4" s="132"/>
      <c r="K4" s="132"/>
      <c r="L4" s="133"/>
      <c r="M4" s="34"/>
      <c r="N4" s="131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3"/>
    </row>
    <row r="5" spans="1:28" ht="20.05" customHeight="1" x14ac:dyDescent="0.3">
      <c r="A5" s="134"/>
      <c r="B5" s="135"/>
      <c r="C5" s="135"/>
      <c r="D5" s="135"/>
      <c r="E5" s="135"/>
      <c r="F5" s="135"/>
      <c r="G5" s="135"/>
      <c r="H5" s="135"/>
      <c r="I5" s="135"/>
      <c r="J5" s="135"/>
      <c r="K5" s="135"/>
      <c r="L5" s="136"/>
      <c r="M5" s="34"/>
      <c r="N5" s="134"/>
      <c r="O5" s="135"/>
      <c r="P5" s="135"/>
      <c r="Q5" s="135"/>
      <c r="R5" s="135"/>
      <c r="S5" s="135"/>
      <c r="T5" s="135"/>
      <c r="U5" s="135"/>
      <c r="V5" s="135"/>
      <c r="W5" s="135"/>
      <c r="X5" s="135"/>
      <c r="Y5" s="136"/>
    </row>
    <row r="6" spans="1:28" ht="20.05" customHeight="1" x14ac:dyDescent="0.3">
      <c r="A6" s="145" t="s">
        <v>2</v>
      </c>
      <c r="B6" s="146"/>
      <c r="C6" s="146"/>
      <c r="D6" s="146"/>
      <c r="E6" s="146"/>
      <c r="F6" s="146"/>
      <c r="G6" s="146"/>
      <c r="H6" s="146"/>
      <c r="I6" s="146"/>
      <c r="J6" s="82"/>
      <c r="K6" s="82"/>
      <c r="L6" s="83"/>
      <c r="M6" s="34"/>
      <c r="N6" s="84" t="s">
        <v>2</v>
      </c>
      <c r="O6" s="85"/>
      <c r="P6" s="85"/>
      <c r="Q6" s="85"/>
      <c r="R6" s="85"/>
      <c r="S6" s="85"/>
      <c r="T6" s="85"/>
      <c r="U6" s="85"/>
      <c r="V6" s="85"/>
      <c r="W6" s="85"/>
      <c r="X6" s="85"/>
      <c r="Y6" s="86"/>
    </row>
    <row r="7" spans="1:28" ht="20.05" customHeight="1" x14ac:dyDescent="0.35">
      <c r="A7" s="12" t="s">
        <v>49</v>
      </c>
      <c r="B7" s="118" t="s">
        <v>163</v>
      </c>
      <c r="C7" s="118"/>
      <c r="D7" s="118"/>
      <c r="E7" s="118"/>
      <c r="F7" s="118"/>
      <c r="G7" s="118"/>
      <c r="H7" s="118"/>
      <c r="I7" s="119"/>
      <c r="J7" s="79" t="s">
        <v>179</v>
      </c>
      <c r="K7" s="79"/>
      <c r="L7" s="80"/>
      <c r="M7" s="34"/>
      <c r="N7" s="12" t="str">
        <f>IF(ISNUMBER(SEARCH("roll",O8,1)),"No. Rolls","No. Cartons")</f>
        <v>No. Cartons</v>
      </c>
      <c r="O7" s="74">
        <v>6</v>
      </c>
      <c r="P7" s="75"/>
      <c r="Q7" s="12" t="str">
        <f>IF(ISNUMBER(SEARCH("roll",O8,1)),"Per Roll","Per Carton")</f>
        <v>Per Carton</v>
      </c>
      <c r="R7" s="74">
        <v>1000</v>
      </c>
      <c r="S7" s="75"/>
      <c r="T7" s="12" t="str">
        <f>IF(ISNUMBER(SEARCH("bag",O8,1)),"Total Bags","Total Sheets")</f>
        <v>Total Bags</v>
      </c>
      <c r="U7" s="126">
        <f>R7*O7</f>
        <v>6000</v>
      </c>
      <c r="V7" s="127"/>
      <c r="W7" s="12" t="s">
        <v>102</v>
      </c>
      <c r="X7" s="74" t="s">
        <v>23</v>
      </c>
      <c r="Y7" s="75"/>
      <c r="AB7" s="14"/>
    </row>
    <row r="8" spans="1:28" ht="20.05" customHeight="1" x14ac:dyDescent="0.3">
      <c r="A8" s="15" t="s">
        <v>16</v>
      </c>
      <c r="B8" s="114">
        <f>R9</f>
        <v>240</v>
      </c>
      <c r="C8" s="115"/>
      <c r="D8" s="32" t="str">
        <f>IF(ISNUMBER(SEARCH("bag",O8,1)),"Gusset","Centrefold")</f>
        <v>Gusset</v>
      </c>
      <c r="E8" s="114" t="str">
        <f>IF(O8="Centrefold Roll",B8*2,IF(X9="","None",X9))</f>
        <v>None</v>
      </c>
      <c r="F8" s="115"/>
      <c r="G8" s="15" t="s">
        <v>52</v>
      </c>
      <c r="H8" s="114">
        <f>(IF(V9&lt;30,"30",V9))</f>
        <v>38</v>
      </c>
      <c r="I8" s="115"/>
      <c r="J8" s="12" t="s">
        <v>54</v>
      </c>
      <c r="K8" s="126" t="str">
        <f>IF(X8="None","Layflat Tube",IF(X8="","Layflat Tube",IF(X8="CF","Layflat Tube",IF(X8="G","Gusset Tube",IF(X9="","Layflat Tube",)))))</f>
        <v>Layflat Tube</v>
      </c>
      <c r="L8" s="127"/>
      <c r="M8" s="34"/>
      <c r="N8" s="16" t="s">
        <v>54</v>
      </c>
      <c r="O8" s="116" t="s">
        <v>164</v>
      </c>
      <c r="P8" s="117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12" t="str">
        <f>IF(AND(W8="Gusset",X9=""), "None",IF(AND(W8="Centrefold",X9=""),"None",IF(W8="Gusset","G",IF(W8="Centrefold","CF"))))</f>
        <v>None</v>
      </c>
      <c r="Y8" s="113"/>
    </row>
    <row r="9" spans="1:28" ht="20.05" customHeight="1" x14ac:dyDescent="0.35">
      <c r="A9" s="18" t="s">
        <v>48</v>
      </c>
      <c r="B9" s="147" t="s">
        <v>194</v>
      </c>
      <c r="C9" s="148"/>
      <c r="D9" s="155" t="str">
        <f>IF(K10="Middle","RUN 2 UP",IF(AND(O8="Centrefold Roll",B8=380),"RUN 2 UP",""))</f>
        <v/>
      </c>
      <c r="E9" s="118"/>
      <c r="F9" s="119"/>
      <c r="G9" s="18" t="s">
        <v>48</v>
      </c>
      <c r="H9" s="147" t="s">
        <v>194</v>
      </c>
      <c r="I9" s="148"/>
      <c r="J9" s="12" t="s">
        <v>55</v>
      </c>
      <c r="K9" s="74" t="s">
        <v>30</v>
      </c>
      <c r="L9" s="75"/>
      <c r="M9" s="34"/>
      <c r="N9" s="19"/>
      <c r="O9" s="120" t="str">
        <f>IF(O8="Poly Bag","PB",IF(O8="Poly Bag Roll","PBR",IF(O8="Centrefold Roll","CFR",IF(O8="Sheet","S",IF(O8="Sheet Roll","SR")))))</f>
        <v>PB</v>
      </c>
      <c r="P9" s="121"/>
      <c r="Q9" s="19"/>
      <c r="R9" s="35">
        <v>240</v>
      </c>
      <c r="S9" s="20" t="s">
        <v>78</v>
      </c>
      <c r="T9" s="70">
        <v>500</v>
      </c>
      <c r="U9" s="20" t="s">
        <v>78</v>
      </c>
      <c r="V9" s="35">
        <v>38</v>
      </c>
      <c r="W9" s="19"/>
      <c r="X9" s="100"/>
      <c r="Y9" s="101"/>
    </row>
    <row r="10" spans="1:28" ht="20.05" customHeight="1" x14ac:dyDescent="0.3">
      <c r="A10" s="12" t="s">
        <v>51</v>
      </c>
      <c r="B10" s="74">
        <v>4</v>
      </c>
      <c r="C10" s="75"/>
      <c r="D10" s="54" t="s">
        <v>134</v>
      </c>
      <c r="E10" s="149">
        <f>IF(ISNUMBER(SEARCH("sheet",O8,1)),((R9*T9*H8/540000)*U7/2000*1.3),((R9*T9*H8/540000)*U7/1000*1.08))</f>
        <v>54.72</v>
      </c>
      <c r="F10" s="150"/>
      <c r="G10" s="12" t="s">
        <v>53</v>
      </c>
      <c r="H10" s="153">
        <f>IF(ISNUMBER(SEARCH("sheet",O8,1)),(U7*T9/2000*1.08),(U7*T9/1000*1.08))</f>
        <v>3240</v>
      </c>
      <c r="I10" s="154"/>
      <c r="J10" s="12" t="s">
        <v>41</v>
      </c>
      <c r="K10" s="74" t="s">
        <v>44</v>
      </c>
      <c r="L10" s="75"/>
      <c r="M10" s="34"/>
      <c r="N10" s="21" t="s">
        <v>141</v>
      </c>
      <c r="O10" s="116" t="s">
        <v>44</v>
      </c>
      <c r="P10" s="117"/>
      <c r="Q10" s="16" t="s">
        <v>50</v>
      </c>
      <c r="R10" s="112" t="str">
        <f>IF(K11="NONE","None",IF(K11="INLINE","Yes",IF(K11="OUT OF LINE","Yes")))</f>
        <v>None</v>
      </c>
      <c r="S10" s="112"/>
      <c r="T10" s="16" t="s">
        <v>100</v>
      </c>
      <c r="U10" s="122"/>
      <c r="V10" s="122"/>
      <c r="W10" s="122"/>
      <c r="X10" s="122"/>
      <c r="Y10" s="123"/>
    </row>
    <row r="11" spans="1:28" ht="20.05" customHeight="1" x14ac:dyDescent="0.3">
      <c r="A11" s="12" t="str">
        <f>IF(O8="Centrefold Roll","CF Rolls",IF(ISNUMBER(SEARCH("sheet",O8,1)),"Sheet Rolls",""))</f>
        <v/>
      </c>
      <c r="B11" s="126" t="str">
        <f>IF(AND(O8="Centrefold Roll",D9="RUN 2 UP"),B10*2,IF(ISNUMBER(SEARCH("sheet",O8,1)),B10*2,""))</f>
        <v/>
      </c>
      <c r="C11" s="127"/>
      <c r="D11" s="12" t="s">
        <v>135</v>
      </c>
      <c r="E11" s="151">
        <f>E10/B10</f>
        <v>13.68</v>
      </c>
      <c r="F11" s="152"/>
      <c r="G11" s="12" t="s">
        <v>15</v>
      </c>
      <c r="H11" s="151">
        <f>H10/B10</f>
        <v>810</v>
      </c>
      <c r="I11" s="152"/>
      <c r="J11" s="12" t="s">
        <v>50</v>
      </c>
      <c r="K11" s="74" t="s">
        <v>44</v>
      </c>
      <c r="L11" s="75"/>
      <c r="M11" s="34"/>
      <c r="N11" s="15"/>
      <c r="O11" s="114" t="str">
        <f>IF(O10="NONE","","V")</f>
        <v/>
      </c>
      <c r="P11" s="115"/>
      <c r="Q11" s="15"/>
      <c r="R11" s="114" t="str">
        <f>IF(R10="None","","P")</f>
        <v/>
      </c>
      <c r="S11" s="115"/>
      <c r="T11" s="15"/>
      <c r="U11" s="124"/>
      <c r="V11" s="124"/>
      <c r="W11" s="124"/>
      <c r="X11" s="124"/>
      <c r="Y11" s="125"/>
    </row>
    <row r="12" spans="1:28" ht="20.05" customHeight="1" x14ac:dyDescent="0.3">
      <c r="A12" s="144" t="s">
        <v>13</v>
      </c>
      <c r="B12" s="102"/>
      <c r="C12" s="102"/>
      <c r="D12" s="102"/>
      <c r="E12" s="85"/>
      <c r="F12" s="85"/>
      <c r="G12" s="85"/>
      <c r="H12" s="85"/>
      <c r="I12" s="85"/>
      <c r="J12" s="85"/>
      <c r="K12" s="85"/>
      <c r="L12" s="86"/>
      <c r="M12" s="34"/>
      <c r="N12" s="81" t="s">
        <v>71</v>
      </c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3"/>
    </row>
    <row r="13" spans="1:28" ht="20.05" customHeight="1" x14ac:dyDescent="0.3">
      <c r="A13" s="12" t="s">
        <v>68</v>
      </c>
      <c r="B13" s="74" t="s">
        <v>44</v>
      </c>
      <c r="C13" s="74"/>
      <c r="D13" s="75"/>
      <c r="E13" s="22" t="s">
        <v>61</v>
      </c>
      <c r="F13" s="74" t="s">
        <v>44</v>
      </c>
      <c r="G13" s="74"/>
      <c r="H13" s="75"/>
      <c r="I13" s="23" t="s">
        <v>62</v>
      </c>
      <c r="J13" s="74" t="s">
        <v>44</v>
      </c>
      <c r="K13" s="74"/>
      <c r="L13" s="75"/>
      <c r="M13" s="34"/>
      <c r="N13" s="12" t="s">
        <v>72</v>
      </c>
      <c r="O13" s="36" t="s">
        <v>77</v>
      </c>
      <c r="P13" s="12" t="s">
        <v>73</v>
      </c>
      <c r="Q13" s="24">
        <f>O7</f>
        <v>6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 t="str">
        <f>IF(AND((O17="LOOSE"),(NOT(O18="BUNDLE"))),"",IF(AND((O17="LINED"),(NOT(O18="BUNDLE"))),"",(IF(R7&lt;=500,"50",IF(R7&gt;500,"100")))))</f>
        <v>100</v>
      </c>
      <c r="X13" s="12" t="s">
        <v>76</v>
      </c>
      <c r="Y13" s="37"/>
    </row>
    <row r="14" spans="1:28" ht="20.05" customHeight="1" x14ac:dyDescent="0.35">
      <c r="A14" s="15" t="s">
        <v>60</v>
      </c>
      <c r="B14" s="118"/>
      <c r="C14" s="118"/>
      <c r="D14" s="118"/>
      <c r="E14" s="118"/>
      <c r="F14" s="118"/>
      <c r="G14" s="118"/>
      <c r="H14" s="118"/>
      <c r="I14" s="118"/>
      <c r="J14" s="118"/>
      <c r="K14" s="118"/>
      <c r="L14" s="119"/>
      <c r="M14" s="34"/>
      <c r="N14" s="81" t="s">
        <v>110</v>
      </c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3"/>
    </row>
    <row r="15" spans="1:28" ht="20.05" customHeight="1" x14ac:dyDescent="0.3">
      <c r="A15" s="84" t="s">
        <v>0</v>
      </c>
      <c r="B15" s="85"/>
      <c r="C15" s="85"/>
      <c r="D15" s="85"/>
      <c r="E15" s="85"/>
      <c r="F15" s="85"/>
      <c r="G15" s="85"/>
      <c r="H15" s="85"/>
      <c r="I15" s="85"/>
      <c r="J15" s="85"/>
      <c r="K15" s="85"/>
      <c r="L15" s="86"/>
      <c r="M15" s="34"/>
      <c r="N15" s="78" t="s">
        <v>108</v>
      </c>
      <c r="O15" s="79"/>
      <c r="P15" s="80"/>
      <c r="Q15" s="78" t="s">
        <v>107</v>
      </c>
      <c r="R15" s="79"/>
      <c r="S15" s="80"/>
      <c r="T15" s="78" t="s">
        <v>118</v>
      </c>
      <c r="U15" s="79"/>
      <c r="V15" s="80"/>
      <c r="W15" s="78" t="s">
        <v>117</v>
      </c>
      <c r="X15" s="79"/>
      <c r="Y15" s="80"/>
    </row>
    <row r="16" spans="1:28" ht="20.05" customHeight="1" x14ac:dyDescent="0.3">
      <c r="A16" s="78" t="s">
        <v>3</v>
      </c>
      <c r="B16" s="80"/>
      <c r="C16" s="78" t="s">
        <v>142</v>
      </c>
      <c r="D16" s="80"/>
      <c r="E16" s="168" t="s">
        <v>4</v>
      </c>
      <c r="F16" s="168"/>
      <c r="G16" s="168" t="s">
        <v>5</v>
      </c>
      <c r="H16" s="168"/>
      <c r="I16" s="79" t="s">
        <v>11</v>
      </c>
      <c r="J16" s="80"/>
      <c r="K16" s="79" t="s">
        <v>12</v>
      </c>
      <c r="L16" s="80"/>
      <c r="M16" s="34"/>
      <c r="N16" s="12" t="s">
        <v>28</v>
      </c>
      <c r="O16" s="74" t="s">
        <v>38</v>
      </c>
      <c r="P16" s="75"/>
      <c r="Q16" s="12" t="s">
        <v>105</v>
      </c>
      <c r="R16" s="74" t="s">
        <v>23</v>
      </c>
      <c r="S16" s="75"/>
      <c r="T16" s="13" t="s">
        <v>103</v>
      </c>
      <c r="U16" s="74" t="s">
        <v>31</v>
      </c>
      <c r="V16" s="75"/>
      <c r="W16" s="12" t="str">
        <f>IF(ISNUMBER(SEARCH("bag",O8,1)),"Total Bags","Total Sheets")</f>
        <v>Total Bags</v>
      </c>
      <c r="X16" s="76"/>
      <c r="Y16" s="77"/>
    </row>
    <row r="17" spans="1:25" ht="20.05" customHeight="1" x14ac:dyDescent="0.3">
      <c r="A17" s="73" t="s">
        <v>6</v>
      </c>
      <c r="B17" s="73"/>
      <c r="C17" s="109" t="s">
        <v>147</v>
      </c>
      <c r="D17" s="110"/>
      <c r="E17" s="103"/>
      <c r="F17" s="77"/>
      <c r="G17" s="56" t="s">
        <v>81</v>
      </c>
      <c r="H17" s="37"/>
      <c r="I17" s="71"/>
      <c r="J17" s="72"/>
      <c r="K17" s="71"/>
      <c r="L17" s="72"/>
      <c r="M17" s="34"/>
      <c r="N17" s="12" t="s">
        <v>26</v>
      </c>
      <c r="O17" s="74" t="s">
        <v>35</v>
      </c>
      <c r="P17" s="75"/>
      <c r="Q17" s="12" t="s">
        <v>104</v>
      </c>
      <c r="R17" s="74" t="s">
        <v>31</v>
      </c>
      <c r="S17" s="75"/>
      <c r="T17" s="13" t="str">
        <f>IF(ISNUMBER(SEARCH("roll",O8,1)),"Part Rolls","Part Ctns")</f>
        <v>Part Ctns</v>
      </c>
      <c r="U17" s="74" t="s">
        <v>31</v>
      </c>
      <c r="V17" s="75"/>
      <c r="W17" s="12" t="str">
        <f>IF(ISNUMBER(SEARCH("roll",O8,1)),"Total Rolls","Total Ctns")</f>
        <v>Total Ctns</v>
      </c>
      <c r="X17" s="76"/>
      <c r="Y17" s="77"/>
    </row>
    <row r="18" spans="1:25" ht="20.05" customHeight="1" x14ac:dyDescent="0.3">
      <c r="A18" s="73" t="s">
        <v>7</v>
      </c>
      <c r="B18" s="73"/>
      <c r="C18" s="109" t="s">
        <v>146</v>
      </c>
      <c r="D18" s="110"/>
      <c r="E18" s="103"/>
      <c r="F18" s="77"/>
      <c r="G18" s="56" t="s">
        <v>82</v>
      </c>
      <c r="H18" s="37"/>
      <c r="I18" s="71"/>
      <c r="J18" s="72"/>
      <c r="K18" s="71"/>
      <c r="L18" s="72"/>
      <c r="M18" s="34"/>
      <c r="N18" s="12" t="s">
        <v>101</v>
      </c>
      <c r="O18" s="74" t="s">
        <v>38</v>
      </c>
      <c r="P18" s="75"/>
      <c r="Q18" s="12" t="s">
        <v>106</v>
      </c>
      <c r="R18" s="74" t="s">
        <v>31</v>
      </c>
      <c r="S18" s="75"/>
      <c r="T18" s="25" t="s">
        <v>27</v>
      </c>
      <c r="U18" s="74" t="s">
        <v>36</v>
      </c>
      <c r="V18" s="75"/>
      <c r="W18" s="12" t="s">
        <v>109</v>
      </c>
      <c r="X18" s="76"/>
      <c r="Y18" s="77"/>
    </row>
    <row r="19" spans="1:25" ht="20.05" customHeight="1" x14ac:dyDescent="0.3">
      <c r="A19" s="73" t="s">
        <v>8</v>
      </c>
      <c r="B19" s="73"/>
      <c r="C19" s="109" t="s">
        <v>145</v>
      </c>
      <c r="D19" s="110"/>
      <c r="E19" s="103"/>
      <c r="F19" s="77"/>
      <c r="G19" s="56" t="s">
        <v>83</v>
      </c>
      <c r="H19" s="37"/>
      <c r="I19" s="71"/>
      <c r="J19" s="72"/>
      <c r="K19" s="71"/>
      <c r="L19" s="72"/>
      <c r="M19" s="34"/>
      <c r="N19" s="87" t="s">
        <v>116</v>
      </c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9"/>
    </row>
    <row r="20" spans="1:25" ht="20.05" customHeight="1" x14ac:dyDescent="0.3">
      <c r="A20" s="73" t="s">
        <v>9</v>
      </c>
      <c r="B20" s="73"/>
      <c r="C20" s="109" t="s">
        <v>144</v>
      </c>
      <c r="D20" s="110"/>
      <c r="E20" s="103"/>
      <c r="F20" s="77"/>
      <c r="G20" s="56" t="s">
        <v>84</v>
      </c>
      <c r="H20" s="37"/>
      <c r="I20" s="71"/>
      <c r="J20" s="72"/>
      <c r="K20" s="71"/>
      <c r="L20" s="72"/>
      <c r="M20" s="34"/>
      <c r="N20" s="90"/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2"/>
    </row>
    <row r="21" spans="1:25" ht="20.05" customHeight="1" x14ac:dyDescent="0.3">
      <c r="A21" s="73" t="s">
        <v>10</v>
      </c>
      <c r="B21" s="73"/>
      <c r="C21" s="109" t="s">
        <v>143</v>
      </c>
      <c r="D21" s="110"/>
      <c r="E21" s="103"/>
      <c r="F21" s="77"/>
      <c r="G21" s="56" t="s">
        <v>85</v>
      </c>
      <c r="H21" s="37"/>
      <c r="I21" s="71"/>
      <c r="J21" s="72"/>
      <c r="K21" s="71"/>
      <c r="L21" s="72"/>
      <c r="M21" s="34"/>
      <c r="N21" s="90"/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92"/>
    </row>
    <row r="22" spans="1:25" ht="20.05" customHeight="1" x14ac:dyDescent="0.3">
      <c r="A22" s="73" t="str">
        <f>(IF(B7="NATURAL","",B7))</f>
        <v/>
      </c>
      <c r="B22" s="73"/>
      <c r="C22" s="109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110"/>
      <c r="E22" s="111"/>
      <c r="F22" s="77"/>
      <c r="G22" s="56" t="s">
        <v>86</v>
      </c>
      <c r="H22" s="37"/>
      <c r="I22" s="71"/>
      <c r="J22" s="72"/>
      <c r="K22" s="71"/>
      <c r="L22" s="72"/>
      <c r="M22" s="34"/>
      <c r="N22" s="93"/>
      <c r="O22" s="94"/>
      <c r="P22" s="94"/>
      <c r="Q22" s="94"/>
      <c r="R22" s="94"/>
      <c r="S22" s="94"/>
      <c r="T22" s="94"/>
      <c r="U22" s="94"/>
      <c r="V22" s="94"/>
      <c r="W22" s="94"/>
      <c r="X22" s="94"/>
      <c r="Y22" s="95"/>
    </row>
    <row r="23" spans="1:25" ht="20.05" customHeight="1" x14ac:dyDescent="0.3">
      <c r="A23" s="169" t="s">
        <v>195</v>
      </c>
      <c r="B23" s="169"/>
      <c r="C23" s="109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AS</v>
      </c>
      <c r="D23" s="110"/>
      <c r="E23" s="103"/>
      <c r="F23" s="77"/>
      <c r="G23" s="56" t="s">
        <v>87</v>
      </c>
      <c r="H23" s="37"/>
      <c r="I23" s="71"/>
      <c r="J23" s="72"/>
      <c r="K23" s="71"/>
      <c r="L23" s="72"/>
      <c r="M23" s="34"/>
      <c r="N23" s="81" t="s">
        <v>133</v>
      </c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3"/>
    </row>
    <row r="24" spans="1:25" ht="20.05" customHeight="1" x14ac:dyDescent="0.3">
      <c r="A24" s="170"/>
      <c r="B24" s="171"/>
      <c r="C24" s="109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110"/>
      <c r="E24" s="103"/>
      <c r="F24" s="77"/>
      <c r="G24" s="56" t="s">
        <v>88</v>
      </c>
      <c r="H24" s="37"/>
      <c r="I24" s="71"/>
      <c r="J24" s="72"/>
      <c r="K24" s="71"/>
      <c r="L24" s="72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05" customHeight="1" x14ac:dyDescent="0.3">
      <c r="A25" s="84" t="s">
        <v>1</v>
      </c>
      <c r="B25" s="85"/>
      <c r="C25" s="85"/>
      <c r="D25" s="85"/>
      <c r="E25" s="85"/>
      <c r="F25" s="102"/>
      <c r="G25" s="102"/>
      <c r="H25" s="102"/>
      <c r="I25" s="102"/>
      <c r="J25" s="102"/>
      <c r="K25" s="85"/>
      <c r="L25" s="86"/>
      <c r="M25" s="34"/>
      <c r="N25" s="26" t="s">
        <v>96</v>
      </c>
      <c r="O25" s="10"/>
      <c r="P25" s="39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05" customHeight="1" x14ac:dyDescent="0.3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08" t="s">
        <v>132</v>
      </c>
      <c r="H26" s="108"/>
      <c r="I26" s="108" t="s">
        <v>131</v>
      </c>
      <c r="J26" s="108"/>
      <c r="K26" s="28" t="s">
        <v>94</v>
      </c>
      <c r="L26" s="28" t="s">
        <v>95</v>
      </c>
      <c r="M26" s="34"/>
      <c r="N26" s="104" t="s">
        <v>137</v>
      </c>
      <c r="O26" s="105"/>
      <c r="P26" s="105"/>
      <c r="Q26" s="105"/>
      <c r="R26" s="105"/>
      <c r="S26" s="105"/>
      <c r="T26" s="105"/>
      <c r="U26" s="105"/>
      <c r="V26" s="105"/>
      <c r="W26" s="105"/>
      <c r="X26" s="105"/>
      <c r="Y26" s="106"/>
    </row>
    <row r="27" spans="1:25" ht="20.05" customHeight="1" x14ac:dyDescent="0.3">
      <c r="A27" s="26" t="s">
        <v>96</v>
      </c>
      <c r="B27" s="7"/>
      <c r="C27" s="7"/>
      <c r="D27" s="7"/>
      <c r="E27" s="8"/>
      <c r="F27" s="11"/>
      <c r="G27" s="107"/>
      <c r="H27" s="107"/>
      <c r="I27" s="107"/>
      <c r="J27" s="107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05" customHeight="1" x14ac:dyDescent="0.3">
      <c r="A28" s="26" t="s">
        <v>97</v>
      </c>
      <c r="B28" s="7"/>
      <c r="C28" s="7"/>
      <c r="D28" s="7"/>
      <c r="E28" s="9"/>
      <c r="F28" s="11"/>
      <c r="G28" s="107"/>
      <c r="H28" s="107"/>
      <c r="I28" s="107"/>
      <c r="J28" s="107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05" customHeight="1" x14ac:dyDescent="0.3">
      <c r="A29" s="96" t="s">
        <v>99</v>
      </c>
      <c r="B29" s="97"/>
      <c r="C29" s="97"/>
      <c r="D29" s="97"/>
      <c r="E29" s="97"/>
      <c r="F29" s="98"/>
      <c r="G29" s="98"/>
      <c r="H29" s="98"/>
      <c r="I29" s="98"/>
      <c r="J29" s="98"/>
      <c r="K29" s="97"/>
      <c r="L29" s="99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05" customHeight="1" x14ac:dyDescent="0.3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05" customHeight="1" x14ac:dyDescent="0.3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05" customHeight="1" x14ac:dyDescent="0.3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05" customHeight="1" x14ac:dyDescent="0.3">
      <c r="A33" s="156" t="s">
        <v>116</v>
      </c>
      <c r="B33" s="157"/>
      <c r="C33" s="157"/>
      <c r="D33" s="157"/>
      <c r="E33" s="157"/>
      <c r="F33" s="157"/>
      <c r="G33" s="157"/>
      <c r="H33" s="157"/>
      <c r="I33" s="157"/>
      <c r="J33" s="157"/>
      <c r="K33" s="157"/>
      <c r="L33" s="158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05" customHeight="1" x14ac:dyDescent="0.3">
      <c r="A34" s="159"/>
      <c r="B34" s="160"/>
      <c r="C34" s="160"/>
      <c r="D34" s="160"/>
      <c r="E34" s="160"/>
      <c r="F34" s="160"/>
      <c r="G34" s="160"/>
      <c r="H34" s="160"/>
      <c r="I34" s="160"/>
      <c r="J34" s="160"/>
      <c r="K34" s="160"/>
      <c r="L34" s="161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05" customHeight="1" x14ac:dyDescent="0.3">
      <c r="A35" s="162"/>
      <c r="B35" s="163"/>
      <c r="C35" s="163"/>
      <c r="D35" s="163"/>
      <c r="E35" s="163"/>
      <c r="F35" s="163"/>
      <c r="G35" s="163"/>
      <c r="H35" s="163"/>
      <c r="I35" s="163"/>
      <c r="J35" s="163"/>
      <c r="K35" s="163"/>
      <c r="L35" s="164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05" customHeight="1" x14ac:dyDescent="0.3">
      <c r="A36" s="165" t="s">
        <v>136</v>
      </c>
      <c r="B36" s="166"/>
      <c r="C36" s="166"/>
      <c r="D36" s="166"/>
      <c r="E36" s="166"/>
      <c r="F36" s="166"/>
      <c r="G36" s="166"/>
      <c r="H36" s="166"/>
      <c r="I36" s="166"/>
      <c r="J36" s="166"/>
      <c r="K36" s="166"/>
      <c r="L36" s="167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05" customHeight="1" x14ac:dyDescent="0.3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05" customHeight="1" x14ac:dyDescent="0.3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05" customHeight="1" x14ac:dyDescent="0.3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05" customHeight="1" x14ac:dyDescent="0.3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05" customHeight="1" x14ac:dyDescent="0.3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05" customHeight="1" x14ac:dyDescent="0.3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05" customHeight="1" x14ac:dyDescent="0.3">
      <c r="N43" s="59"/>
    </row>
    <row r="44" spans="1:25" ht="20.05" customHeight="1" x14ac:dyDescent="0.3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05" customHeight="1" x14ac:dyDescent="0.3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05" customHeight="1" x14ac:dyDescent="0.3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05" customHeight="1" x14ac:dyDescent="0.3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05" customHeight="1" x14ac:dyDescent="0.3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05" customHeight="1" x14ac:dyDescent="0.3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05" customHeight="1" x14ac:dyDescent="0.3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05" customHeight="1" x14ac:dyDescent="0.3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05" customHeight="1" x14ac:dyDescent="0.3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05" customHeight="1" x14ac:dyDescent="0.3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05" customHeight="1" x14ac:dyDescent="0.3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05" customHeight="1" x14ac:dyDescent="0.3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05" customHeight="1" x14ac:dyDescent="0.3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05" customHeight="1" x14ac:dyDescent="0.3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05" customHeight="1" x14ac:dyDescent="0.3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05" customHeight="1" x14ac:dyDescent="0.3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05" customHeight="1" x14ac:dyDescent="0.3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05" customHeight="1" x14ac:dyDescent="0.3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05" customHeight="1" x14ac:dyDescent="0.3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05" customHeight="1" x14ac:dyDescent="0.3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05" customHeight="1" x14ac:dyDescent="0.3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05" customHeight="1" x14ac:dyDescent="0.3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05" customHeight="1" x14ac:dyDescent="0.3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05" customHeight="1" x14ac:dyDescent="0.3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05" customHeight="1" x14ac:dyDescent="0.3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05" customHeight="1" x14ac:dyDescent="0.3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05" customHeight="1" x14ac:dyDescent="0.3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05" customHeight="1" x14ac:dyDescent="0.3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05" customHeight="1" x14ac:dyDescent="0.3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05" customHeight="1" x14ac:dyDescent="0.3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05" customHeight="1" x14ac:dyDescent="0.3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05" customHeight="1" x14ac:dyDescent="0.3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05" customHeight="1" x14ac:dyDescent="0.3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05" customHeight="1" x14ac:dyDescent="0.3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05" customHeight="1" x14ac:dyDescent="0.3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05" customHeight="1" x14ac:dyDescent="0.3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05" customHeight="1" x14ac:dyDescent="0.3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05" customHeight="1" x14ac:dyDescent="0.3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05" customHeight="1" x14ac:dyDescent="0.3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05" customHeight="1" x14ac:dyDescent="0.3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05" customHeight="1" x14ac:dyDescent="0.3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05" customHeight="1" x14ac:dyDescent="0.3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05" customHeight="1" x14ac:dyDescent="0.3"/>
    <row r="87" spans="1:25" ht="20.05" customHeight="1" x14ac:dyDescent="0.3"/>
    <row r="88" spans="1:25" ht="20.05" customHeight="1" x14ac:dyDescent="0.3"/>
    <row r="89" spans="1:25" ht="20.05" customHeight="1" x14ac:dyDescent="0.3"/>
    <row r="90" spans="1:25" ht="20.05" customHeight="1" x14ac:dyDescent="0.3"/>
    <row r="91" spans="1:25" ht="20.05" customHeight="1" x14ac:dyDescent="0.3"/>
    <row r="92" spans="1:25" ht="20.05" customHeight="1" x14ac:dyDescent="0.3"/>
    <row r="93" spans="1:25" ht="20.05" customHeight="1" x14ac:dyDescent="0.3"/>
    <row r="94" spans="1:25" ht="20.05" customHeight="1" x14ac:dyDescent="0.3"/>
    <row r="95" spans="1:25" ht="20.05" customHeight="1" x14ac:dyDescent="0.3"/>
    <row r="96" spans="1:25" ht="20.05" customHeight="1" x14ac:dyDescent="0.3"/>
    <row r="97" ht="20.05" customHeight="1" x14ac:dyDescent="0.3"/>
    <row r="98" ht="20.05" customHeight="1" x14ac:dyDescent="0.3"/>
    <row r="99" ht="20.05" customHeight="1" x14ac:dyDescent="0.3"/>
    <row r="100" ht="20.05" customHeight="1" x14ac:dyDescent="0.3"/>
    <row r="101" ht="20.05" customHeight="1" x14ac:dyDescent="0.3"/>
    <row r="102" ht="20.05" customHeight="1" x14ac:dyDescent="0.3"/>
    <row r="103" ht="20.05" customHeight="1" x14ac:dyDescent="0.3"/>
    <row r="104" ht="20.05" customHeight="1" x14ac:dyDescent="0.3"/>
    <row r="105" ht="20.05" customHeight="1" x14ac:dyDescent="0.3"/>
    <row r="106" ht="20.05" customHeight="1" x14ac:dyDescent="0.3"/>
    <row r="107" ht="20.05" customHeight="1" x14ac:dyDescent="0.3"/>
    <row r="108" ht="20.05" customHeight="1" x14ac:dyDescent="0.3"/>
    <row r="109" ht="20.05" customHeight="1" x14ac:dyDescent="0.3"/>
    <row r="110" ht="20.05" customHeight="1" x14ac:dyDescent="0.3"/>
    <row r="111" ht="20.05" customHeight="1" x14ac:dyDescent="0.3"/>
    <row r="112" ht="20.05" customHeight="1" x14ac:dyDescent="0.3"/>
    <row r="113" ht="20.05" customHeight="1" x14ac:dyDescent="0.3"/>
    <row r="114" ht="20.05" customHeight="1" x14ac:dyDescent="0.3"/>
    <row r="115" ht="20.05" customHeight="1" x14ac:dyDescent="0.3"/>
    <row r="116" ht="20.05" customHeight="1" x14ac:dyDescent="0.3"/>
    <row r="117" ht="20.05" customHeight="1" x14ac:dyDescent="0.3"/>
    <row r="118" ht="20.05" customHeight="1" x14ac:dyDescent="0.3"/>
    <row r="119" ht="20.05" customHeight="1" x14ac:dyDescent="0.3"/>
    <row r="120" ht="20.05" customHeight="1" x14ac:dyDescent="0.3"/>
    <row r="121" ht="20.05" customHeight="1" x14ac:dyDescent="0.3"/>
    <row r="122" ht="20.05" customHeight="1" x14ac:dyDescent="0.3"/>
    <row r="123" ht="20.05" customHeight="1" x14ac:dyDescent="0.3"/>
    <row r="124" ht="20.05" customHeight="1" x14ac:dyDescent="0.3"/>
    <row r="125" ht="20.05" customHeight="1" x14ac:dyDescent="0.3"/>
    <row r="126" ht="20.05" customHeight="1" x14ac:dyDescent="0.3"/>
    <row r="127" ht="20.05" customHeight="1" x14ac:dyDescent="0.3"/>
    <row r="128" ht="20.05" customHeight="1" x14ac:dyDescent="0.3"/>
    <row r="129" ht="20.05" customHeight="1" x14ac:dyDescent="0.3"/>
    <row r="130" ht="20.05" customHeight="1" x14ac:dyDescent="0.3"/>
    <row r="131" ht="20.05" customHeight="1" x14ac:dyDescent="0.3"/>
    <row r="132" ht="20.05" customHeight="1" x14ac:dyDescent="0.3"/>
    <row r="133" ht="20.05" customHeight="1" x14ac:dyDescent="0.3"/>
    <row r="134" ht="20.05" customHeight="1" x14ac:dyDescent="0.3"/>
    <row r="135" ht="20.05" customHeight="1" x14ac:dyDescent="0.3"/>
    <row r="136" ht="20.05" customHeight="1" x14ac:dyDescent="0.3"/>
    <row r="137" ht="20.05" customHeight="1" x14ac:dyDescent="0.3"/>
    <row r="138" ht="20.05" customHeight="1" x14ac:dyDescent="0.3"/>
    <row r="139" ht="20.05" customHeight="1" x14ac:dyDescent="0.3"/>
    <row r="140" ht="20.05" customHeight="1" x14ac:dyDescent="0.3"/>
    <row r="141" ht="20.05" customHeight="1" x14ac:dyDescent="0.3"/>
    <row r="142" ht="20.05" customHeight="1" x14ac:dyDescent="0.3"/>
    <row r="143" ht="20.05" customHeight="1" x14ac:dyDescent="0.3"/>
    <row r="144" ht="20.05" customHeight="1" x14ac:dyDescent="0.3"/>
    <row r="145" ht="20.05" customHeight="1" x14ac:dyDescent="0.3"/>
    <row r="146" ht="20.05" customHeight="1" x14ac:dyDescent="0.3"/>
    <row r="147" ht="20.05" customHeight="1" x14ac:dyDescent="0.3"/>
    <row r="148" ht="20.05" customHeight="1" x14ac:dyDescent="0.3"/>
    <row r="149" ht="20.05" customHeight="1" x14ac:dyDescent="0.3"/>
    <row r="150" ht="20.05" customHeight="1" x14ac:dyDescent="0.3"/>
    <row r="151" ht="20.05" customHeight="1" x14ac:dyDescent="0.3"/>
    <row r="152" ht="20.05" customHeight="1" x14ac:dyDescent="0.3"/>
    <row r="153" ht="20.05" customHeight="1" x14ac:dyDescent="0.3"/>
    <row r="154" ht="20.05" customHeight="1" x14ac:dyDescent="0.3"/>
    <row r="155" ht="20.05" customHeight="1" x14ac:dyDescent="0.3"/>
    <row r="156" ht="20.05" customHeight="1" x14ac:dyDescent="0.3"/>
    <row r="157" ht="20.05" customHeight="1" x14ac:dyDescent="0.3"/>
    <row r="158" ht="20.05" customHeight="1" x14ac:dyDescent="0.3"/>
    <row r="159" ht="20.05" customHeight="1" x14ac:dyDescent="0.3"/>
    <row r="160" ht="20.05" customHeight="1" x14ac:dyDescent="0.3"/>
    <row r="161" ht="20.05" customHeight="1" x14ac:dyDescent="0.3"/>
    <row r="162" ht="20.05" customHeight="1" x14ac:dyDescent="0.3"/>
    <row r="163" ht="20.05" customHeight="1" x14ac:dyDescent="0.3"/>
    <row r="164" ht="20.05" customHeight="1" x14ac:dyDescent="0.3"/>
    <row r="165" ht="20.05" customHeight="1" x14ac:dyDescent="0.3"/>
    <row r="166" ht="20.05" customHeight="1" x14ac:dyDescent="0.3"/>
    <row r="167" ht="20.05" customHeight="1" x14ac:dyDescent="0.3"/>
    <row r="168" ht="20.05" customHeight="1" x14ac:dyDescent="0.3"/>
    <row r="169" ht="20.05" customHeight="1" x14ac:dyDescent="0.3"/>
    <row r="170" ht="20.05" customHeight="1" x14ac:dyDescent="0.3"/>
    <row r="171" ht="20.05" customHeight="1" x14ac:dyDescent="0.3"/>
    <row r="172" ht="20.05" customHeight="1" x14ac:dyDescent="0.3"/>
    <row r="173" ht="20.05" customHeight="1" x14ac:dyDescent="0.3"/>
    <row r="174" ht="20.05" customHeight="1" x14ac:dyDescent="0.3"/>
    <row r="175" ht="20.05" customHeight="1" x14ac:dyDescent="0.3"/>
    <row r="176" ht="20.05" customHeight="1" x14ac:dyDescent="0.3"/>
    <row r="177" ht="20.05" customHeight="1" x14ac:dyDescent="0.3"/>
    <row r="178" ht="20.05" customHeight="1" x14ac:dyDescent="0.3"/>
    <row r="179" ht="20.05" customHeight="1" x14ac:dyDescent="0.3"/>
    <row r="180" ht="20.05" customHeight="1" x14ac:dyDescent="0.3"/>
    <row r="181" ht="20.05" customHeight="1" x14ac:dyDescent="0.3"/>
    <row r="182" ht="20.05" customHeight="1" x14ac:dyDescent="0.3"/>
    <row r="183" ht="20.05" customHeight="1" x14ac:dyDescent="0.3"/>
    <row r="184" ht="20.05" customHeight="1" x14ac:dyDescent="0.3"/>
    <row r="185" ht="20.05" customHeight="1" x14ac:dyDescent="0.3"/>
    <row r="186" ht="20.05" customHeight="1" x14ac:dyDescent="0.3"/>
    <row r="187" ht="20.05" customHeight="1" x14ac:dyDescent="0.3"/>
    <row r="188" ht="20.05" customHeight="1" x14ac:dyDescent="0.3"/>
    <row r="189" ht="20.05" customHeight="1" x14ac:dyDescent="0.3"/>
    <row r="190" ht="20.05" customHeight="1" x14ac:dyDescent="0.3"/>
    <row r="191" ht="20.05" customHeight="1" x14ac:dyDescent="0.3"/>
    <row r="192" ht="20.05" customHeight="1" x14ac:dyDescent="0.3"/>
    <row r="193" ht="20.05" customHeight="1" x14ac:dyDescent="0.3"/>
    <row r="194" ht="20.05" customHeight="1" x14ac:dyDescent="0.3"/>
    <row r="195" ht="20.05" customHeight="1" x14ac:dyDescent="0.3"/>
    <row r="196" ht="20.05" customHeight="1" x14ac:dyDescent="0.3"/>
    <row r="197" ht="20.05" customHeight="1" x14ac:dyDescent="0.3"/>
    <row r="198" ht="20.05" customHeight="1" x14ac:dyDescent="0.3"/>
    <row r="199" ht="20.05" customHeight="1" x14ac:dyDescent="0.3"/>
    <row r="200" ht="20.05" customHeight="1" x14ac:dyDescent="0.3"/>
    <row r="201" ht="20.05" customHeight="1" x14ac:dyDescent="0.3"/>
    <row r="202" ht="20.05" customHeight="1" x14ac:dyDescent="0.3"/>
    <row r="203" ht="20.05" customHeight="1" x14ac:dyDescent="0.3"/>
    <row r="204" ht="20.05" customHeight="1" x14ac:dyDescent="0.3"/>
    <row r="205" ht="20.05" customHeight="1" x14ac:dyDescent="0.3"/>
    <row r="206" ht="20.05" customHeight="1" x14ac:dyDescent="0.3"/>
    <row r="207" ht="20.05" customHeight="1" x14ac:dyDescent="0.3"/>
    <row r="208" ht="20.05" customHeight="1" x14ac:dyDescent="0.3"/>
    <row r="209" ht="20.05" customHeight="1" x14ac:dyDescent="0.3"/>
    <row r="210" ht="20.05" customHeight="1" x14ac:dyDescent="0.3"/>
    <row r="211" ht="20.05" customHeight="1" x14ac:dyDescent="0.3"/>
    <row r="212" ht="20.05" customHeight="1" x14ac:dyDescent="0.3"/>
    <row r="213" ht="20.05" customHeight="1" x14ac:dyDescent="0.3"/>
    <row r="214" ht="20.05" customHeight="1" x14ac:dyDescent="0.3"/>
    <row r="215" ht="20.05" customHeight="1" x14ac:dyDescent="0.3"/>
    <row r="216" ht="20.05" customHeight="1" x14ac:dyDescent="0.3"/>
    <row r="217" ht="20.05" customHeight="1" x14ac:dyDescent="0.3"/>
    <row r="218" ht="20.05" customHeight="1" x14ac:dyDescent="0.3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3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.05" x14ac:dyDescent="0.3"/>
  <cols>
    <col min="1" max="1" width="9.33203125" bestFit="1" customWidth="1"/>
  </cols>
  <sheetData>
    <row r="1" spans="1:22" x14ac:dyDescent="0.3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3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3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3">
      <c r="A4" s="68">
        <f ca="1">DATE(YEAR(Sheet1!J1),MONTH(Sheet1!J1)+1,DAY(Sheet1!J1))</f>
        <v>44081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3">
      <c r="A5" s="68">
        <f ca="1">DATE(YEAR(Sheet1!J1),MONTH(Sheet1!J1),DAY(Sheet1!J1)+21)</f>
        <v>44071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3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3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3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3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3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3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3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3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3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3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3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3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3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3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3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3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3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3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3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3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3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3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3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3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3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3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3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3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3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3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3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3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3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3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3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3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3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3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3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3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3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3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3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3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3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3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3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3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3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3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3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3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3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3">
      <c r="A59" s="64" t="s">
        <v>148</v>
      </c>
    </row>
    <row r="60" spans="1:20" x14ac:dyDescent="0.3">
      <c r="A60" s="64" t="s">
        <v>149</v>
      </c>
      <c r="O60" s="1"/>
      <c r="Q60" s="1"/>
      <c r="R60" s="3"/>
      <c r="S60" s="1"/>
    </row>
    <row r="61" spans="1:20" x14ac:dyDescent="0.3">
      <c r="A61" s="64" t="s">
        <v>150</v>
      </c>
      <c r="O61" s="1"/>
      <c r="Q61" s="1"/>
      <c r="R61" s="1"/>
      <c r="S61" s="1"/>
    </row>
    <row r="62" spans="1:20" x14ac:dyDescent="0.3">
      <c r="A62" s="64" t="s">
        <v>151</v>
      </c>
      <c r="O62" s="1"/>
      <c r="Q62" s="1"/>
      <c r="R62" s="1"/>
      <c r="S62" s="1"/>
    </row>
    <row r="63" spans="1:20" x14ac:dyDescent="0.3">
      <c r="A63" s="64" t="s">
        <v>152</v>
      </c>
      <c r="O63" s="1"/>
      <c r="Q63" s="1"/>
      <c r="R63" s="1"/>
      <c r="S63" s="1"/>
      <c r="T63" s="1"/>
    </row>
    <row r="64" spans="1:20" x14ac:dyDescent="0.3">
      <c r="A64" s="64" t="s">
        <v>153</v>
      </c>
      <c r="O64" s="1"/>
      <c r="Q64" s="1"/>
      <c r="R64" s="1"/>
      <c r="S64" s="1"/>
      <c r="T64" s="1"/>
    </row>
    <row r="65" spans="1:20" x14ac:dyDescent="0.3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3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3">
      <c r="N67" s="4"/>
      <c r="O67" s="1"/>
      <c r="P67" s="1"/>
      <c r="Q67" s="1"/>
      <c r="R67" s="1"/>
      <c r="S67" s="1"/>
      <c r="T67" s="1"/>
    </row>
    <row r="68" spans="1:20" x14ac:dyDescent="0.3">
      <c r="N68" s="4"/>
      <c r="O68" s="1"/>
      <c r="P68" s="1"/>
      <c r="Q68" s="1"/>
      <c r="R68" s="1"/>
      <c r="S68" s="1"/>
      <c r="T68" s="1"/>
    </row>
    <row r="69" spans="1:20" x14ac:dyDescent="0.3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A381C491-BB67-4DF0-97C1-69CC602FA378}"/>
</file>

<file path=customXml/itemProps2.xml><?xml version="1.0" encoding="utf-8"?>
<ds:datastoreItem xmlns:ds="http://schemas.openxmlformats.org/officeDocument/2006/customXml" ds:itemID="{0102859C-436B-460C-92D6-122660049C7F}"/>
</file>

<file path=customXml/itemProps3.xml><?xml version="1.0" encoding="utf-8"?>
<ds:datastoreItem xmlns:ds="http://schemas.openxmlformats.org/officeDocument/2006/customXml" ds:itemID="{B5964287-CD80-4898-8832-C0F964F7A88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</cp:lastModifiedBy>
  <cp:lastPrinted>2020-08-07T01:52:19Z</cp:lastPrinted>
  <dcterms:created xsi:type="dcterms:W3CDTF">2019-11-27T23:28:06Z</dcterms:created>
  <dcterms:modified xsi:type="dcterms:W3CDTF">2020-08-07T02:03:51Z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