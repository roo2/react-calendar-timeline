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0C334E4-CE6F-4138-9B97-5284680FEB2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<sst xmlns="http://schemas.openxmlformats.org/spreadsheetml/2006/main" count="302" uniqueCount="199">
  <si>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</si>
  <si>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</si>
  <si>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</si>
  <si>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</si>
  <si>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</si>
  <si>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</si>
  <si>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</si>
  <si>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</si>
  <si>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</si>
  <si>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</si>
  <si>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</si>
  <si>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</si>
  <si>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</si>
  <si>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</si>
  <si>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</si>
  <si>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</si>
  <si>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</si>
  <si>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</si>
  <si>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</si>
  <si>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</si>
  <si>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</si>
  <si>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</si>
  <si>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</si>
  <si>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</si>
  <si>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</si>
  <si>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</si>
  <si>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</si>
  <si>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</si>
  <si>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</si>
  <si>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</si>
  <si>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</si>
  <si>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</si>
  <si>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</si>
  <si>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</si>
  <si>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</si>
  <si>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</si>
  <si>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</si>
  <si>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</si>
  <si>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</si>
  <si>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</si>
  <si>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</si>
  <si>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</si>
  <si>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</si>
  <si>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</si>
  <si>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</si>
  <si>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</si>
  <si>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</si>
  <si>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</si>
  <si>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</si>
  <si>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</si>
  <si>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</si>
  <si>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</si>
  <si>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</si>
  <si>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</si>
  <si>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</si>
  <si>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</si>
  <si>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</si>
  <si>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</si>
  <si>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</si>
  <si>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</si>
  <si>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</si>
  <si>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</si>
  <si>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</si>
  <si>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</si>
  <si>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</si>
  <si>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</si>
  <si>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</si>
  <si>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</si>
  <si>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</si>
  <si>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</si>
  <si>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</si>
  <si>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</si>
  <si>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</si>
  <si>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</si>
  <si>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</si>
  <si>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</si>
  <si>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</si>
  <si>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</si>
  <si>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</si>
  <si>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</si>
  <si>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</si>
  <si>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</si>
  <si>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</si>
  <si>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</si>
  <si>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</si>
  <si>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</si>
  <si>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</si>
  <si>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</si>
  <si>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</si>
  <si>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</si>
  <si>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</si>
  <si>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</si>
  <si>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</si>
  <si>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</si>
  <si>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</si>
  <si>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</si>
  <si>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</si>
  <si>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</si>
  <si>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</si>
  <si>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</si>
  <si>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</si>
  <si>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</si>
  <si>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</si>
  <si>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</si>
  <si>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</si>
  <si>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</si>
  <si>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</si>
  <si>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</si>
  <si>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</si>
  <si>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</si>
  <si>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</si>
  <si>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</si>
  <si>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</si>
  <si>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</si>
  <si>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</si>
  <si>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</si>
  <si>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</si>
  <si>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</si>
  <si>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</si>
  <si>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</si>
  <si>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</si>
  <si>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</si>
  <si>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</si>
  <si>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</si>
  <si>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</si>
  <si>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</si>
  <si>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</si>
  <si>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</si>
  <si>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</si>
  <si>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</si>
  <si>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</si>
  <si>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</si>
  <si>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</si>
  <si>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</si>
  <si>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</si>
  <si>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</si>
  <si>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</si>
  <si>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</si>
  <si>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</si>
  <si>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</si>
  <si>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</si>
  <si>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</si>
  <si>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</si>
  <si>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</si>
  <si>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</si>
  <si>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</si>
  <si>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</si>
  <si>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</si>
  <si>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</si>
  <si>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</si>
  <si>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</si>
  <si>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</si>
  <si>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</si>
  <si>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</si>
  <si>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</si>
  <si>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</si>
  <si>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</si>
  <si>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</si>
  <si>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</si>
  <si>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</si>
  <si>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</si>
  <si>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</si>
  <si>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</si>
  <si>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</si>
  <si>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</si>
  <si>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</si>
  <si>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</si>
  <si>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</si>
  <si>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</si>
  <si>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</si>
  <si>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</si>
  <si>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</si>
  <si>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</si>
  <si>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</si>
  <si>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</si>
  <si>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</si>
  <si>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</si>
  <si>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</si>
  <si>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</si>
  <si>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</si>
  <si>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</si>
  <si>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</si>
  <si>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</si>
  <si>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</si>
  <si>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</si>
  <si>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</si>
  <si>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</si>
  <si>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</si>
  <si>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</si>
  <si>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</si>
  <si>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</si>
  <si>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</si>
  <si>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</si>
  <si>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</si>
  <si>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(555+405)</t>
  </si>
  <si>
    <t xml:space="preserve"> +/- 5mm</t>
  </si>
  <si>
    <t>NOT OVER</t>
  </si>
  <si>
    <t>BAG 14 KIRBY LINER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</si>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</sst>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PBR960G650100</v>
      </c>
      <c r="C1" s="113"/>
      <c r="D1" s="114"/>
      <c r="E1" s="16" t="s">
        <v>56</v>
      </c>
      <c r="F1" s="94" t="s">
        <v>198</v>
      </c>
      <c r="G1" s="94"/>
      <c r="H1" s="95"/>
      <c r="I1" s="16" t="s">
        <v>180</v>
      </c>
      <c r="J1" s="134">
        <f ca="1">TODAY()</f>
        <v>45664</v>
      </c>
      <c r="K1" s="134"/>
      <c r="L1" s="135"/>
      <c r="M1" s="30"/>
      <c r="N1" s="16" t="s">
        <v>55</v>
      </c>
      <c r="O1" s="113" t="str">
        <f>B1</f>
        <v>PBR960G650100</v>
      </c>
      <c r="P1" s="113"/>
      <c r="Q1" s="114"/>
      <c r="R1" s="16" t="s">
        <v>56</v>
      </c>
      <c r="S1" s="113" t="str">
        <f>F1</f>
        <v>STOCK</v>
      </c>
      <c r="T1" s="113"/>
      <c r="U1" s="114"/>
      <c r="V1" s="16" t="s">
        <v>180</v>
      </c>
      <c r="W1" s="134">
        <f ca="1">J1</f>
        <v>45664</v>
      </c>
      <c r="X1" s="134"/>
      <c r="Y1" s="135"/>
    </row>
    <row r="2" spans="1:25" ht="20.149999999999999" customHeight="1" x14ac:dyDescent="0.8">
      <c r="A2" s="16" t="s">
        <v>99</v>
      </c>
      <c r="B2" s="113" t="str">
        <f>IF(U10="","",U10)</f>
        <v>BAG 14 KIRBY LINER</v>
      </c>
      <c r="C2" s="113"/>
      <c r="D2" s="114"/>
      <c r="E2" s="16" t="s">
        <v>57</v>
      </c>
      <c r="F2" s="94">
        <v>58167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>BAG 14 KIRBY LINER</v>
      </c>
      <c r="P2" s="113"/>
      <c r="Q2" s="114"/>
      <c r="R2" s="16" t="s">
        <v>57</v>
      </c>
      <c r="S2" s="113">
        <f>IF(F2="","",F2)</f>
        <v>58167</v>
      </c>
      <c r="T2" s="113"/>
      <c r="U2" s="114"/>
      <c r="V2" s="16" t="s">
        <v>58</v>
      </c>
      <c r="W2" s="136" t="str">
        <f>J2</f>
        <v>ASAP</v>
      </c>
      <c r="X2" s="113"/>
      <c r="Y2" s="114"/>
    </row>
    <row r="3" spans="1:25" ht="20.149999999999999" customHeight="1" x14ac:dyDescent="0.7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>
        <f>A3</f>
        <v>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50</v>
      </c>
      <c r="P7" s="95"/>
      <c r="Q7" s="16" t="str">
        <f>IF(ISNUMBER(SEARCH("roll",O8,1)),"Per Roll","Per Carton")</f>
        <v>Per Roll</v>
      </c>
      <c r="R7" s="94">
        <v>200</v>
      </c>
      <c r="S7" s="95"/>
      <c r="T7" s="16" t="str">
        <f>IF(ISNUMBER(SEARCH("bag",O8,1)),"Total Bags","Total Sheets")</f>
        <v>Total Bags</v>
      </c>
      <c r="U7" s="113">
        <f>R7*O7</f>
        <v>10000</v>
      </c>
      <c r="V7" s="114"/>
      <c r="W7" s="16" t="s">
        <v>101</v>
      </c>
      <c r="X7" s="94" t="s">
        <v>30</v>
      </c>
      <c r="Y7" s="95"/>
    </row>
    <row r="8" spans="1:25" ht="20.149999999999999" customHeight="1" x14ac:dyDescent="0.8">
      <c r="A8" s="17" t="s">
        <v>15</v>
      </c>
      <c r="B8" s="103">
        <f>R9</f>
        <v>960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(555+405)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49999999999999" customHeight="1" x14ac:dyDescent="0.9">
      <c r="A9" s="21" t="s">
        <v>47</v>
      </c>
      <c r="B9" s="111" t="s">
        <v>195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960</v>
      </c>
      <c r="S9" s="23" t="s">
        <v>77</v>
      </c>
      <c r="T9" s="31">
        <v>650</v>
      </c>
      <c r="U9" s="23" t="s">
        <v>77</v>
      </c>
      <c r="V9" s="31">
        <v>100</v>
      </c>
      <c r="W9" s="22"/>
      <c r="X9" s="100" t="s">
        <v>194</v>
      </c>
      <c r="Y9" s="101"/>
    </row>
    <row r="10" spans="1:25" ht="20.149999999999999" customHeight="1" x14ac:dyDescent="0.8">
      <c r="A10" s="16" t="s">
        <v>50</v>
      </c>
      <c r="B10" s="94">
        <v>50</v>
      </c>
      <c r="C10" s="95"/>
      <c r="D10" s="49" t="s">
        <v>133</v>
      </c>
      <c r="E10" s="115">
        <f>IF(ISNUMBER(SEARCH("sheet",O8,1)),((R9*T9*H8/540000)*U7/2000*1.3),((R9*T9*H8/540000)*U7/1000*1.08))</f>
        <v>1248</v>
      </c>
      <c r="F10" s="116"/>
      <c r="G10" s="16" t="s">
        <v>52</v>
      </c>
      <c r="H10" s="119">
        <f>IF(ISNUMBER(SEARCH("sheet",O8,1)),(U7*T9/2000*1.08),(U7*T9/1000*1.08))</f>
        <v>7020.0000000000009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 t="s">
        <v>197</v>
      </c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24.96</v>
      </c>
      <c r="F11" s="118"/>
      <c r="G11" s="16" t="s">
        <v>14</v>
      </c>
      <c r="H11" s="117">
        <f>H10/B10</f>
        <v>140.4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50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22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45695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45685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0D5438C-7501-4F4D-A048-DEBDF68F074B}"/>
</file>

<file path=customXml/itemProps2.xml><?xml version="1.0" encoding="utf-8"?>
<ds:datastoreItem xmlns:ds="http://schemas.openxmlformats.org/officeDocument/2006/customXml" ds:itemID="{25F41FBC-D4F1-4477-A4D0-63F9E0276497}"/>
</file>

<file path=customXml/itemProps3.xml><?xml version="1.0" encoding="utf-8"?>
<ds:datastoreItem xmlns:ds="http://schemas.openxmlformats.org/officeDocument/2006/customXml" ds:itemID="{B5D84CF0-77F6-4262-AA7C-CC0875105D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2025-01-07T01:39:18Z</cp:lastPrinted>
  <dcterms:created xsi:type="dcterms:W3CDTF">2019-11-27T23:28:06Z</dcterms:created>
  <dcterms:modified xsi:type="dcterms:W3CDTF">2025-01-07T03:30:12Z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