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6351DF8F-7E3A-4E0D-8AE7-5E5B791A54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<sst xmlns="http://schemas.openxmlformats.org/spreadsheetml/2006/main" count="305" uniqueCount="200">
  <si>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</si>
  <si>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</si>
  <si>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</si>
  <si>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</si>
  <si>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</si>
  <si>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</si>
  <si>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</si>
  <si>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</si>
  <si>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</si>
  <si>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</si>
  <si>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</si>
  <si>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</si>
  <si>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</si>
  <si>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</si>
  <si>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</si>
  <si>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</si>
  <si>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</si>
  <si>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</si>
  <si>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</si>
  <si>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</si>
  <si>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</si>
  <si>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</si>
  <si>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</si>
  <si>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</si>
  <si>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</si>
  <si>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</si>
  <si>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</si>
  <si>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</si>
  <si>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</si>
  <si>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</si>
  <si>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</si>
  <si>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</si>
  <si>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</si>
  <si>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</si>
  <si>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</si>
  <si>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</si>
  <si>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</si>
  <si>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</si>
  <si>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</si>
  <si>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</si>
  <si>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</si>
  <si>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</si>
  <si>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</si>
  <si>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</si>
  <si>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</si>
  <si>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</si>
  <si>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</si>
  <si>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</si>
  <si>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</si>
  <si>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</si>
  <si>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</si>
  <si>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</si>
  <si>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</si>
  <si>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</si>
  <si>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</si>
  <si>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</si>
  <si>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</si>
  <si>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</si>
  <si>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</si>
  <si>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</si>
  <si>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</si>
  <si>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</si>
  <si>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</si>
  <si>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</si>
  <si>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</si>
  <si>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</si>
  <si>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</si>
  <si>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</si>
  <si>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</si>
  <si>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</si>
  <si>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</si>
  <si>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</si>
  <si>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</si>
  <si>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</si>
  <si>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</si>
  <si>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</si>
  <si>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</si>
  <si>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</si>
  <si>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</si>
  <si>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</si>
  <si>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</si>
  <si>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</si>
  <si>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</si>
  <si>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</si>
  <si>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</si>
  <si>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</si>
  <si>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</si>
  <si>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</si>
  <si>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</si>
  <si>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</si>
  <si>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</si>
  <si>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</si>
  <si>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</si>
  <si>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</si>
  <si>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</si>
  <si>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</si>
  <si>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</si>
  <si>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</si>
  <si>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</si>
  <si>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</si>
  <si>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</si>
  <si>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</si>
  <si>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</si>
  <si>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</si>
  <si>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</si>
  <si>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</si>
  <si>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</si>
  <si>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</si>
  <si>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</si>
  <si>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</si>
  <si>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</si>
  <si>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</si>
  <si>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</si>
  <si>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</si>
  <si>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</si>
  <si>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</si>
  <si>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</si>
  <si>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</si>
  <si>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</si>
  <si>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</si>
  <si>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</si>
  <si>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</si>
  <si>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</si>
  <si>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</si>
  <si>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</si>
  <si>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</si>
  <si>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</si>
  <si>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</si>
  <si>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</si>
  <si>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</si>
  <si>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</si>
  <si>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</si>
  <si>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</si>
  <si>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</si>
  <si>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</si>
  <si>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</si>
  <si>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</si>
  <si>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</si>
  <si>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</si>
  <si>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</si>
  <si>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</si>
  <si>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</si>
  <si>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</si>
  <si>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</si>
  <si>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</si>
  <si>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</si>
  <si>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</si>
  <si>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</si>
  <si>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</si>
  <si>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</si>
  <si>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</si>
  <si>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</si>
  <si>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</si>
  <si>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</si>
  <si>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</si>
  <si>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</si>
  <si>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</si>
  <si>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</si>
  <si>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</si>
  <si>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</si>
  <si>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</si>
  <si>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</si>
  <si>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</si>
  <si>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</si>
  <si>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</si>
  <si>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</si>
  <si>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</si>
  <si>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</si>
  <si>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</si>
  <si>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</si>
  <si>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</si>
  <si>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</si>
  <si>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</si>
  <si>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</si>
  <si>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</si>
  <si>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</si>
  <si>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</si>
  <si>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</si>
  <si>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</si>
  <si>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</si>
  <si>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</si>
  <si>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</si>
  <si>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</si>
  <si>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</si>
  <si>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</si>
  <si>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</si>
  <si>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</si>
  <si>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</si>
  <si>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</si>
  <si>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</si>
  <si>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</si>
  <si>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</si>
  <si>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</si>
  <si>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</si>
  <si>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</si>
  <si>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 xml:space="preserve"> +/- 5um</t>
  </si>
  <si>
    <t>(400+340)</t>
  </si>
  <si>
    <t>LIMAX</t>
  </si>
  <si>
    <t>ST VINCENT NORTHSIDE</t>
  </si>
  <si>
    <t>STOCK - 8 CTN REMAINING 28/10/20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</si>
</sst>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PB740G75030</v>
      </c>
      <c r="C1" s="122"/>
      <c r="D1" s="123"/>
      <c r="E1" s="12" t="s">
        <v>57</v>
      </c>
      <c r="F1" s="133" t="s">
        <v>198</v>
      </c>
      <c r="G1" s="133"/>
      <c r="H1" s="134"/>
      <c r="I1" s="13" t="s">
        <v>181</v>
      </c>
      <c r="J1" s="95">
        <f ca="1">TODAY()</f>
        <v>44132</v>
      </c>
      <c r="K1" s="95"/>
      <c r="L1" s="96"/>
      <c r="M1" s="34"/>
      <c r="N1" s="12" t="s">
        <v>56</v>
      </c>
      <c r="O1" s="122" t="str">
        <f>B1</f>
        <v>PB740G75030</v>
      </c>
      <c r="P1" s="122"/>
      <c r="Q1" s="123"/>
      <c r="R1" s="12" t="s">
        <v>57</v>
      </c>
      <c r="S1" s="122" t="str">
        <f>F1</f>
        <v>ST VINCENT NORTHSIDE</v>
      </c>
      <c r="T1" s="122"/>
      <c r="U1" s="123"/>
      <c r="V1" s="12" t="s">
        <v>181</v>
      </c>
      <c r="W1" s="95">
        <f ca="1">J1</f>
        <v>44132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55445</v>
      </c>
      <c r="G2" s="98"/>
      <c r="H2" s="99"/>
      <c r="I2" s="12" t="s">
        <v>59</v>
      </c>
      <c r="J2" s="97" t="s">
        <v>192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55445</v>
      </c>
      <c r="T2" s="122"/>
      <c r="U2" s="123"/>
      <c r="V2" s="12" t="s">
        <v>59</v>
      </c>
      <c r="W2" s="135" t="str">
        <f>J2</f>
        <v>ASAP</v>
      </c>
      <c r="X2" s="122"/>
      <c r="Y2" s="123"/>
    </row>
    <row r="3" spans="1:28" ht="20.100000000000001" customHeight="1" x14ac:dyDescent="0.25">
      <c r="A3" s="124" t="s">
        <v>199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STOCK - 8 CTN REMAINING 28/10/20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50</v>
      </c>
      <c r="P7" s="99"/>
      <c r="Q7" s="12" t="str">
        <f>IF(ISNUMBER(SEARCH("roll",O8,1)),"Per Roll","Per Carton")</f>
        <v>Per Carton</v>
      </c>
      <c r="R7" s="98">
        <v>500</v>
      </c>
      <c r="S7" s="99"/>
      <c r="T7" s="12" t="str">
        <f>IF(ISNUMBER(SEARCH("bag",O8,1)),"Total Bags","Total Sheets")</f>
        <v>Total Bags</v>
      </c>
      <c r="U7" s="122">
        <f>R7*O7</f>
        <v>25000</v>
      </c>
      <c r="V7" s="123"/>
      <c r="W7" s="12" t="s">
        <v>102</v>
      </c>
      <c r="X7" s="98" t="s">
        <v>31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740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(400+340)</v>
      </c>
      <c r="F8" s="101"/>
      <c r="G8" s="15" t="s">
        <v>52</v>
      </c>
      <c r="H8" s="100">
        <f>(IF(V9&lt;30,"30",V9))</f>
        <v>30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Gusset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G</v>
      </c>
      <c r="Y8" s="137"/>
    </row>
    <row r="9" spans="1:28" ht="20.100000000000001" customHeight="1" x14ac:dyDescent="0.3">
      <c r="A9" s="18" t="s">
        <v>48</v>
      </c>
      <c r="B9" s="110" t="s">
        <v>194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195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740</v>
      </c>
      <c r="S9" s="20" t="s">
        <v>78</v>
      </c>
      <c r="T9" s="35">
        <v>750</v>
      </c>
      <c r="U9" s="20" t="s">
        <v>78</v>
      </c>
      <c r="V9" s="35">
        <v>30</v>
      </c>
      <c r="W9" s="19"/>
      <c r="X9" s="151" t="s">
        <v>196</v>
      </c>
      <c r="Y9" s="152"/>
    </row>
    <row r="10" spans="1:28" ht="20.100000000000001" customHeight="1" x14ac:dyDescent="0.25">
      <c r="A10" s="12" t="s">
        <v>51</v>
      </c>
      <c r="B10" s="98">
        <v>22</v>
      </c>
      <c r="C10" s="99"/>
      <c r="D10" s="54" t="s">
        <v>134</v>
      </c>
      <c r="E10" s="112">
        <f>IF(ISNUMBER(SEARCH("sheet",O8,1)),((R9*T9*H8/540000)*U7/2000*1.3),((R9*T9*H8/540000)*U7/1000*1.08))</f>
        <v>832.5</v>
      </c>
      <c r="F10" s="113"/>
      <c r="G10" s="12" t="s">
        <v>53</v>
      </c>
      <c r="H10" s="116">
        <f>IF(ISNUMBER(SEARCH("sheet",O8,1)),(U7*T9/2000*1.08),(U7*T9/1000*1.08))</f>
        <v>20250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/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37.840909090909093</v>
      </c>
      <c r="F11" s="115"/>
      <c r="G11" s="12" t="s">
        <v>15</v>
      </c>
      <c r="H11" s="114">
        <f>H10/B10</f>
        <v>920.4545454545455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50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180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23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197</v>
      </c>
      <c r="P25" s="39"/>
      <c r="Q25" s="10">
        <v>26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44163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44153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3A762C4-2336-4199-B203-676044BF43D6}"/>
</file>

<file path=customXml/itemProps2.xml><?xml version="1.0" encoding="utf-8"?>
<ds:datastoreItem xmlns:ds="http://schemas.openxmlformats.org/officeDocument/2006/customXml" ds:itemID="{E66131A4-2ACE-4E24-A54E-48E4A7FFAE33}"/>
</file>

<file path=customXml/itemProps3.xml><?xml version="1.0" encoding="utf-8"?>
<ds:datastoreItem xmlns:ds="http://schemas.openxmlformats.org/officeDocument/2006/customXml" ds:itemID="{EF383049-04A4-4440-93C2-0A8F730E95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2020-10-28T05:54:57Z</cp:lastPrinted>
  <dcterms:created xsi:type="dcterms:W3CDTF">2019-11-27T23:28:06Z</dcterms:created>
  <dcterms:modified xsi:type="dcterms:W3CDTF">2020-10-28T05:55:08Z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