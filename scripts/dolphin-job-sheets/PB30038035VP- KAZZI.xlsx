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63533AD-4E47-4DB5-837B-9DDDA63876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<sst xmlns="http://schemas.openxmlformats.org/spreadsheetml/2006/main" count="305" uniqueCount="200">
  <si>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</si>
  <si>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</si>
  <si>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</si>
  <si>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</si>
  <si>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</si>
  <si>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</si>
  <si>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</si>
  <si>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</si>
  <si>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</si>
  <si>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</si>
  <si>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</si>
  <si>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</si>
  <si>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</si>
  <si>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</si>
  <si>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</si>
  <si>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</si>
  <si>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</si>
  <si>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</si>
  <si>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</si>
  <si>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</si>
  <si>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</si>
  <si>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</si>
  <si>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</si>
  <si>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</si>
  <si>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</si>
  <si>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</si>
  <si>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</si>
  <si>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</si>
  <si>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</si>
  <si>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</si>
  <si>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</si>
  <si>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</si>
  <si>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</si>
  <si>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</si>
  <si>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</si>
  <si>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</si>
  <si>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</si>
  <si>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</si>
  <si>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</si>
  <si>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</si>
  <si>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</si>
  <si>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</si>
  <si>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</si>
  <si>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</si>
  <si>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</si>
  <si>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</si>
  <si>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</si>
  <si>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</si>
  <si>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</si>
  <si>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</si>
  <si>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</si>
  <si>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</si>
  <si>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</si>
  <si>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</si>
  <si>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</si>
  <si>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</si>
  <si>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</si>
  <si>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</si>
  <si>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</si>
  <si>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</si>
  <si>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</si>
  <si>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</si>
  <si>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</si>
  <si>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</si>
  <si>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</si>
  <si>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</si>
  <si>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</si>
  <si>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</si>
  <si>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</si>
  <si>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</si>
  <si>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</si>
  <si>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</si>
  <si>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</si>
  <si>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</si>
  <si>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</si>
  <si>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</si>
  <si>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</si>
  <si>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</si>
  <si>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</si>
  <si>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</si>
  <si>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</si>
  <si>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</si>
  <si>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</si>
  <si>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</si>
  <si>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</si>
  <si>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</si>
  <si>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</si>
  <si>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</si>
  <si>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</si>
  <si>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</si>
  <si>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</si>
  <si>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</si>
  <si>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</si>
  <si>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</si>
  <si>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</si>
  <si>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</si>
  <si>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</si>
  <si>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</si>
  <si>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</si>
  <si>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</si>
  <si>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</si>
  <si>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</si>
  <si>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</si>
  <si>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</si>
  <si>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</si>
  <si>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</si>
  <si>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</si>
  <si>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</si>
  <si>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</si>
  <si>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</si>
  <si>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</si>
  <si>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</si>
  <si>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</si>
  <si>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</si>
  <si>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</si>
  <si>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</si>
  <si>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</si>
  <si>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</si>
  <si>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</si>
  <si>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</si>
  <si>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</si>
  <si>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</si>
  <si>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</si>
  <si>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</si>
  <si>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</si>
  <si>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</si>
  <si>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</si>
  <si>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</si>
  <si>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</si>
  <si>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</si>
  <si>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</si>
  <si>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</si>
  <si>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</si>
  <si>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</si>
  <si>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</si>
  <si>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</si>
  <si>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</si>
  <si>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</si>
  <si>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</si>
  <si>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</si>
  <si>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</si>
  <si>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</si>
  <si>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</si>
  <si>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</si>
  <si>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</si>
  <si>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</si>
  <si>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</si>
  <si>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</si>
  <si>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</si>
  <si>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</si>
  <si>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</si>
  <si>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</si>
  <si>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</si>
  <si>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</si>
  <si>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</si>
  <si>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</si>
  <si>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</si>
  <si>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</si>
  <si>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</si>
  <si>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</si>
  <si>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</si>
  <si>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</si>
  <si>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</si>
  <si>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</si>
  <si>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</si>
  <si>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</si>
  <si>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</si>
  <si>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</si>
  <si>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</si>
  <si>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</si>
  <si>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</si>
  <si>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</si>
  <si>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</si>
  <si>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</si>
  <si>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</si>
  <si>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</si>
  <si>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</si>
  <si>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</si>
  <si>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</si>
  <si>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</si>
  <si>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</si>
  <si>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</si>
  <si>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</si>
  <si>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</si>
  <si>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</si>
  <si>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</si>
  <si>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</si>
  <si>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</si>
  <si>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</si>
  <si>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</si>
  <si>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</si>
  <si>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</si>
  <si>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</si>
  <si>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</si>
  <si>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</si>
  <si>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</si>
  <si>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KAZZI KOVERS</t>
  </si>
  <si>
    <t>"KAZZI KOVERS"</t>
  </si>
  <si>
    <t>PERF</t>
  </si>
  <si>
    <t>MUST HAVE 6MM VENT HOLE ABOVE LOGO LOGO TO START 40MM FROM SEAL    VENT IN CENTRE - SECOND VENT HOLE TO BE 100MM FROM TOP OF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</si>
</sst>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2" applyFont="1" applyFill="1" applyBorder="1" applyAlignment="1" applyProtection="1">
      <alignment horizontal="left" vertical="top" wrapText="1"/>
      <protection locked="0"/>
    </xf>
    <xf numFmtId="0" fontId="17" fillId="0" borderId="3" xfId="2" applyFont="1" applyFill="1" applyBorder="1" applyAlignment="1" applyProtection="1">
      <alignment horizontal="left" vertical="top" wrapText="1"/>
      <protection locked="0"/>
    </xf>
    <xf numFmtId="0" fontId="17" fillId="0" borderId="8" xfId="2" applyFont="1" applyFill="1" applyBorder="1" applyAlignment="1" applyProtection="1">
      <alignment horizontal="left" vertical="top" wrapText="1"/>
      <protection locked="0"/>
    </xf>
    <xf numFmtId="0" fontId="17" fillId="0" borderId="9" xfId="2" applyFont="1" applyFill="1" applyBorder="1" applyAlignment="1" applyProtection="1">
      <alignment horizontal="left" vertical="top" wrapText="1"/>
      <protection locked="0"/>
    </xf>
    <xf numFmtId="0" fontId="17" fillId="0" borderId="0" xfId="2" applyFont="1" applyFill="1" applyBorder="1" applyAlignment="1" applyProtection="1">
      <alignment horizontal="left" vertical="top" wrapText="1"/>
      <protection locked="0"/>
    </xf>
    <xf numFmtId="0" fontId="17" fillId="0" borderId="10" xfId="2" applyFont="1" applyFill="1" applyBorder="1" applyAlignment="1" applyProtection="1">
      <alignment horizontal="left" vertical="top" wrapText="1"/>
      <protection locked="0"/>
    </xf>
    <xf numFmtId="0" fontId="17" fillId="0" borderId="11" xfId="2" applyFont="1" applyFill="1" applyBorder="1" applyAlignment="1" applyProtection="1">
      <alignment horizontal="left" vertical="top" wrapText="1"/>
      <protection locked="0"/>
    </xf>
    <xf numFmtId="0" fontId="17" fillId="0" borderId="1" xfId="2" applyFont="1" applyFill="1" applyBorder="1" applyAlignment="1" applyProtection="1">
      <alignment horizontal="left" vertical="top" wrapText="1"/>
      <protection locked="0"/>
    </xf>
    <xf numFmtId="0" fontId="17" fillId="0" borderId="12" xfId="2" applyFont="1" applyFill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PB30038035VP</v>
      </c>
      <c r="C1" s="108"/>
      <c r="D1" s="109"/>
      <c r="E1" s="11" t="s">
        <v>57</v>
      </c>
      <c r="F1" s="119" t="s">
        <v>196</v>
      </c>
      <c r="G1" s="62"/>
      <c r="H1" s="63"/>
      <c r="I1" s="12" t="s">
        <v>181</v>
      </c>
      <c r="J1" s="120">
        <f ca="1">TODAY()</f>
        <v>44981</v>
      </c>
      <c r="K1" s="120"/>
      <c r="L1" s="121"/>
      <c r="M1" s="29"/>
      <c r="N1" s="11" t="s">
        <v>56</v>
      </c>
      <c r="O1" s="108" t="str">
        <f>B1</f>
        <v>PB30038035VP</v>
      </c>
      <c r="P1" s="108"/>
      <c r="Q1" s="109"/>
      <c r="R1" s="11" t="s">
        <v>57</v>
      </c>
      <c r="S1" s="108" t="str">
        <f>F1</f>
        <v>KAZZI KOVERS</v>
      </c>
      <c r="T1" s="108"/>
      <c r="U1" s="109"/>
      <c r="V1" s="11" t="s">
        <v>181</v>
      </c>
      <c r="W1" s="120">
        <f ca="1">J1</f>
        <v>44981</v>
      </c>
      <c r="X1" s="120"/>
      <c r="Y1" s="121"/>
    </row>
    <row r="2" spans="1:25" ht="20.100000000000001" customHeight="1" x14ac:dyDescent="0.25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944981</v>
      </c>
      <c r="G2" s="62"/>
      <c r="H2" s="63"/>
      <c r="I2" s="11" t="s">
        <v>59</v>
      </c>
      <c r="J2" s="123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944981</v>
      </c>
      <c r="T2" s="108"/>
      <c r="U2" s="109"/>
      <c r="V2" s="11" t="s">
        <v>59</v>
      </c>
      <c r="W2" s="122" t="str">
        <f>J2</f>
        <v>ASAP</v>
      </c>
      <c r="X2" s="108"/>
      <c r="Y2" s="109"/>
    </row>
    <row r="3" spans="1:25" ht="20.100000000000001" customHeight="1" x14ac:dyDescent="0.25">
      <c r="A3" s="110" t="s">
        <v>199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HAVE 6MM VENT HOLE ABOVE LOGO LOGO TO START 40MM FROM SEAL    VENT IN CENTRE - SECOND VENT HOLE TO BE 100MM FROM TOP OF BAG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32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08">
        <f>R7*O7</f>
        <v>16000</v>
      </c>
      <c r="V7" s="109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300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35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194</v>
      </c>
      <c r="I9" s="127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300</v>
      </c>
      <c r="S9" s="18" t="s">
        <v>78</v>
      </c>
      <c r="T9" s="30">
        <v>380</v>
      </c>
      <c r="U9" s="18" t="s">
        <v>78</v>
      </c>
      <c r="V9" s="30">
        <v>35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6</v>
      </c>
      <c r="C10" s="63"/>
      <c r="D10" s="47" t="s">
        <v>134</v>
      </c>
      <c r="E10" s="128">
        <f>IF(ISNUMBER(SEARCH("sheet",O8,1)),((R9*T9*H8/540000)*U7/2000*1.3),((R9*T9*H8/540000)*U7/1000*1.08))</f>
        <v>127.68000000000002</v>
      </c>
      <c r="F10" s="129"/>
      <c r="G10" s="11" t="s">
        <v>53</v>
      </c>
      <c r="H10" s="132">
        <f>IF(ISNUMBER(SEARCH("sheet",O8,1)),(U7*T9/2000*1.08),(U7*T9/1000*1.08))</f>
        <v>6566.4000000000005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187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0">
        <f>E10/B10</f>
        <v>21.280000000000005</v>
      </c>
      <c r="F11" s="131"/>
      <c r="G11" s="11" t="s">
        <v>15</v>
      </c>
      <c r="H11" s="130">
        <f>H10/B10</f>
        <v>1094.4000000000001</v>
      </c>
      <c r="I11" s="131"/>
      <c r="J11" s="11" t="s">
        <v>50</v>
      </c>
      <c r="K11" s="62" t="s">
        <v>64</v>
      </c>
      <c r="L11" s="63"/>
      <c r="M11" s="29"/>
      <c r="N11" s="13"/>
      <c r="O11" s="96" t="str">
        <f>IF(O10="NONE","","V")</f>
        <v>V</v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69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177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32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 t="s">
        <v>197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8"/>
      <c r="B23" s="14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198</v>
      </c>
      <c r="P25" s="34"/>
      <c r="Q25" s="10">
        <v>28</v>
      </c>
      <c r="R25" s="10">
        <v>6.5</v>
      </c>
      <c r="S25" s="10">
        <v>1</v>
      </c>
      <c r="T25" s="10">
        <v>8</v>
      </c>
      <c r="U25" s="10">
        <v>1</v>
      </c>
      <c r="V25" s="10">
        <v>3</v>
      </c>
      <c r="W25" s="10">
        <v>135</v>
      </c>
      <c r="X25" s="10">
        <v>135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45009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45002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DBFB6FD-44BA-4D90-818D-B08B48C82452}"/>
</file>

<file path=customXml/itemProps2.xml><?xml version="1.0" encoding="utf-8"?>
<ds:datastoreItem xmlns:ds="http://schemas.openxmlformats.org/officeDocument/2006/customXml" ds:itemID="{BA79232F-FF1E-460B-80B5-7C5AABD2EF99}"/>
</file>

<file path=customXml/itemProps3.xml><?xml version="1.0" encoding="utf-8"?>
<ds:datastoreItem xmlns:ds="http://schemas.openxmlformats.org/officeDocument/2006/customXml" ds:itemID="{21AAE636-61B5-4331-87CB-469A94FB3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2023-01-23T23:57:25Z</cp:lastPrinted>
  <dcterms:created xsi:type="dcterms:W3CDTF">2019-11-27T23:28:06Z</dcterms:created>
  <dcterms:modified xsi:type="dcterms:W3CDTF">2023-02-24T01:19:08Z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