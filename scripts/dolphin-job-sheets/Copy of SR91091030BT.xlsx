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AB65ACB8-17D5-46A5-A86E-C5548B2831A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E10" i="1" l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<sst xmlns="http://schemas.openxmlformats.org/spreadsheetml/2006/main" count="312" uniqueCount="203">
  <si>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</si>
  <si>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</si>
  <si>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</si>
  <si>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</si>
  <si>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</si>
  <si>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</si>
  <si>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</si>
  <si>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</si>
  <si>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</si>
  <si>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</si>
  <si>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</si>
  <si>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</si>
  <si>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</si>
  <si>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</si>
  <si>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</si>
  <si>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</si>
  <si>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</si>
  <si>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</si>
  <si>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</si>
  <si>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</si>
  <si>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</si>
  <si>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</si>
  <si>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</si>
  <si>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</si>
  <si>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</si>
  <si>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</si>
  <si>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</si>
  <si>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</si>
  <si>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</si>
  <si>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</si>
  <si>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</si>
  <si>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</si>
  <si>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</si>
  <si>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</si>
  <si>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</si>
  <si>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</si>
  <si>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</si>
  <si>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</si>
  <si>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</si>
  <si>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</si>
  <si>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</si>
  <si>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</si>
  <si>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</si>
  <si>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</si>
  <si>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</si>
  <si>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</si>
  <si>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</si>
  <si>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</si>
  <si>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</si>
  <si>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</si>
  <si>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</si>
  <si>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</si>
  <si>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</si>
  <si>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</si>
  <si>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</si>
  <si>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</si>
  <si>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</si>
  <si>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</si>
  <si>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</si>
  <si>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</si>
  <si>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</si>
  <si>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</si>
  <si>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</si>
  <si>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</si>
  <si>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</si>
  <si>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</si>
  <si>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</si>
  <si>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</si>
  <si>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</si>
  <si>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</si>
  <si>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</si>
  <si>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</si>
  <si>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</si>
  <si>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</si>
  <si>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</si>
  <si>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</si>
  <si>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</si>
  <si>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</si>
  <si>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</si>
  <si>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</si>
  <si>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</si>
  <si>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</si>
  <si>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</si>
  <si>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</si>
  <si>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</si>
  <si>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</si>
  <si>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</si>
  <si>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</si>
  <si>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</si>
  <si>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</si>
  <si>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</si>
  <si>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</si>
  <si>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</si>
  <si>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</si>
  <si>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</si>
  <si>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</si>
  <si>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</si>
  <si>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</si>
  <si>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</si>
  <si>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</si>
  <si>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</si>
  <si>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</si>
  <si>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</si>
  <si>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</si>
  <si>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</si>
  <si>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</si>
  <si>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</si>
  <si>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</si>
  <si>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</si>
  <si>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</si>
  <si>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</si>
  <si>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</si>
  <si>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</si>
  <si>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</si>
  <si>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</si>
  <si>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</si>
  <si>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</si>
  <si>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</si>
  <si>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</si>
  <si>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</si>
  <si>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</si>
  <si>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</si>
  <si>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</si>
  <si>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</si>
  <si>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</si>
  <si>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</si>
  <si>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</si>
  <si>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</si>
  <si>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</si>
  <si>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</si>
  <si>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</si>
  <si>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</si>
  <si>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</si>
  <si>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</si>
  <si>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</si>
  <si>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</si>
  <si>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</si>
  <si>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</si>
  <si>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</si>
  <si>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</si>
  <si>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</si>
  <si>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</si>
  <si>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</si>
  <si>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</si>
  <si>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</si>
  <si>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</si>
  <si>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</si>
  <si>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</si>
  <si>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</si>
  <si>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</si>
  <si>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</si>
  <si>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</si>
  <si>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</si>
  <si>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</si>
  <si>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</si>
  <si>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</si>
  <si>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</si>
  <si>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</si>
  <si>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</si>
  <si>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</si>
  <si>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</si>
  <si>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</si>
  <si>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</si>
  <si>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</si>
  <si>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</si>
  <si>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</si>
  <si>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</si>
  <si>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</si>
  <si>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</si>
  <si>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</si>
  <si>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</si>
  <si>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</si>
  <si>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</si>
  <si>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</si>
  <si>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</si>
  <si>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</si>
  <si>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</si>
  <si>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</si>
  <si>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</si>
  <si>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</si>
  <si>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</si>
  <si>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</si>
  <si>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</si>
  <si>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</si>
  <si>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</si>
  <si>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</si>
  <si>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</si>
  <si>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</si>
  <si>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</si>
  <si>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</si>
  <si>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</si>
  <si>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</si>
  <si>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</si>
  <si>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</si>
  <si>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</si>
  <si>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PERF </t>
  </si>
  <si>
    <t>VADALS</t>
  </si>
  <si>
    <t>RUN 25UM - 30UM NOT OVER</t>
  </si>
  <si>
    <t>ANTISTATIC</t>
  </si>
  <si>
    <t>ANTIBLOCK</t>
  </si>
  <si>
    <t>NOT UNDER</t>
  </si>
  <si>
    <t>%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</si>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</sst>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B20" sqref="AB20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89" t="str">
        <f>O9&amp;R9&amp;IF(X8="G","G","")&amp;IF(O8="Centrefold Roll","("&amp;E8&amp;")","")&amp;T9&amp;V9&amp;C22&amp;C23&amp;C24&amp;O11&amp;R11</f>
        <v>SR91091025BTAS0</v>
      </c>
      <c r="C1" s="89"/>
      <c r="D1" s="90"/>
      <c r="E1" s="25" t="s">
        <v>56</v>
      </c>
      <c r="F1" s="85" t="s">
        <v>196</v>
      </c>
      <c r="G1" s="85"/>
      <c r="H1" s="86"/>
      <c r="I1" s="25" t="s">
        <v>181</v>
      </c>
      <c r="J1" s="102">
        <f ca="1">TODAY()</f>
        <v>45721</v>
      </c>
      <c r="K1" s="102"/>
      <c r="L1" s="103"/>
      <c r="M1" s="9"/>
      <c r="N1" s="25" t="s">
        <v>55</v>
      </c>
      <c r="O1" s="89" t="str">
        <f>B1</f>
        <v>SR91091025BTAS0</v>
      </c>
      <c r="P1" s="89"/>
      <c r="Q1" s="90"/>
      <c r="R1" s="25" t="s">
        <v>56</v>
      </c>
      <c r="S1" s="89" t="str">
        <f>F1</f>
        <v>VADALS</v>
      </c>
      <c r="T1" s="89"/>
      <c r="U1" s="90"/>
      <c r="V1" s="25" t="s">
        <v>181</v>
      </c>
      <c r="W1" s="102">
        <f ca="1">J1</f>
        <v>45721</v>
      </c>
      <c r="X1" s="102"/>
      <c r="Y1" s="103"/>
    </row>
    <row r="2" spans="1:25" ht="20.149999999999999" customHeight="1" x14ac:dyDescent="0.8">
      <c r="A2" s="25" t="s">
        <v>99</v>
      </c>
      <c r="B2" s="89" t="str">
        <f>IF(U10="","",U10)</f>
        <v/>
      </c>
      <c r="C2" s="89"/>
      <c r="D2" s="90"/>
      <c r="E2" s="25" t="s">
        <v>57</v>
      </c>
      <c r="F2" s="87">
        <v>949460</v>
      </c>
      <c r="G2" s="87"/>
      <c r="H2" s="88"/>
      <c r="I2" s="25" t="s">
        <v>58</v>
      </c>
      <c r="J2" s="107" t="s">
        <v>193</v>
      </c>
      <c r="K2" s="87"/>
      <c r="L2" s="88"/>
      <c r="M2" s="9"/>
      <c r="N2" s="25" t="s">
        <v>99</v>
      </c>
      <c r="O2" s="89" t="str">
        <f>IF(B2="","",B2)</f>
        <v/>
      </c>
      <c r="P2" s="89"/>
      <c r="Q2" s="90"/>
      <c r="R2" s="25" t="s">
        <v>57</v>
      </c>
      <c r="S2" s="89">
        <f>IF(F2="","",F2)</f>
        <v>949460</v>
      </c>
      <c r="T2" s="89"/>
      <c r="U2" s="90"/>
      <c r="V2" s="25" t="s">
        <v>58</v>
      </c>
      <c r="W2" s="104" t="str">
        <f>J2</f>
        <v>ASAP</v>
      </c>
      <c r="X2" s="89"/>
      <c r="Y2" s="90"/>
    </row>
    <row r="3" spans="1:25" ht="20.149999999999999" customHeight="1" x14ac:dyDescent="0.75">
      <c r="A3" s="93" t="s">
        <v>197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5"/>
      <c r="M3" s="9"/>
      <c r="N3" s="93" t="str">
        <f>A3</f>
        <v>RUN 25UM - 30UM NOT OVER</v>
      </c>
      <c r="O3" s="94"/>
      <c r="P3" s="94"/>
      <c r="Q3" s="94"/>
      <c r="R3" s="94"/>
      <c r="S3" s="94"/>
      <c r="T3" s="94"/>
      <c r="U3" s="94"/>
      <c r="V3" s="94"/>
      <c r="W3" s="94"/>
      <c r="X3" s="94"/>
      <c r="Y3" s="95"/>
    </row>
    <row r="4" spans="1:25" ht="20.149999999999999" customHeight="1" x14ac:dyDescent="0.75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  <c r="M4" s="9"/>
      <c r="N4" s="96"/>
      <c r="O4" s="97"/>
      <c r="P4" s="97"/>
      <c r="Q4" s="97"/>
      <c r="R4" s="97"/>
      <c r="S4" s="97"/>
      <c r="T4" s="97"/>
      <c r="U4" s="97"/>
      <c r="V4" s="97"/>
      <c r="W4" s="97"/>
      <c r="X4" s="97"/>
      <c r="Y4" s="98"/>
    </row>
    <row r="5" spans="1:25" ht="20.149999999999999" customHeight="1" x14ac:dyDescent="0.75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1"/>
      <c r="M5" s="9"/>
      <c r="N5" s="99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1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9"/>
      <c r="N6" s="59" t="s">
        <v>1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1"/>
    </row>
    <row r="7" spans="1:25" ht="20.149999999999999" customHeight="1" x14ac:dyDescent="0.9">
      <c r="A7" s="25" t="s">
        <v>48</v>
      </c>
      <c r="B7" s="91" t="s">
        <v>158</v>
      </c>
      <c r="C7" s="91"/>
      <c r="D7" s="91"/>
      <c r="E7" s="91"/>
      <c r="F7" s="91"/>
      <c r="G7" s="91"/>
      <c r="H7" s="91"/>
      <c r="I7" s="92"/>
      <c r="J7" s="77" t="s">
        <v>178</v>
      </c>
      <c r="K7" s="77"/>
      <c r="L7" s="75"/>
      <c r="M7" s="9"/>
      <c r="N7" s="25" t="str">
        <f>IF(ISNUMBER(SEARCH("roll",O8,1)),"No. Rolls","No. Cartons")</f>
        <v>No. Rolls</v>
      </c>
      <c r="O7" s="87">
        <v>22</v>
      </c>
      <c r="P7" s="88"/>
      <c r="Q7" s="25" t="str">
        <f>IF(ISNUMBER(SEARCH("roll",O8,1)),"Per Roll","Per Carton")</f>
        <v>Per Roll</v>
      </c>
      <c r="R7" s="87">
        <v>1000</v>
      </c>
      <c r="S7" s="88"/>
      <c r="T7" s="25" t="str">
        <f>IF(ISNUMBER(SEARCH("bag",O8,1)),"Total Bags","Total Sheets")</f>
        <v>Total Sheets</v>
      </c>
      <c r="U7" s="89">
        <f>R7*O7</f>
        <v>22000</v>
      </c>
      <c r="V7" s="90"/>
      <c r="W7" s="25" t="s">
        <v>101</v>
      </c>
      <c r="X7" s="87" t="s">
        <v>22</v>
      </c>
      <c r="Y7" s="88"/>
    </row>
    <row r="8" spans="1:25" ht="20.149999999999999" customHeight="1" x14ac:dyDescent="0.8">
      <c r="A8" s="28" t="s">
        <v>15</v>
      </c>
      <c r="B8" s="105">
        <f>R9</f>
        <v>910</v>
      </c>
      <c r="C8" s="106"/>
      <c r="D8" s="29" t="str">
        <f>IF(ISNUMBER(SEARCH("bag",#REF!,1)),"Gusset","Centrefold")</f>
        <v>Centrefold</v>
      </c>
      <c r="E8" s="105" t="str">
        <f>IF(O8="Centrefold Roll",B8*2,IF(X9="","None",X9))</f>
        <v>None</v>
      </c>
      <c r="F8" s="106"/>
      <c r="G8" s="28" t="s">
        <v>51</v>
      </c>
      <c r="H8" s="105">
        <v>25</v>
      </c>
      <c r="I8" s="106"/>
      <c r="J8" s="25" t="s">
        <v>53</v>
      </c>
      <c r="K8" s="89" t="str">
        <f>IF(X8="None","Layflat Tube",IF(X8="","Layflat Tube",IF(X8="CF","Layflat Tube",IF(X8="G","Gusset Tube",IF(X9="","Layflat Tube",)))))</f>
        <v>Layflat Tube</v>
      </c>
      <c r="L8" s="90"/>
      <c r="M8" s="9"/>
      <c r="N8" s="26" t="s">
        <v>53</v>
      </c>
      <c r="O8" s="133" t="s">
        <v>166</v>
      </c>
      <c r="P8" s="134"/>
      <c r="Q8" s="26" t="s">
        <v>190</v>
      </c>
      <c r="R8" s="30" t="s">
        <v>15</v>
      </c>
      <c r="S8" s="30"/>
      <c r="T8" s="30" t="s">
        <v>78</v>
      </c>
      <c r="U8" s="30"/>
      <c r="V8" s="30" t="s">
        <v>79</v>
      </c>
      <c r="W8" s="29" t="str">
        <f>IF(ISNUMBER(SEARCH("bag",O8,1)),"Gusset","Centrefold")</f>
        <v>Centrefold</v>
      </c>
      <c r="X8" s="131" t="str">
        <f>IF(AND(W8="Gusset",X9=""), "None",IF(AND(W8="Centrefold",X9=""),"None",IF(W8="Gusset","G",IF(W8="Centrefold","CF"))))</f>
        <v>None</v>
      </c>
      <c r="Y8" s="132"/>
    </row>
    <row r="9" spans="1:25" ht="20.149999999999999" customHeight="1" x14ac:dyDescent="0.9">
      <c r="A9" s="40" t="s">
        <v>47</v>
      </c>
      <c r="B9" s="112" t="s">
        <v>179</v>
      </c>
      <c r="C9" s="113"/>
      <c r="D9" s="125" t="str">
        <f>IF(K10="Middle","RUN 2 UP",IF(AND(O8="Centrefold Roll",B8=380),"RUN 2 UP",""))</f>
        <v/>
      </c>
      <c r="E9" s="91"/>
      <c r="F9" s="92"/>
      <c r="G9" s="40" t="s">
        <v>47</v>
      </c>
      <c r="H9" s="112" t="s">
        <v>200</v>
      </c>
      <c r="I9" s="113"/>
      <c r="J9" s="25" t="s">
        <v>54</v>
      </c>
      <c r="K9" s="87" t="s">
        <v>29</v>
      </c>
      <c r="L9" s="88"/>
      <c r="M9" s="9"/>
      <c r="N9" s="27"/>
      <c r="O9" s="135" t="str">
        <f>IF(O8="Poly Bag","PB",IF(O8="Poly Bag Roll","PBR",IF(O8="Centrefold Roll","CFR",IF(O8="Sheet","S",IF(O8="Sheet Roll","SR")))))</f>
        <v>SR</v>
      </c>
      <c r="P9" s="136"/>
      <c r="Q9" s="27"/>
      <c r="R9" s="10">
        <v>910</v>
      </c>
      <c r="S9" s="31" t="s">
        <v>77</v>
      </c>
      <c r="T9" s="10">
        <v>910</v>
      </c>
      <c r="U9" s="31" t="s">
        <v>77</v>
      </c>
      <c r="V9" s="10">
        <v>25</v>
      </c>
      <c r="W9" s="27"/>
      <c r="X9" s="129"/>
      <c r="Y9" s="130"/>
    </row>
    <row r="10" spans="1:25" ht="20.149999999999999" customHeight="1" x14ac:dyDescent="0.8">
      <c r="A10" s="25" t="s">
        <v>50</v>
      </c>
      <c r="B10" s="87">
        <v>11</v>
      </c>
      <c r="C10" s="88"/>
      <c r="D10" s="46" t="s">
        <v>133</v>
      </c>
      <c r="E10" s="114">
        <f>IF(ISNUMBER(SEARCH("sheet",O8,1)),((R9*T9*H8/540000)*U7/2000*1.3),((R9*T9*H8/540000)*U7/1000*1.08))</f>
        <v>548.23287037037039</v>
      </c>
      <c r="F10" s="115"/>
      <c r="G10" s="25" t="s">
        <v>52</v>
      </c>
      <c r="H10" s="118">
        <f>IF(ISNUMBER(SEARCH("sheet",O8,1)),(U7*T9/2000*1.08),(U7*T9/1000*1.08))</f>
        <v>10810.800000000001</v>
      </c>
      <c r="I10" s="119"/>
      <c r="J10" s="25" t="s">
        <v>40</v>
      </c>
      <c r="K10" s="87" t="s">
        <v>42</v>
      </c>
      <c r="L10" s="88"/>
      <c r="M10" s="9"/>
      <c r="N10" s="26" t="s">
        <v>140</v>
      </c>
      <c r="O10" s="133" t="s">
        <v>43</v>
      </c>
      <c r="P10" s="134"/>
      <c r="Q10" s="26" t="s">
        <v>49</v>
      </c>
      <c r="R10" s="131" t="str">
        <f>IF(K11="NONE","None",IF(K11="INLINE","Yes",IF(K11="OUT OF LINE","Yes")))</f>
        <v>None</v>
      </c>
      <c r="S10" s="131"/>
      <c r="T10" s="26" t="s">
        <v>99</v>
      </c>
      <c r="U10" s="121"/>
      <c r="V10" s="121"/>
      <c r="W10" s="121"/>
      <c r="X10" s="121"/>
      <c r="Y10" s="122"/>
    </row>
    <row r="11" spans="1:25" ht="20.149999999999999" customHeight="1" x14ac:dyDescent="0.8">
      <c r="A11" s="25" t="str">
        <f>IF(O8="Centrefold Roll","CF Rolls",IF(ISNUMBER(SEARCH("sheet",O8,1)),"Sheet Rolls",""))</f>
        <v>Sheet Rolls</v>
      </c>
      <c r="B11" s="89">
        <f>IF(AND(O8="Centrefold Roll",D9="RUN 2 UP"),B10*2,IF(ISNUMBER(SEARCH("sheet",O8,1)),B10*2,""))</f>
        <v>22</v>
      </c>
      <c r="C11" s="90"/>
      <c r="D11" s="25" t="s">
        <v>134</v>
      </c>
      <c r="E11" s="116">
        <f>E10/B10</f>
        <v>49.839351851851852</v>
      </c>
      <c r="F11" s="117"/>
      <c r="G11" s="25" t="s">
        <v>14</v>
      </c>
      <c r="H11" s="116">
        <f>H10/B10</f>
        <v>982.80000000000007</v>
      </c>
      <c r="I11" s="117"/>
      <c r="J11" s="25" t="s">
        <v>49</v>
      </c>
      <c r="K11" s="87" t="s">
        <v>43</v>
      </c>
      <c r="L11" s="88"/>
      <c r="M11" s="9"/>
      <c r="N11" s="28"/>
      <c r="O11" s="105" t="str">
        <f>IF(O10="NONE","","V")</f>
        <v/>
      </c>
      <c r="P11" s="106"/>
      <c r="Q11" s="28"/>
      <c r="R11" s="105" t="str">
        <f>IF(R10="None","","P")</f>
        <v/>
      </c>
      <c r="S11" s="105"/>
      <c r="T11" s="28"/>
      <c r="U11" s="123"/>
      <c r="V11" s="123"/>
      <c r="W11" s="123"/>
      <c r="X11" s="123"/>
      <c r="Y11" s="124"/>
    </row>
    <row r="12" spans="1:25" ht="20.149999999999999" customHeight="1" x14ac:dyDescent="0.75">
      <c r="A12" s="126" t="s">
        <v>12</v>
      </c>
      <c r="B12" s="127"/>
      <c r="C12" s="127"/>
      <c r="D12" s="127"/>
      <c r="E12" s="60"/>
      <c r="F12" s="60"/>
      <c r="G12" s="60"/>
      <c r="H12" s="60"/>
      <c r="I12" s="60"/>
      <c r="J12" s="60"/>
      <c r="K12" s="60"/>
      <c r="L12" s="61"/>
      <c r="M12" s="9"/>
      <c r="N12" s="120" t="s">
        <v>70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</row>
    <row r="13" spans="1:25" ht="20.149999999999999" customHeight="1" x14ac:dyDescent="0.8">
      <c r="A13" s="25" t="s">
        <v>67</v>
      </c>
      <c r="B13" s="87" t="s">
        <v>43</v>
      </c>
      <c r="C13" s="87"/>
      <c r="D13" s="88"/>
      <c r="E13" s="39" t="s">
        <v>60</v>
      </c>
      <c r="F13" s="87" t="s">
        <v>43</v>
      </c>
      <c r="G13" s="87"/>
      <c r="H13" s="88"/>
      <c r="I13" s="25" t="s">
        <v>61</v>
      </c>
      <c r="J13" s="87" t="s">
        <v>43</v>
      </c>
      <c r="K13" s="87"/>
      <c r="L13" s="88"/>
      <c r="M13" s="9"/>
      <c r="N13" s="25" t="s">
        <v>71</v>
      </c>
      <c r="O13" s="11" t="s">
        <v>76</v>
      </c>
      <c r="P13" s="25" t="s">
        <v>72</v>
      </c>
      <c r="Q13" s="23">
        <f>O7</f>
        <v>22</v>
      </c>
      <c r="R13" s="25" t="s">
        <v>73</v>
      </c>
      <c r="S13" s="11" t="s">
        <v>22</v>
      </c>
      <c r="T13" s="25" t="s">
        <v>177</v>
      </c>
      <c r="U13" s="23" t="str">
        <f>IF(S13="NO","",(ROUNDUP(U7/W13/24,0)))</f>
        <v/>
      </c>
      <c r="V13" s="25" t="s">
        <v>74</v>
      </c>
      <c r="W13" s="11"/>
      <c r="X13" s="25" t="s">
        <v>75</v>
      </c>
      <c r="Y13" s="12"/>
    </row>
    <row r="14" spans="1:25" ht="20.149999999999999" customHeight="1" x14ac:dyDescent="0.9">
      <c r="A14" s="2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2"/>
      <c r="M14" s="9"/>
      <c r="N14" s="120" t="s">
        <v>109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59" t="s">
        <v>182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  <c r="M15" s="9"/>
      <c r="N15" s="74" t="s">
        <v>107</v>
      </c>
      <c r="O15" s="77"/>
      <c r="P15" s="75"/>
      <c r="Q15" s="74" t="s">
        <v>106</v>
      </c>
      <c r="R15" s="77"/>
      <c r="S15" s="75"/>
      <c r="T15" s="74" t="s">
        <v>117</v>
      </c>
      <c r="U15" s="77"/>
      <c r="V15" s="75"/>
      <c r="W15" s="74" t="s">
        <v>116</v>
      </c>
      <c r="X15" s="77"/>
      <c r="Y15" s="75"/>
    </row>
    <row r="16" spans="1:25" ht="20.149999999999999" customHeight="1" x14ac:dyDescent="0.8">
      <c r="A16" s="74" t="s">
        <v>2</v>
      </c>
      <c r="B16" s="75"/>
      <c r="C16" s="74" t="s">
        <v>141</v>
      </c>
      <c r="D16" s="75"/>
      <c r="E16" s="74" t="s">
        <v>3</v>
      </c>
      <c r="F16" s="75"/>
      <c r="G16" s="74" t="s">
        <v>4</v>
      </c>
      <c r="H16" s="75"/>
      <c r="I16" s="74" t="s">
        <v>10</v>
      </c>
      <c r="J16" s="75"/>
      <c r="K16" s="77" t="s">
        <v>11</v>
      </c>
      <c r="L16" s="75"/>
      <c r="M16" s="9"/>
      <c r="N16" s="25" t="s">
        <v>27</v>
      </c>
      <c r="O16" s="87"/>
      <c r="P16" s="88"/>
      <c r="Q16" s="25" t="s">
        <v>104</v>
      </c>
      <c r="R16" s="87" t="s">
        <v>22</v>
      </c>
      <c r="S16" s="88"/>
      <c r="T16" s="25" t="s">
        <v>102</v>
      </c>
      <c r="U16" s="87" t="s">
        <v>30</v>
      </c>
      <c r="V16" s="88"/>
      <c r="W16" s="25" t="str">
        <f>IF(ISNUMBER(SEARCH("bag",O8,1)),"Total Bags","Total Sheets")</f>
        <v>Total Sheets</v>
      </c>
      <c r="X16" s="85"/>
      <c r="Y16" s="86"/>
    </row>
    <row r="17" spans="1:25" ht="20.149999999999999" customHeight="1" x14ac:dyDescent="0.8">
      <c r="A17" s="76" t="s">
        <v>5</v>
      </c>
      <c r="B17" s="76"/>
      <c r="C17" s="78" t="s">
        <v>146</v>
      </c>
      <c r="D17" s="79"/>
      <c r="E17" s="83"/>
      <c r="F17" s="84"/>
      <c r="G17" s="13" t="s">
        <v>80</v>
      </c>
      <c r="H17" s="12"/>
      <c r="I17" s="137"/>
      <c r="J17" s="138"/>
      <c r="K17" s="137"/>
      <c r="L17" s="138"/>
      <c r="M17" s="9"/>
      <c r="N17" s="25" t="s">
        <v>25</v>
      </c>
      <c r="O17" s="87"/>
      <c r="P17" s="88"/>
      <c r="Q17" s="25" t="s">
        <v>103</v>
      </c>
      <c r="R17" s="87" t="s">
        <v>22</v>
      </c>
      <c r="S17" s="88"/>
      <c r="T17" s="37" t="str">
        <f>IF(ISNUMBER(SEARCH("roll",O8,1)),"Part Rolls","Part Ctns")</f>
        <v>Part Rolls</v>
      </c>
      <c r="U17" s="87" t="s">
        <v>30</v>
      </c>
      <c r="V17" s="88"/>
      <c r="W17" s="25" t="str">
        <f>IF(ISNUMBER(SEARCH("roll",O8,1)),"Total Rolls","Total Ctns")</f>
        <v>Total Rolls</v>
      </c>
      <c r="X17" s="85"/>
      <c r="Y17" s="86"/>
    </row>
    <row r="18" spans="1:25" ht="20.149999999999999" customHeight="1" x14ac:dyDescent="0.8">
      <c r="A18" s="76" t="s">
        <v>6</v>
      </c>
      <c r="B18" s="76"/>
      <c r="C18" s="78" t="s">
        <v>145</v>
      </c>
      <c r="D18" s="79"/>
      <c r="E18" s="83"/>
      <c r="F18" s="84"/>
      <c r="G18" s="13" t="s">
        <v>81</v>
      </c>
      <c r="H18" s="12"/>
      <c r="I18" s="137"/>
      <c r="J18" s="138"/>
      <c r="K18" s="137"/>
      <c r="L18" s="138"/>
      <c r="M18" s="9"/>
      <c r="N18" s="25" t="s">
        <v>100</v>
      </c>
      <c r="O18" s="87"/>
      <c r="P18" s="88"/>
      <c r="Q18" s="25" t="s">
        <v>105</v>
      </c>
      <c r="R18" s="87" t="s">
        <v>30</v>
      </c>
      <c r="S18" s="88"/>
      <c r="T18" s="1" t="s">
        <v>26</v>
      </c>
      <c r="U18" s="87" t="s">
        <v>35</v>
      </c>
      <c r="V18" s="88"/>
      <c r="W18" s="25" t="s">
        <v>108</v>
      </c>
      <c r="X18" s="85"/>
      <c r="Y18" s="86"/>
    </row>
    <row r="19" spans="1:25" ht="20.149999999999999" customHeight="1" x14ac:dyDescent="0.75">
      <c r="A19" s="76" t="s">
        <v>7</v>
      </c>
      <c r="B19" s="76"/>
      <c r="C19" s="78" t="s">
        <v>144</v>
      </c>
      <c r="D19" s="79"/>
      <c r="E19" s="83"/>
      <c r="F19" s="84"/>
      <c r="G19" s="13" t="s">
        <v>82</v>
      </c>
      <c r="H19" s="12"/>
      <c r="I19" s="137"/>
      <c r="J19" s="138"/>
      <c r="K19" s="137"/>
      <c r="L19" s="138"/>
      <c r="M19" s="9"/>
      <c r="N19" s="62" t="s">
        <v>115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4"/>
    </row>
    <row r="20" spans="1:25" ht="20.149999999999999" customHeight="1" x14ac:dyDescent="0.75">
      <c r="A20" s="76" t="s">
        <v>8</v>
      </c>
      <c r="B20" s="76"/>
      <c r="C20" s="78" t="s">
        <v>143</v>
      </c>
      <c r="D20" s="79"/>
      <c r="E20" s="83"/>
      <c r="F20" s="84"/>
      <c r="G20" s="13" t="s">
        <v>83</v>
      </c>
      <c r="H20" s="12"/>
      <c r="I20" s="137"/>
      <c r="J20" s="138"/>
      <c r="K20" s="137"/>
      <c r="L20" s="138"/>
      <c r="M20" s="9"/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7"/>
    </row>
    <row r="21" spans="1:25" ht="20.149999999999999" customHeight="1" x14ac:dyDescent="0.75">
      <c r="A21" s="76" t="s">
        <v>9</v>
      </c>
      <c r="B21" s="76"/>
      <c r="C21" s="78" t="s">
        <v>142</v>
      </c>
      <c r="D21" s="79"/>
      <c r="E21" s="83"/>
      <c r="F21" s="84"/>
      <c r="G21" s="13" t="s">
        <v>84</v>
      </c>
      <c r="H21" s="12"/>
      <c r="I21" s="137"/>
      <c r="J21" s="138"/>
      <c r="K21" s="137"/>
      <c r="L21" s="138"/>
      <c r="M21" s="9"/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7"/>
    </row>
    <row r="22" spans="1:25" ht="20.149999999999999" customHeight="1" x14ac:dyDescent="0.75">
      <c r="A22" s="76" t="str">
        <f>(IF(B7="NATURAL","",B7))</f>
        <v>BLUE TINT</v>
      </c>
      <c r="B22" s="76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9"/>
      <c r="E22" s="83" t="s">
        <v>201</v>
      </c>
      <c r="F22" s="84"/>
      <c r="G22" s="13" t="s">
        <v>85</v>
      </c>
      <c r="H22" s="12"/>
      <c r="I22" s="137"/>
      <c r="J22" s="138"/>
      <c r="K22" s="137"/>
      <c r="L22" s="138"/>
      <c r="M22" s="9"/>
      <c r="N22" s="68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70"/>
    </row>
    <row r="23" spans="1:25" ht="20.149999999999999" customHeight="1" x14ac:dyDescent="0.75">
      <c r="A23" s="80" t="s">
        <v>198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9"/>
      <c r="E23" s="83" t="s">
        <v>201</v>
      </c>
      <c r="F23" s="84"/>
      <c r="G23" s="13" t="s">
        <v>86</v>
      </c>
      <c r="H23" s="12"/>
      <c r="I23" s="137"/>
      <c r="J23" s="138"/>
      <c r="K23" s="137"/>
      <c r="L23" s="138"/>
      <c r="M23" s="9"/>
      <c r="N23" s="120" t="s">
        <v>132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1" t="s">
        <v>199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83" t="s">
        <v>201</v>
      </c>
      <c r="F24" s="84"/>
      <c r="G24" s="13" t="s">
        <v>87</v>
      </c>
      <c r="H24" s="12"/>
      <c r="I24" s="137"/>
      <c r="J24" s="138"/>
      <c r="K24" s="137"/>
      <c r="L24" s="138"/>
      <c r="M24" s="9"/>
      <c r="N24" s="14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59" t="s">
        <v>0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1"/>
      <c r="M25" s="9"/>
      <c r="N25" s="32" t="s">
        <v>95</v>
      </c>
      <c r="O25" s="8" t="s">
        <v>195</v>
      </c>
      <c r="P25" s="15"/>
      <c r="Q25" s="8">
        <v>45</v>
      </c>
      <c r="R25" s="8">
        <v>9</v>
      </c>
      <c r="S25" s="8"/>
      <c r="T25" s="8">
        <v>8</v>
      </c>
      <c r="U25" s="8"/>
      <c r="V25" s="8"/>
      <c r="W25" s="8"/>
      <c r="X25" s="8"/>
      <c r="Y25" s="8"/>
    </row>
    <row r="26" spans="1:25" ht="20.149999999999999" customHeight="1" x14ac:dyDescent="0.75">
      <c r="A26" s="36"/>
      <c r="B26" s="32" t="s">
        <v>180</v>
      </c>
      <c r="C26" s="32" t="s">
        <v>91</v>
      </c>
      <c r="D26" s="33" t="s">
        <v>89</v>
      </c>
      <c r="E26" s="33" t="s">
        <v>90</v>
      </c>
      <c r="F26" s="33" t="s">
        <v>92</v>
      </c>
      <c r="G26" s="140" t="s">
        <v>131</v>
      </c>
      <c r="H26" s="140"/>
      <c r="I26" s="140" t="s">
        <v>130</v>
      </c>
      <c r="J26" s="140"/>
      <c r="K26" s="33" t="s">
        <v>93</v>
      </c>
      <c r="L26" s="33" t="s">
        <v>94</v>
      </c>
      <c r="M26" s="9"/>
      <c r="N26" s="59" t="s">
        <v>136</v>
      </c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1"/>
    </row>
    <row r="27" spans="1:25" ht="20.149999999999999" customHeight="1" x14ac:dyDescent="0.75">
      <c r="A27" s="32" t="s">
        <v>95</v>
      </c>
      <c r="B27" s="7">
        <v>55</v>
      </c>
      <c r="C27" s="7"/>
      <c r="D27" s="8">
        <v>25</v>
      </c>
      <c r="E27" s="58">
        <v>10.9</v>
      </c>
      <c r="F27" s="8">
        <v>4.5999999999999996</v>
      </c>
      <c r="G27" s="139"/>
      <c r="H27" s="139"/>
      <c r="I27" s="139"/>
      <c r="J27" s="139"/>
      <c r="K27" s="7"/>
      <c r="L27" s="8"/>
      <c r="M27" s="9"/>
      <c r="N27" s="33" t="s">
        <v>183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191</v>
      </c>
      <c r="X27" s="33" t="s">
        <v>192</v>
      </c>
      <c r="Y27" s="33" t="s">
        <v>21</v>
      </c>
    </row>
    <row r="28" spans="1:25" ht="20.149999999999999" customHeight="1" x14ac:dyDescent="0.75">
      <c r="A28" s="32" t="s">
        <v>96</v>
      </c>
      <c r="B28" s="7" t="s">
        <v>202</v>
      </c>
      <c r="C28" s="7"/>
      <c r="D28" s="8">
        <v>76</v>
      </c>
      <c r="E28" s="58">
        <v>8.8000000000000007</v>
      </c>
      <c r="F28" s="7"/>
      <c r="G28" s="139"/>
      <c r="H28" s="139"/>
      <c r="I28" s="139"/>
      <c r="J28" s="139"/>
      <c r="K28" s="7"/>
      <c r="L28" s="8"/>
      <c r="M28" s="9"/>
      <c r="N28" s="47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126" t="s">
        <v>98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8"/>
      <c r="M29" s="9"/>
      <c r="N29" s="47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37" t="s">
        <v>114</v>
      </c>
      <c r="B30" s="16"/>
      <c r="C30" s="12"/>
      <c r="D30" s="37" t="s">
        <v>91</v>
      </c>
      <c r="E30" s="17"/>
      <c r="F30" s="12"/>
      <c r="G30" s="38" t="s">
        <v>97</v>
      </c>
      <c r="H30" s="18"/>
      <c r="I30" s="18"/>
      <c r="J30" s="19"/>
      <c r="K30" s="18"/>
      <c r="L30" s="20"/>
      <c r="M30" s="9"/>
      <c r="N30" s="47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37" t="s">
        <v>113</v>
      </c>
      <c r="B31" s="16"/>
      <c r="C31" s="12"/>
      <c r="D31" s="37" t="s">
        <v>111</v>
      </c>
      <c r="E31" s="17"/>
      <c r="F31" s="21"/>
      <c r="G31" s="37" t="s">
        <v>97</v>
      </c>
      <c r="H31" s="17"/>
      <c r="I31" s="17"/>
      <c r="J31" s="17"/>
      <c r="K31" s="17"/>
      <c r="L31" s="12"/>
      <c r="M31" s="9"/>
      <c r="N31" s="47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4" t="s">
        <v>112</v>
      </c>
      <c r="B32" s="22"/>
      <c r="C32" s="20"/>
      <c r="D32" s="24" t="s">
        <v>88</v>
      </c>
      <c r="E32" s="18"/>
      <c r="F32" s="20"/>
      <c r="G32" s="24" t="s">
        <v>110</v>
      </c>
      <c r="H32" s="18"/>
      <c r="I32" s="18"/>
      <c r="J32" s="18"/>
      <c r="K32" s="18"/>
      <c r="L32" s="20"/>
      <c r="M32" s="9"/>
      <c r="N32" s="48">
        <v>5</v>
      </c>
      <c r="O32" s="43"/>
      <c r="P32" s="43"/>
      <c r="Q32" s="43"/>
      <c r="R32" s="43"/>
      <c r="S32" s="43"/>
      <c r="T32" s="42"/>
      <c r="U32" s="43"/>
      <c r="V32" s="43"/>
      <c r="W32" s="43"/>
      <c r="X32" s="43"/>
      <c r="Y32" s="43"/>
    </row>
    <row r="33" spans="1:25" ht="20.149999999999999" customHeight="1" x14ac:dyDescent="0.75">
      <c r="A33" s="62" t="s">
        <v>115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9"/>
      <c r="N33" s="47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9"/>
      <c r="N34" s="47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9"/>
      <c r="N35" s="47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71" t="s">
        <v>135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  <c r="M36" s="9"/>
      <c r="N36" s="47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35" t="s">
        <v>16</v>
      </c>
      <c r="H37" s="35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9"/>
      <c r="N37" s="48">
        <v>10</v>
      </c>
      <c r="O37" s="43"/>
      <c r="P37" s="43"/>
      <c r="Q37" s="43"/>
      <c r="R37" s="43"/>
      <c r="S37" s="43"/>
      <c r="T37" s="42"/>
      <c r="U37" s="43"/>
      <c r="V37" s="43"/>
      <c r="W37" s="43"/>
      <c r="X37" s="43"/>
      <c r="Y37" s="43"/>
    </row>
    <row r="38" spans="1:25" ht="20.149999999999999" customHeight="1" x14ac:dyDescent="0.75">
      <c r="A38" s="32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"/>
      <c r="N38" s="47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"/>
      <c r="N39" s="47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"/>
      <c r="N40" s="47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"/>
      <c r="N41" s="47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1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9"/>
      <c r="N42" s="48">
        <v>15</v>
      </c>
      <c r="O42" s="43"/>
      <c r="P42" s="43"/>
      <c r="Q42" s="43"/>
      <c r="R42" s="43"/>
      <c r="S42" s="43"/>
      <c r="T42" s="42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35" t="s">
        <v>16</v>
      </c>
      <c r="H44" s="35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183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191</v>
      </c>
      <c r="X44" s="33" t="s">
        <v>192</v>
      </c>
      <c r="Y44" s="33" t="s">
        <v>21</v>
      </c>
    </row>
    <row r="45" spans="1:25" ht="20.149999999999999" customHeight="1" x14ac:dyDescent="0.75">
      <c r="A45" s="32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7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7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7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7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1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3"/>
      <c r="P49" s="43"/>
      <c r="Q49" s="43"/>
      <c r="R49" s="43"/>
      <c r="S49" s="43"/>
      <c r="T49" s="42"/>
      <c r="U49" s="43"/>
      <c r="V49" s="43"/>
      <c r="W49" s="43"/>
      <c r="X49" s="43"/>
      <c r="Y49" s="43"/>
    </row>
    <row r="50" spans="1:25" ht="20.149999999999999" customHeight="1" x14ac:dyDescent="0.75">
      <c r="A50" s="32">
        <v>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N50" s="47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N51" s="47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N52" s="47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N53" s="47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1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8">
        <v>25</v>
      </c>
      <c r="O54" s="43"/>
      <c r="P54" s="43"/>
      <c r="Q54" s="43"/>
      <c r="R54" s="43"/>
      <c r="S54" s="43"/>
      <c r="T54" s="42"/>
      <c r="U54" s="43"/>
      <c r="V54" s="43"/>
      <c r="W54" s="43"/>
      <c r="X54" s="43"/>
      <c r="Y54" s="43"/>
    </row>
    <row r="55" spans="1:25" ht="20.149999999999999" customHeight="1" x14ac:dyDescent="0.75">
      <c r="A55" s="32">
        <v>16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N55" s="47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N56" s="47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N57" s="47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N58" s="47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1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48">
        <v>30</v>
      </c>
      <c r="O59" s="43"/>
      <c r="P59" s="43"/>
      <c r="Q59" s="43"/>
      <c r="R59" s="43"/>
      <c r="S59" s="43"/>
      <c r="T59" s="42"/>
      <c r="U59" s="43"/>
      <c r="V59" s="43"/>
      <c r="W59" s="43"/>
      <c r="X59" s="43"/>
      <c r="Y59" s="43"/>
    </row>
    <row r="60" spans="1:25" ht="20.149999999999999" customHeight="1" x14ac:dyDescent="0.75">
      <c r="A60" s="32">
        <v>21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N60" s="49">
        <v>31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0.149999999999999" customHeight="1" x14ac:dyDescent="0.75">
      <c r="A61" s="32">
        <v>22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N61" s="49">
        <v>32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0.149999999999999" customHeight="1" x14ac:dyDescent="0.75">
      <c r="A62" s="32">
        <v>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N62" s="49">
        <v>33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20.149999999999999" customHeight="1" x14ac:dyDescent="0.75">
      <c r="A63" s="32">
        <v>24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N63" s="49">
        <v>34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20.149999999999999" customHeight="1" x14ac:dyDescent="0.75">
      <c r="A64" s="41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0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32">
        <v>26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N65" s="49">
        <v>36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20.149999999999999" customHeight="1" x14ac:dyDescent="0.75">
      <c r="A66" s="32">
        <v>27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N66" s="49">
        <v>37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20.149999999999999" customHeight="1" x14ac:dyDescent="0.75">
      <c r="A67" s="32">
        <v>28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N67" s="49">
        <v>38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20.149999999999999" customHeight="1" x14ac:dyDescent="0.75">
      <c r="A68" s="32">
        <v>29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N68" s="49">
        <v>39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20.149999999999999" customHeight="1" x14ac:dyDescent="0.75">
      <c r="A69" s="41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0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32">
        <v>31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N70" s="49">
        <v>41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20.149999999999999" customHeight="1" x14ac:dyDescent="0.75">
      <c r="A71" s="32">
        <v>32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N71" s="49">
        <v>42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20.149999999999999" customHeight="1" x14ac:dyDescent="0.75">
      <c r="A72" s="32">
        <v>33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N72" s="49">
        <v>43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20.149999999999999" customHeight="1" x14ac:dyDescent="0.75">
      <c r="A73" s="32">
        <v>34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N73" s="49">
        <v>44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20.149999999999999" customHeight="1" x14ac:dyDescent="0.75">
      <c r="A74" s="41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0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32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N75" s="49">
        <v>46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20.149999999999999" customHeight="1" x14ac:dyDescent="0.75">
      <c r="A76" s="32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N76" s="49">
        <v>47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20.149999999999999" customHeight="1" x14ac:dyDescent="0.75">
      <c r="A77" s="32">
        <v>38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N77" s="49">
        <v>48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20.149999999999999" customHeight="1" x14ac:dyDescent="0.75">
      <c r="A78" s="32">
        <v>39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N78" s="49">
        <v>49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20.149999999999999" customHeight="1" x14ac:dyDescent="0.75">
      <c r="A79" s="41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0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32">
        <v>41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N80" s="49">
        <v>51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20.149999999999999" customHeight="1" x14ac:dyDescent="0.75">
      <c r="A81" s="32">
        <v>42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N81" s="49">
        <v>52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20.149999999999999" customHeight="1" x14ac:dyDescent="0.75">
      <c r="A82" s="32">
        <v>43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N82" s="49">
        <v>53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20.149999999999999" customHeight="1" x14ac:dyDescent="0.75">
      <c r="A83" s="32">
        <v>44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N83" s="49">
        <v>54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20.149999999999999" customHeight="1" x14ac:dyDescent="0.75">
      <c r="A84" s="41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0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32">
        <v>46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N85" s="49">
        <v>56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</sheetData>
  <sheetProtection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2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4" t="s">
        <v>58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45752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45742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3" t="s">
        <v>48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149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5"/>
      <c r="N19" s="52" t="s">
        <v>194</v>
      </c>
      <c r="T19" s="1"/>
      <c r="V19" s="1"/>
    </row>
    <row r="20" spans="1:23" x14ac:dyDescent="0.75">
      <c r="A20" s="56" t="s">
        <v>155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5"/>
      <c r="N20" s="52" t="s">
        <v>165</v>
      </c>
      <c r="T20" s="1"/>
      <c r="V20" s="1"/>
    </row>
    <row r="21" spans="1:23" x14ac:dyDescent="0.75">
      <c r="A21" s="56" t="s">
        <v>156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5"/>
      <c r="N21" s="52" t="s">
        <v>166</v>
      </c>
      <c r="T21" s="1"/>
      <c r="V21" s="1"/>
      <c r="W21" s="2"/>
    </row>
    <row r="22" spans="1:23" x14ac:dyDescent="0.75">
      <c r="A22" s="56" t="s">
        <v>157</v>
      </c>
      <c r="B22" s="52"/>
      <c r="C22" s="52"/>
      <c r="D22" s="52"/>
      <c r="E22" s="5"/>
      <c r="F22" s="52"/>
      <c r="G22" s="5"/>
      <c r="H22" s="52"/>
      <c r="I22" s="5"/>
      <c r="J22" s="52"/>
      <c r="K22" s="52"/>
      <c r="L22" s="52"/>
      <c r="M22" s="55"/>
      <c r="N22" s="55"/>
      <c r="T22" s="1"/>
      <c r="V22" s="1"/>
      <c r="W22" s="2"/>
    </row>
    <row r="23" spans="1:23" x14ac:dyDescent="0.75">
      <c r="A23" s="56" t="s">
        <v>158</v>
      </c>
      <c r="B23" s="52"/>
      <c r="C23" s="52"/>
      <c r="D23" s="52"/>
      <c r="E23" s="5"/>
      <c r="F23" s="52"/>
      <c r="G23" s="5"/>
      <c r="H23" s="52"/>
      <c r="I23" s="52"/>
      <c r="J23" s="52"/>
      <c r="K23" s="52"/>
      <c r="L23" s="52"/>
      <c r="M23" s="55"/>
      <c r="N23" s="53" t="s">
        <v>140</v>
      </c>
      <c r="T23" s="1"/>
      <c r="V23" s="1"/>
      <c r="W23" s="2"/>
    </row>
    <row r="24" spans="1:23" x14ac:dyDescent="0.75">
      <c r="A24" s="56" t="s">
        <v>159</v>
      </c>
      <c r="B24" s="52"/>
      <c r="C24" s="52"/>
      <c r="D24" s="52"/>
      <c r="E24" s="5"/>
      <c r="F24" s="52"/>
      <c r="G24" s="52"/>
      <c r="H24" s="52"/>
      <c r="I24" s="52"/>
      <c r="J24" s="52"/>
      <c r="K24" s="52"/>
      <c r="L24" s="52"/>
      <c r="M24" s="52"/>
      <c r="N24" s="5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160</v>
      </c>
      <c r="B25" s="52"/>
      <c r="C25" s="52"/>
      <c r="D25" s="52"/>
      <c r="E25" s="5"/>
      <c r="F25" s="52"/>
      <c r="G25" s="52"/>
      <c r="H25" s="52"/>
      <c r="I25" s="52"/>
      <c r="J25" s="52"/>
      <c r="K25" s="52"/>
      <c r="L25" s="52"/>
      <c r="M25" s="52"/>
      <c r="N25" s="52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161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 t="s">
        <v>139</v>
      </c>
      <c r="U28" s="1"/>
      <c r="V28" s="1"/>
    </row>
    <row r="29" spans="1:23" x14ac:dyDescent="0.75">
      <c r="A29" s="5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5"/>
      <c r="U29" s="1"/>
      <c r="V29" s="1"/>
    </row>
    <row r="30" spans="1:23" x14ac:dyDescent="0.75">
      <c r="A30" s="54" t="s">
        <v>45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4" t="s">
        <v>27</v>
      </c>
      <c r="U30" s="1"/>
      <c r="V30" s="1"/>
    </row>
    <row r="31" spans="1:23" x14ac:dyDescent="0.75">
      <c r="A31" s="5" t="s">
        <v>29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" t="s">
        <v>167</v>
      </c>
      <c r="U31" s="1"/>
      <c r="V31" s="1"/>
    </row>
    <row r="32" spans="1:23" x14ac:dyDescent="0.75">
      <c r="A32" s="5" t="s">
        <v>33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">
        <v>110</v>
      </c>
      <c r="U32" s="1"/>
      <c r="V32" s="1"/>
    </row>
    <row r="33" spans="1:22" x14ac:dyDescent="0.75">
      <c r="A33" s="5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">
        <v>130</v>
      </c>
      <c r="U33" s="1"/>
      <c r="V33" s="1"/>
    </row>
    <row r="34" spans="1:22" x14ac:dyDescent="0.75">
      <c r="A34" s="54" t="s">
        <v>46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">
        <v>150</v>
      </c>
      <c r="U34" s="1"/>
      <c r="V34" s="1"/>
    </row>
    <row r="35" spans="1:22" x14ac:dyDescent="0.75">
      <c r="A35" s="5" t="s">
        <v>43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">
        <v>180</v>
      </c>
      <c r="U35" s="1"/>
      <c r="V35" s="1"/>
    </row>
    <row r="36" spans="1:22" x14ac:dyDescent="0.75">
      <c r="A36" s="5" t="s">
        <v>41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" t="s">
        <v>168</v>
      </c>
      <c r="U36" s="1"/>
      <c r="V36" s="1"/>
    </row>
    <row r="37" spans="1:22" x14ac:dyDescent="0.75">
      <c r="A37" s="5" t="s">
        <v>42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" t="s">
        <v>169</v>
      </c>
      <c r="U37" s="1"/>
      <c r="V37" s="1"/>
    </row>
    <row r="38" spans="1:22" x14ac:dyDescent="0.75">
      <c r="A38" s="5" t="s">
        <v>44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" t="s">
        <v>37</v>
      </c>
      <c r="U38" s="1"/>
      <c r="V38" s="1"/>
    </row>
    <row r="39" spans="1:22" x14ac:dyDescent="0.75">
      <c r="A39" s="5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4" t="s">
        <v>62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 t="s">
        <v>25</v>
      </c>
    </row>
    <row r="41" spans="1:22" x14ac:dyDescent="0.75">
      <c r="A41" s="5" t="s">
        <v>43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34</v>
      </c>
    </row>
    <row r="42" spans="1:22" x14ac:dyDescent="0.75">
      <c r="A42" s="5" t="s">
        <v>64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36</v>
      </c>
    </row>
    <row r="43" spans="1:22" x14ac:dyDescent="0.75">
      <c r="A43" s="5" t="s">
        <v>63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170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4" t="s">
        <v>67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 t="s">
        <v>100</v>
      </c>
    </row>
    <row r="46" spans="1:22" x14ac:dyDescent="0.75">
      <c r="A46" s="5" t="s">
        <v>43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37</v>
      </c>
    </row>
    <row r="47" spans="1:22" x14ac:dyDescent="0.75">
      <c r="A47" s="5" t="s">
        <v>69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31</v>
      </c>
    </row>
    <row r="48" spans="1:22" x14ac:dyDescent="0.75">
      <c r="A48" s="5" t="s">
        <v>68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171</v>
      </c>
    </row>
    <row r="49" spans="1:20" x14ac:dyDescent="0.75">
      <c r="A49" s="5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185</v>
      </c>
    </row>
    <row r="50" spans="1:20" x14ac:dyDescent="0.75">
      <c r="A50" s="54" t="s">
        <v>60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43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65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3" t="s">
        <v>172</v>
      </c>
    </row>
    <row r="53" spans="1:20" x14ac:dyDescent="0.75">
      <c r="A53" s="5" t="s">
        <v>66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2" t="s">
        <v>30</v>
      </c>
    </row>
    <row r="54" spans="1:20" x14ac:dyDescent="0.75">
      <c r="A54" s="5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2" t="s">
        <v>22</v>
      </c>
    </row>
    <row r="55" spans="1:20" x14ac:dyDescent="0.75">
      <c r="A55" s="53" t="s">
        <v>61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52" t="s">
        <v>43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4" t="s">
        <v>26</v>
      </c>
    </row>
    <row r="57" spans="1:20" x14ac:dyDescent="0.75">
      <c r="A57" s="55" t="s">
        <v>176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2" t="s">
        <v>35</v>
      </c>
      <c r="O57" s="1"/>
      <c r="P57" s="1"/>
      <c r="Q57" s="1"/>
      <c r="R57" s="1"/>
      <c r="S57" s="1"/>
      <c r="T57" s="1"/>
    </row>
    <row r="58" spans="1:20" x14ac:dyDescent="0.75">
      <c r="A58" s="56" t="s">
        <v>154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2" t="s">
        <v>32</v>
      </c>
    </row>
    <row r="59" spans="1:20" x14ac:dyDescent="0.75">
      <c r="A59" s="56" t="s">
        <v>147</v>
      </c>
    </row>
    <row r="60" spans="1:20" x14ac:dyDescent="0.75">
      <c r="A60" s="56" t="s">
        <v>148</v>
      </c>
      <c r="O60" s="1"/>
      <c r="Q60" s="1"/>
      <c r="R60" s="3"/>
      <c r="S60" s="1"/>
    </row>
    <row r="61" spans="1:20" x14ac:dyDescent="0.75">
      <c r="A61" s="56" t="s">
        <v>149</v>
      </c>
      <c r="O61" s="1"/>
      <c r="Q61" s="1"/>
      <c r="R61" s="1"/>
      <c r="S61" s="1"/>
    </row>
    <row r="62" spans="1:20" x14ac:dyDescent="0.75">
      <c r="A62" s="56" t="s">
        <v>150</v>
      </c>
      <c r="O62" s="1"/>
      <c r="Q62" s="1"/>
      <c r="R62" s="1"/>
      <c r="S62" s="1"/>
    </row>
    <row r="63" spans="1:20" x14ac:dyDescent="0.75">
      <c r="A63" s="56" t="s">
        <v>151</v>
      </c>
      <c r="O63" s="1"/>
      <c r="Q63" s="1"/>
      <c r="R63" s="1"/>
      <c r="S63" s="1"/>
      <c r="T63" s="1"/>
    </row>
    <row r="64" spans="1:20" x14ac:dyDescent="0.75">
      <c r="A64" s="56" t="s">
        <v>152</v>
      </c>
      <c r="O64" s="1"/>
      <c r="Q64" s="1"/>
      <c r="R64" s="1"/>
      <c r="S64" s="1"/>
      <c r="T64" s="1"/>
    </row>
    <row r="65" spans="1:20" x14ac:dyDescent="0.75">
      <c r="A65" s="56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6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6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6" t="s">
        <v>173</v>
      </c>
      <c r="N69" s="4"/>
    </row>
    <row r="70" spans="1:20" x14ac:dyDescent="0.75">
      <c r="A70" s="5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26E2ADD-E9EB-44A1-88B0-F7E522DAC84B}"/>
</file>

<file path=customXml/itemProps2.xml><?xml version="1.0" encoding="utf-8"?>
<ds:datastoreItem xmlns:ds="http://schemas.openxmlformats.org/officeDocument/2006/customXml" ds:itemID="{3368D172-CDD4-42E2-BB42-192B971074B7}"/>
</file>

<file path=customXml/itemProps3.xml><?xml version="1.0" encoding="utf-8"?>
<ds:datastoreItem xmlns:ds="http://schemas.openxmlformats.org/officeDocument/2006/customXml" ds:itemID="{4887548B-700C-4CEE-BC6D-08D1A979D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2025-03-05T02:58:52Z</cp:lastPrinted>
  <dcterms:created xsi:type="dcterms:W3CDTF">2019-11-27T23:28:06Z</dcterms:created>
  <dcterms:modified xsi:type="dcterms:W3CDTF">2025-03-09T23:23:56Z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