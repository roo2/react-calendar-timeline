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12DCB65-6568-48AB-A6C8-1896F206043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<sst xmlns="http://schemas.openxmlformats.org/spreadsheetml/2006/main" count="303" uniqueCount="202">
  <si>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</si>
  <si>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</si>
  <si>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</si>
  <si>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</si>
  <si>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</si>
  <si>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</si>
  <si>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</si>
  <si>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</si>
  <si>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</si>
  <si>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</si>
  <si>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</si>
  <si>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</si>
  <si>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</si>
  <si>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</si>
  <si>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</si>
  <si>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</si>
  <si>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</si>
  <si>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</si>
  <si>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</si>
  <si>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</si>
  <si>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</si>
  <si>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</si>
  <si>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</si>
  <si>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</si>
  <si>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</si>
  <si>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</si>
  <si>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</si>
  <si>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</si>
  <si>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</si>
  <si>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</si>
  <si>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</si>
  <si>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</si>
  <si>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</si>
  <si>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</si>
  <si>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</si>
  <si>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</si>
  <si>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</si>
  <si>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</si>
  <si>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</si>
  <si>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</si>
  <si>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</si>
  <si>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</si>
  <si>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</si>
  <si>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</si>
  <si>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</si>
  <si>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</si>
  <si>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</si>
  <si>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</si>
  <si>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</si>
  <si>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</si>
  <si>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</si>
  <si>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</si>
  <si>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</si>
  <si>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</si>
  <si>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</si>
  <si>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</si>
  <si>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</si>
  <si>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</si>
  <si>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</si>
  <si>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</si>
  <si>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</si>
  <si>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</si>
  <si>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</si>
  <si>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</si>
  <si>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</si>
  <si>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</si>
  <si>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</si>
  <si>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</si>
  <si>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</si>
  <si>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</si>
  <si>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</si>
  <si>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</si>
  <si>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</si>
  <si>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</si>
  <si>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</si>
  <si>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</si>
  <si>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</si>
  <si>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</si>
  <si>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</si>
  <si>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</si>
  <si>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</si>
  <si>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</si>
  <si>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</si>
  <si>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</si>
  <si>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</si>
  <si>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</si>
  <si>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</si>
  <si>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</si>
  <si>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</si>
  <si>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</si>
  <si>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</si>
  <si>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</si>
  <si>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</si>
  <si>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</si>
  <si>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</si>
  <si>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</si>
  <si>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</si>
  <si>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</si>
  <si>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</si>
  <si>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</si>
  <si>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</si>
  <si>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</si>
  <si>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</si>
  <si>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</si>
  <si>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</si>
  <si>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</si>
  <si>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</si>
  <si>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</si>
  <si>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</si>
  <si>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</si>
  <si>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</si>
  <si>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</si>
  <si>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</si>
  <si>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</si>
  <si>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</si>
  <si>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</si>
  <si>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</si>
  <si>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</si>
  <si>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</si>
  <si>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</si>
  <si>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</si>
  <si>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</si>
  <si>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</si>
  <si>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</si>
  <si>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</si>
  <si>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</si>
  <si>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</si>
  <si>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</si>
  <si>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</si>
  <si>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</si>
  <si>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</si>
  <si>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</si>
  <si>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</si>
  <si>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</si>
  <si>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</si>
  <si>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</si>
  <si>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</si>
  <si>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</si>
  <si>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</si>
  <si>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</si>
  <si>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</si>
  <si>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</si>
  <si>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</si>
  <si>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</si>
  <si>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</si>
  <si>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</si>
  <si>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</si>
  <si>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</si>
  <si>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</si>
  <si>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</si>
  <si>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</si>
  <si>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</si>
  <si>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</si>
  <si>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</si>
  <si>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</si>
  <si>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</si>
  <si>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</si>
  <si>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</si>
  <si>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</si>
  <si>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</si>
  <si>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</si>
  <si>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</si>
  <si>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</si>
  <si>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</si>
  <si>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</si>
  <si>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</si>
  <si>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</si>
  <si>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</si>
  <si>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</si>
  <si>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</si>
  <si>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</si>
  <si>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</si>
  <si>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</si>
  <si>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</si>
  <si>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</si>
  <si>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</si>
  <si>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</si>
  <si>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</si>
  <si>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</si>
  <si>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</si>
  <si>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</si>
  <si>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</si>
  <si>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</si>
  <si>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</si>
  <si>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</si>
  <si>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</si>
  <si>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</si>
  <si>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</si>
  <si>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</si>
  <si>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</si>
  <si>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</si>
  <si>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</si>
  <si>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</si>
  <si>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</si>
  <si>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</si>
  <si>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BLACK TINT</t>
  </si>
  <si>
    <t xml:space="preserve">PRO-PAC </t>
  </si>
  <si>
    <t>04.05.2022</t>
  </si>
  <si>
    <t>(570+300)</t>
  </si>
  <si>
    <t>RUN AT 30um</t>
  </si>
  <si>
    <t>PINK TINT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</si>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</sst>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E18" sqref="AE18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PBR870G180032PT</v>
      </c>
      <c r="C1" s="108"/>
      <c r="D1" s="109"/>
      <c r="E1" s="18" t="s">
        <v>56</v>
      </c>
      <c r="F1" s="122" t="s">
        <v>196</v>
      </c>
      <c r="G1" s="122"/>
      <c r="H1" s="123"/>
      <c r="I1" s="18" t="s">
        <v>180</v>
      </c>
      <c r="J1" s="119">
        <f ca="1">TODAY()</f>
        <v>44650</v>
      </c>
      <c r="K1" s="119"/>
      <c r="L1" s="120"/>
      <c r="M1" s="35"/>
      <c r="N1" s="18" t="s">
        <v>55</v>
      </c>
      <c r="O1" s="108" t="str">
        <f>B1</f>
        <v>PBR870G180032PT</v>
      </c>
      <c r="P1" s="108"/>
      <c r="Q1" s="109"/>
      <c r="R1" s="18" t="s">
        <v>56</v>
      </c>
      <c r="S1" s="108" t="str">
        <f>F1</f>
        <v xml:space="preserve">PRO-PAC </v>
      </c>
      <c r="T1" s="108"/>
      <c r="U1" s="109"/>
      <c r="V1" s="18" t="s">
        <v>180</v>
      </c>
      <c r="W1" s="119">
        <f ca="1">J1</f>
        <v>44650</v>
      </c>
      <c r="X1" s="119"/>
      <c r="Y1" s="120"/>
    </row>
    <row r="2" spans="1:25" ht="20.100000000000001" customHeight="1" x14ac:dyDescent="0.25">
      <c r="A2" s="18" t="s">
        <v>99</v>
      </c>
      <c r="B2" s="108" t="str">
        <f>IF(U10="","",U10)</f>
        <v/>
      </c>
      <c r="C2" s="108"/>
      <c r="D2" s="109"/>
      <c r="E2" s="18" t="s">
        <v>57</v>
      </c>
      <c r="F2" s="71">
        <v>942997</v>
      </c>
      <c r="G2" s="71"/>
      <c r="H2" s="72"/>
      <c r="I2" s="18" t="s">
        <v>58</v>
      </c>
      <c r="J2" s="140" t="s">
        <v>197</v>
      </c>
      <c r="K2" s="71"/>
      <c r="L2" s="72"/>
      <c r="M2" s="35"/>
      <c r="N2" s="18" t="s">
        <v>99</v>
      </c>
      <c r="O2" s="108" t="str">
        <f>IF(B2="","",B2)</f>
        <v/>
      </c>
      <c r="P2" s="108"/>
      <c r="Q2" s="109"/>
      <c r="R2" s="18" t="s">
        <v>57</v>
      </c>
      <c r="S2" s="108">
        <f>IF(F2="","",F2)</f>
        <v>942997</v>
      </c>
      <c r="T2" s="108"/>
      <c r="U2" s="109"/>
      <c r="V2" s="18" t="s">
        <v>58</v>
      </c>
      <c r="W2" s="121" t="str">
        <f>J2</f>
        <v>04.05.2022</v>
      </c>
      <c r="X2" s="108"/>
      <c r="Y2" s="109"/>
    </row>
    <row r="3" spans="1:25" ht="20.100000000000001" customHeight="1" x14ac:dyDescent="0.25">
      <c r="A3" s="129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1"/>
      <c r="M3" s="35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32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4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35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7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51" t="s">
        <v>1</v>
      </c>
      <c r="B6" s="152"/>
      <c r="C6" s="152"/>
      <c r="D6" s="152"/>
      <c r="E6" s="152"/>
      <c r="F6" s="152"/>
      <c r="G6" s="152"/>
      <c r="H6" s="152"/>
      <c r="I6" s="152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00000000000001" customHeight="1" x14ac:dyDescent="0.3">
      <c r="A7" s="18" t="s">
        <v>48</v>
      </c>
      <c r="B7" s="78" t="s">
        <v>200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100</v>
      </c>
      <c r="P7" s="72"/>
      <c r="Q7" s="18" t="str">
        <f>IF(ISNUMBER(SEARCH("roll",O8,1)),"Per Roll","Per Carton")</f>
        <v>Per Roll</v>
      </c>
      <c r="R7" s="71">
        <v>250</v>
      </c>
      <c r="S7" s="72"/>
      <c r="T7" s="18" t="str">
        <f>IF(ISNUMBER(SEARCH("bag",O8,1)),"Total Bags","Total Sheets")</f>
        <v>Total Bags</v>
      </c>
      <c r="U7" s="108">
        <f>R7*O7</f>
        <v>25000</v>
      </c>
      <c r="V7" s="109"/>
      <c r="W7" s="18" t="s">
        <v>101</v>
      </c>
      <c r="X7" s="71" t="s">
        <v>22</v>
      </c>
      <c r="Y7" s="72"/>
    </row>
    <row r="8" spans="1:25" ht="20.100000000000001" customHeight="1" x14ac:dyDescent="0.25">
      <c r="A8" s="19" t="s">
        <v>15</v>
      </c>
      <c r="B8" s="138">
        <f>R9</f>
        <v>870</v>
      </c>
      <c r="C8" s="139"/>
      <c r="D8" s="22" t="str">
        <f>IF(ISNUMBER(SEARCH("bag",#REF!,1)),"Gusset","Centrefold")</f>
        <v>Centrefold</v>
      </c>
      <c r="E8" s="138" t="str">
        <f>IF(O8="Centrefold Roll",B8*2,IF(X9="","None",X9))</f>
        <v>(570+300)</v>
      </c>
      <c r="F8" s="139"/>
      <c r="G8" s="19" t="s">
        <v>51</v>
      </c>
      <c r="H8" s="138">
        <f>(IF(V9&lt;30,"30",V9))</f>
        <v>32</v>
      </c>
      <c r="I8" s="139"/>
      <c r="J8" s="18" t="s">
        <v>53</v>
      </c>
      <c r="K8" s="108" t="str">
        <f>IF(X8="None","Layflat Tube",IF(X8="","Layflat Tube",IF(X8="CF","Layflat Tube",IF(X8="G","Gusset Tube",IF(X9="","Layflat Tube",)))))</f>
        <v>Gusset Tube</v>
      </c>
      <c r="L8" s="109"/>
      <c r="M8" s="35"/>
      <c r="N8" s="20" t="s">
        <v>53</v>
      </c>
      <c r="O8" s="147" t="s">
        <v>164</v>
      </c>
      <c r="P8" s="148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G</v>
      </c>
      <c r="Y8" s="125"/>
    </row>
    <row r="9" spans="1:25" ht="20.100000000000001" customHeight="1" x14ac:dyDescent="0.3">
      <c r="A9" s="23" t="s">
        <v>47</v>
      </c>
      <c r="B9" s="153" t="s">
        <v>194</v>
      </c>
      <c r="C9" s="154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53" t="s">
        <v>199</v>
      </c>
      <c r="I9" s="154"/>
      <c r="J9" s="18" t="s">
        <v>54</v>
      </c>
      <c r="K9" s="71" t="s">
        <v>33</v>
      </c>
      <c r="L9" s="72"/>
      <c r="M9" s="35"/>
      <c r="N9" s="24"/>
      <c r="O9" s="161" t="str">
        <f>IF(O8="Poly Bag","PB",IF(O8="Poly Bag Roll","PBR",IF(O8="Centrefold Roll","CFR",IF(O8="Sheet","S",IF(O8="Sheet Roll","SR")))))</f>
        <v>PBR</v>
      </c>
      <c r="P9" s="162"/>
      <c r="Q9" s="24"/>
      <c r="R9" s="36">
        <v>870</v>
      </c>
      <c r="S9" s="25" t="s">
        <v>77</v>
      </c>
      <c r="T9" s="36">
        <v>1800</v>
      </c>
      <c r="U9" s="25" t="s">
        <v>77</v>
      </c>
      <c r="V9" s="36">
        <v>32</v>
      </c>
      <c r="W9" s="24"/>
      <c r="X9" s="145" t="s">
        <v>198</v>
      </c>
      <c r="Y9" s="146"/>
    </row>
    <row r="10" spans="1:25" ht="20.100000000000001" customHeight="1" x14ac:dyDescent="0.25">
      <c r="A10" s="18" t="s">
        <v>50</v>
      </c>
      <c r="B10" s="71">
        <v>100</v>
      </c>
      <c r="C10" s="72"/>
      <c r="D10" s="56" t="s">
        <v>133</v>
      </c>
      <c r="E10" s="155">
        <f>IF(ISNUMBER(SEARCH("sheet",O8,1)),((R9*T9*H8/540000)*U7/2000*1.3),((R9*T9*H8/540000)*U7/1000*1.08))</f>
        <v>2505.6000000000004</v>
      </c>
      <c r="F10" s="156"/>
      <c r="G10" s="18" t="s">
        <v>52</v>
      </c>
      <c r="H10" s="159">
        <f>IF(ISNUMBER(SEARCH("sheet",O8,1)),(U7*T9/2000*1.08),(U7*T9/1000*1.08))</f>
        <v>48600</v>
      </c>
      <c r="I10" s="160"/>
      <c r="J10" s="18" t="s">
        <v>40</v>
      </c>
      <c r="K10" s="71" t="s">
        <v>43</v>
      </c>
      <c r="L10" s="72"/>
      <c r="M10" s="35"/>
      <c r="N10" s="26" t="s">
        <v>140</v>
      </c>
      <c r="O10" s="147" t="s">
        <v>43</v>
      </c>
      <c r="P10" s="148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41"/>
      <c r="V10" s="141"/>
      <c r="W10" s="141"/>
      <c r="X10" s="141"/>
      <c r="Y10" s="142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57">
        <f>E10/B10</f>
        <v>25.056000000000004</v>
      </c>
      <c r="F11" s="158"/>
      <c r="G11" s="18" t="s">
        <v>14</v>
      </c>
      <c r="H11" s="157">
        <f>H10/B10</f>
        <v>486</v>
      </c>
      <c r="I11" s="158"/>
      <c r="J11" s="18" t="s">
        <v>49</v>
      </c>
      <c r="K11" s="71" t="s">
        <v>43</v>
      </c>
      <c r="L11" s="72"/>
      <c r="M11" s="35"/>
      <c r="N11" s="19"/>
      <c r="O11" s="138" t="str">
        <f>IF(O10="NONE","","V")</f>
        <v/>
      </c>
      <c r="P11" s="139"/>
      <c r="Q11" s="19"/>
      <c r="R11" s="138" t="str">
        <f>IF(R10="None","","P")</f>
        <v/>
      </c>
      <c r="S11" s="138"/>
      <c r="T11" s="19"/>
      <c r="U11" s="143"/>
      <c r="V11" s="143"/>
      <c r="W11" s="143"/>
      <c r="X11" s="143"/>
      <c r="Y11" s="144"/>
    </row>
    <row r="12" spans="1:25" ht="20.100000000000001" customHeight="1" x14ac:dyDescent="0.25">
      <c r="A12" s="149" t="s">
        <v>12</v>
      </c>
      <c r="B12" s="150"/>
      <c r="C12" s="150"/>
      <c r="D12" s="150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100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22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73"/>
      <c r="J17" s="174"/>
      <c r="K17" s="173"/>
      <c r="L17" s="174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30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73"/>
      <c r="J18" s="174"/>
      <c r="K18" s="173"/>
      <c r="L18" s="174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73"/>
      <c r="J19" s="174"/>
      <c r="K19" s="173"/>
      <c r="L19" s="174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73"/>
      <c r="J20" s="174"/>
      <c r="K20" s="173"/>
      <c r="L20" s="174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73"/>
      <c r="J21" s="174"/>
      <c r="K21" s="173"/>
      <c r="L21" s="174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>PINK TINT</v>
      </c>
      <c r="B22" s="92"/>
      <c r="C22" s="96" t="s">
        <v>201</v>
      </c>
      <c r="D22" s="97"/>
      <c r="E22" s="93">
        <v>0.02</v>
      </c>
      <c r="F22" s="94"/>
      <c r="G22" s="39" t="s">
        <v>85</v>
      </c>
      <c r="H22" s="40"/>
      <c r="I22" s="173"/>
      <c r="J22" s="174"/>
      <c r="K22" s="173"/>
      <c r="L22" s="174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66"/>
      <c r="B23" s="166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73"/>
      <c r="J23" s="174"/>
      <c r="K23" s="173"/>
      <c r="L23" s="174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67"/>
      <c r="B24" s="168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73"/>
      <c r="J24" s="174"/>
      <c r="K24" s="173"/>
      <c r="L24" s="174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72"/>
      <c r="H27" s="172"/>
      <c r="I27" s="172"/>
      <c r="J27" s="172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72"/>
      <c r="H28" s="172"/>
      <c r="I28" s="172"/>
      <c r="J28" s="172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9" t="s">
        <v>98</v>
      </c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1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63" t="s">
        <v>135</v>
      </c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Sheet2!$A$33:$A$34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Sheet2!$A$37:$A$40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Sheet2!$A$53:$A$55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Sheet2!$N$54:$N$55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Sheet2!$A$43:$A$45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Sheet2!$A$58:$A$68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Sheet2!$A$48:$A$50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Sheet2!$A$9:$A$30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F33" sqref="F33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44681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44671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195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67" t="s">
        <v>200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U29" s="1"/>
      <c r="V29" s="1"/>
    </row>
    <row r="30" spans="1:23" x14ac:dyDescent="0.25">
      <c r="A30" s="67" t="s">
        <v>183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8"/>
      <c r="U30" s="1"/>
      <c r="V30" s="1"/>
    </row>
    <row r="31" spans="1:23" x14ac:dyDescent="0.25">
      <c r="A31" s="5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5" t="s">
        <v>27</v>
      </c>
      <c r="U31" s="1"/>
      <c r="V31" s="1"/>
    </row>
    <row r="32" spans="1:23" x14ac:dyDescent="0.25">
      <c r="A32" s="65" t="s">
        <v>45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 t="s">
        <v>167</v>
      </c>
      <c r="U32" s="1"/>
      <c r="V32" s="1"/>
    </row>
    <row r="33" spans="1:22" x14ac:dyDescent="0.25">
      <c r="A33" s="5" t="s">
        <v>29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110</v>
      </c>
      <c r="U33" s="1"/>
      <c r="V33" s="1"/>
    </row>
    <row r="34" spans="1:22" x14ac:dyDescent="0.25">
      <c r="A34" s="5" t="s">
        <v>33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130</v>
      </c>
      <c r="U34" s="1"/>
      <c r="V34" s="1"/>
    </row>
    <row r="35" spans="1:22" x14ac:dyDescent="0.25">
      <c r="A35" s="5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150</v>
      </c>
      <c r="U35" s="1"/>
      <c r="V35" s="1"/>
    </row>
    <row r="36" spans="1:22" x14ac:dyDescent="0.25">
      <c r="A36" s="65" t="s">
        <v>46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>
        <v>180</v>
      </c>
      <c r="U36" s="1"/>
      <c r="V36" s="1"/>
    </row>
    <row r="37" spans="1:22" x14ac:dyDescent="0.25">
      <c r="A37" s="5" t="s">
        <v>43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168</v>
      </c>
      <c r="U37" s="1"/>
      <c r="V37" s="1"/>
    </row>
    <row r="38" spans="1:22" x14ac:dyDescent="0.25">
      <c r="A38" s="5" t="s">
        <v>41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169</v>
      </c>
      <c r="U38" s="1"/>
      <c r="V38" s="1"/>
    </row>
    <row r="39" spans="1:22" x14ac:dyDescent="0.25">
      <c r="A39" s="5" t="s">
        <v>42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5" t="s">
        <v>37</v>
      </c>
      <c r="U39" s="1"/>
      <c r="V39" s="1"/>
    </row>
    <row r="40" spans="1:22" x14ac:dyDescent="0.25">
      <c r="A40" s="5" t="s">
        <v>44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</row>
    <row r="41" spans="1:22" x14ac:dyDescent="0.25">
      <c r="A41" s="63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5" t="s">
        <v>25</v>
      </c>
    </row>
    <row r="42" spans="1:22" x14ac:dyDescent="0.25">
      <c r="A42" s="65" t="s">
        <v>62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34</v>
      </c>
    </row>
    <row r="43" spans="1:22" x14ac:dyDescent="0.25">
      <c r="A43" s="5" t="s">
        <v>43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36</v>
      </c>
    </row>
    <row r="44" spans="1:22" x14ac:dyDescent="0.25">
      <c r="A44" s="5" t="s">
        <v>64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 t="s">
        <v>170</v>
      </c>
    </row>
    <row r="45" spans="1:22" x14ac:dyDescent="0.25">
      <c r="A45" s="5" t="s">
        <v>63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5"/>
    </row>
    <row r="46" spans="1:22" x14ac:dyDescent="0.25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5" t="s">
        <v>100</v>
      </c>
    </row>
    <row r="47" spans="1:22" x14ac:dyDescent="0.25">
      <c r="A47" s="65" t="s">
        <v>67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37</v>
      </c>
    </row>
    <row r="48" spans="1:22" x14ac:dyDescent="0.25">
      <c r="A48" s="5" t="s">
        <v>43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31</v>
      </c>
    </row>
    <row r="49" spans="1:20" x14ac:dyDescent="0.25">
      <c r="A49" s="5" t="s">
        <v>69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171</v>
      </c>
    </row>
    <row r="50" spans="1:20" x14ac:dyDescent="0.25">
      <c r="A50" s="5" t="s">
        <v>68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184</v>
      </c>
    </row>
    <row r="51" spans="1:20" x14ac:dyDescent="0.25">
      <c r="A51" s="63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5" t="s">
        <v>185</v>
      </c>
    </row>
    <row r="52" spans="1:20" x14ac:dyDescent="0.25">
      <c r="A52" s="65" t="s">
        <v>60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</row>
    <row r="53" spans="1:20" x14ac:dyDescent="0.25">
      <c r="A53" s="5" t="s">
        <v>43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4" t="s">
        <v>172</v>
      </c>
    </row>
    <row r="54" spans="1:20" x14ac:dyDescent="0.25">
      <c r="A54" s="5" t="s">
        <v>65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30</v>
      </c>
    </row>
    <row r="55" spans="1:20" x14ac:dyDescent="0.25">
      <c r="A55" s="5" t="s">
        <v>66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3" t="s">
        <v>22</v>
      </c>
    </row>
    <row r="56" spans="1:20" x14ac:dyDescent="0.25">
      <c r="A56" s="63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</row>
    <row r="57" spans="1:20" x14ac:dyDescent="0.25">
      <c r="A57" s="64" t="s">
        <v>61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5" t="s">
        <v>26</v>
      </c>
    </row>
    <row r="58" spans="1:20" x14ac:dyDescent="0.25">
      <c r="A58" s="63" t="s">
        <v>43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35</v>
      </c>
      <c r="O58" s="1"/>
      <c r="P58" s="1"/>
      <c r="Q58" s="1"/>
      <c r="R58" s="1"/>
      <c r="S58" s="1"/>
      <c r="T58" s="1"/>
    </row>
    <row r="59" spans="1:20" x14ac:dyDescent="0.25">
      <c r="A59" s="66" t="s">
        <v>176</v>
      </c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3" t="s">
        <v>32</v>
      </c>
    </row>
    <row r="60" spans="1:20" x14ac:dyDescent="0.25">
      <c r="A60" s="67" t="s">
        <v>154</v>
      </c>
    </row>
    <row r="61" spans="1:20" x14ac:dyDescent="0.25">
      <c r="A61" s="67" t="s">
        <v>147</v>
      </c>
      <c r="O61" s="1"/>
      <c r="Q61" s="1"/>
      <c r="R61" s="3"/>
      <c r="S61" s="1"/>
    </row>
    <row r="62" spans="1:20" x14ac:dyDescent="0.25">
      <c r="A62" s="67" t="s">
        <v>148</v>
      </c>
      <c r="O62" s="1"/>
      <c r="Q62" s="1"/>
      <c r="R62" s="1"/>
      <c r="S62" s="1"/>
    </row>
    <row r="63" spans="1:20" x14ac:dyDescent="0.25">
      <c r="A63" s="67" t="s">
        <v>149</v>
      </c>
      <c r="O63" s="1"/>
      <c r="Q63" s="1"/>
      <c r="R63" s="1"/>
      <c r="S63" s="1"/>
    </row>
    <row r="64" spans="1:20" x14ac:dyDescent="0.25">
      <c r="A64" s="67" t="s">
        <v>150</v>
      </c>
      <c r="O64" s="1"/>
      <c r="Q64" s="1"/>
      <c r="R64" s="1"/>
      <c r="S64" s="1"/>
      <c r="T64" s="1"/>
    </row>
    <row r="65" spans="1:20" x14ac:dyDescent="0.25">
      <c r="A65" s="67" t="s">
        <v>151</v>
      </c>
      <c r="O65" s="1"/>
      <c r="Q65" s="1"/>
      <c r="R65" s="1"/>
      <c r="S65" s="1"/>
      <c r="T65" s="1"/>
    </row>
    <row r="66" spans="1:20" x14ac:dyDescent="0.25">
      <c r="A66" s="67" t="s">
        <v>152</v>
      </c>
      <c r="N66" s="3"/>
      <c r="O66" s="1"/>
      <c r="P66" s="1"/>
      <c r="Q66" s="1"/>
      <c r="R66" s="1"/>
      <c r="S66" s="1"/>
      <c r="T66" s="1"/>
    </row>
    <row r="67" spans="1:20" x14ac:dyDescent="0.25">
      <c r="A67" s="67" t="s">
        <v>173</v>
      </c>
      <c r="N67" s="4"/>
      <c r="O67" s="1"/>
      <c r="P67" s="1"/>
      <c r="Q67" s="1"/>
      <c r="R67" s="1"/>
      <c r="S67" s="1"/>
      <c r="T67" s="1"/>
    </row>
    <row r="68" spans="1:20" x14ac:dyDescent="0.25">
      <c r="A68" s="67" t="s">
        <v>153</v>
      </c>
      <c r="N68" s="4"/>
      <c r="O68" s="1"/>
      <c r="P68" s="1"/>
      <c r="Q68" s="1"/>
      <c r="R68" s="1"/>
      <c r="S68" s="1"/>
      <c r="T68" s="1"/>
    </row>
    <row r="69" spans="1:20" x14ac:dyDescent="0.25">
      <c r="N69" s="4"/>
      <c r="O69" s="1"/>
      <c r="P69" s="1"/>
      <c r="Q69" s="1"/>
      <c r="R69" s="1"/>
      <c r="S69" s="1"/>
      <c r="T69" s="1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1BAB0CE-86F9-4D59-BBB3-E48295645383}"/>
</file>

<file path=customXml/itemProps2.xml><?xml version="1.0" encoding="utf-8"?>
<ds:datastoreItem xmlns:ds="http://schemas.openxmlformats.org/officeDocument/2006/customXml" ds:itemID="{1C391810-64BF-4874-98BE-DC287AD1FFCD}"/>
</file>

<file path=customXml/itemProps3.xml><?xml version="1.0" encoding="utf-8"?>
<ds:datastoreItem xmlns:ds="http://schemas.openxmlformats.org/officeDocument/2006/customXml" ds:itemID="{718E953A-8F04-4538-B46E-AF3E4A3C55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2022-03-30T01:24:39Z</cp:lastPrinted>
  <dcterms:created xsi:type="dcterms:W3CDTF">2019-11-27T23:28:06Z</dcterms:created>
  <dcterms:modified xsi:type="dcterms:W3CDTF">2022-03-30T04:05:10Z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