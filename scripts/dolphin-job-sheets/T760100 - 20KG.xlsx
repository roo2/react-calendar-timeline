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81C8BAA5-71C8-4E30-B297-085E16137251}" xr6:coauthVersionLast="47" xr6:coauthVersionMax="47" xr10:uidLastSave="{00000000-0000-0000-0000-000000000000}"/>
  <bookViews>
    <workbookView xWindow="-90" yWindow="-90" windowWidth="19380" windowHeight="1038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<sst xmlns="http://schemas.openxmlformats.org/spreadsheetml/2006/main" count="224" uniqueCount="166">
  <si>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</si>
  <si>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</si>
  <si>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</si>
  <si>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</si>
  <si>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</si>
  <si>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</si>
  <si>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</si>
  <si>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</si>
  <si>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</si>
  <si>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</si>
  <si>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</si>
  <si>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</si>
  <si>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</si>
  <si>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</si>
  <si>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</si>
  <si>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</si>
  <si>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</si>
  <si>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</si>
  <si>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</si>
  <si>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</si>
  <si>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</si>
  <si>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</si>
  <si>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</si>
  <si>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</si>
  <si>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</si>
  <si>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</si>
  <si>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</si>
  <si>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</si>
  <si>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</si>
  <si>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</si>
  <si>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</si>
  <si>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</si>
  <si>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</si>
  <si>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</si>
  <si>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</si>
  <si>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</si>
  <si>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</si>
  <si>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</si>
  <si>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</si>
  <si>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</si>
  <si>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</si>
  <si>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</si>
  <si>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</si>
  <si>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</si>
  <si>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</si>
  <si>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</si>
  <si>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</si>
  <si>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</si>
  <si>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</si>
  <si>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</si>
  <si>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</si>
  <si>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</si>
  <si>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</si>
  <si>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</si>
  <si>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</si>
  <si>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</si>
  <si>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</si>
  <si>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</si>
  <si>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</si>
  <si>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</si>
  <si>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</si>
  <si>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</si>
  <si>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</si>
  <si>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</si>
  <si>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</si>
  <si>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</si>
  <si>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</si>
  <si>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</si>
  <si>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</si>
  <si>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</si>
  <si>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</si>
  <si>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</si>
  <si>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</si>
  <si>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</si>
  <si>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</si>
  <si>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</si>
  <si>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</si>
  <si>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</si>
  <si>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</si>
  <si>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</si>
  <si>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</si>
  <si>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</si>
  <si>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</si>
  <si>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</si>
  <si>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</si>
  <si>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</si>
  <si>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</si>
  <si>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</si>
  <si>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</si>
  <si>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</si>
  <si>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</si>
  <si>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</si>
  <si>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</si>
  <si>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</si>
  <si>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</si>
  <si>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</si>
  <si>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</si>
  <si>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</si>
  <si>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</si>
  <si>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</si>
  <si>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</si>
  <si>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</si>
  <si>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</si>
  <si>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</si>
  <si>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</si>
  <si>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</si>
  <si>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</si>
  <si>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</si>
  <si>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</si>
  <si>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</si>
  <si>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</si>
  <si>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</si>
  <si>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</si>
  <si>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</si>
  <si>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</si>
  <si>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</si>
  <si>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</si>
  <si>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</si>
  <si>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</si>
  <si>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</si>
  <si>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</si>
  <si>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</si>
  <si>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</si>
  <si>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</si>
  <si>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</si>
  <si>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</si>
  <si>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</si>
  <si>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</si>
  <si>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</si>
  <si>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</si>
  <si>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</si>
  <si>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</si>
  <si>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</si>
  <si>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</si>
  <si>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</si>
  <si>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</si>
  <si>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</si>
  <si>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</si>
  <si>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</si>
  <si>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</si>
  <si>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</si>
  <si>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</si>
  <si>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</si>
  <si>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</si>
  <si>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</si>
  <si>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</si>
  <si>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</si>
  <si>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</si>
  <si>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</si>
  <si>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</si>
  <si>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</si>
  <si>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</si>
  <si>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</si>
  <si>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</si>
  <si>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</si>
  <si>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</si>
  <si>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</si>
  <si>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</si>
  <si>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</si>
  <si>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</si>
  <si>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</si>
  <si>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</si>
  <si>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</si>
  <si>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+/- 5mm</t>
  </si>
  <si>
    <t>NOT OVER</t>
  </si>
  <si>
    <t>FROMM PACKAGING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</si>
</sst>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1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3" fillId="0" borderId="6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3" fillId="4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R6" sqref="R6"/>
    </sheetView>
  </sheetViews>
  <sheetFormatPr defaultRowHeight="14.75" x14ac:dyDescent="0.75"/>
  <sheetData>
    <row r="1" spans="1:14" ht="20.149999999999999" customHeight="1" x14ac:dyDescent="0.8">
      <c r="A1" s="11" t="s">
        <v>54</v>
      </c>
      <c r="B1" s="61" t="str">
        <f>IF(B7="Tube","T",IF(B7="Cont Sheet Roll","SR",IF(B7="Cont Centrefold","CFR")))&amp;B8&amp;IF(E8="","","("&amp;E8&amp;")")&amp;H8&amp;(IF(K11="INLINE","P",IF(K11="OUT OF LINE","P",IF(K11="NONE",""))))&amp;C24&amp;C25</f>
        <v>T760100</v>
      </c>
      <c r="C1" s="61"/>
      <c r="D1" s="62"/>
      <c r="E1" s="11" t="s">
        <v>55</v>
      </c>
      <c r="F1" s="51" t="s">
        <v>165</v>
      </c>
      <c r="G1" s="51"/>
      <c r="H1" s="52"/>
      <c r="I1" s="11" t="s">
        <v>147</v>
      </c>
      <c r="J1" s="76">
        <f ca="1">TODAY()</f>
        <v>45747</v>
      </c>
      <c r="K1" s="76"/>
      <c r="L1" s="77"/>
    </row>
    <row r="2" spans="1:14" ht="20.149999999999999" customHeight="1" x14ac:dyDescent="0.8">
      <c r="A2" s="11" t="s">
        <v>94</v>
      </c>
      <c r="B2" s="65" t="str">
        <f>IF(B7="Tube",(ROUNDUP(E11,0)&amp;"KG"),(ROUNDUP(H11,0)&amp;"M"))</f>
        <v>20KG</v>
      </c>
      <c r="C2" s="65"/>
      <c r="D2" s="66"/>
      <c r="E2" s="11" t="s">
        <v>56</v>
      </c>
      <c r="F2" s="51">
        <v>949643</v>
      </c>
      <c r="G2" s="51"/>
      <c r="H2" s="52"/>
      <c r="I2" s="11" t="s">
        <v>57</v>
      </c>
      <c r="J2" s="78">
        <v>45768</v>
      </c>
      <c r="K2" s="51"/>
      <c r="L2" s="52"/>
    </row>
    <row r="3" spans="1:14" ht="20.149999999999999" customHeight="1" x14ac:dyDescent="0.75">
      <c r="A3" s="67"/>
      <c r="B3" s="68"/>
      <c r="C3" s="68"/>
      <c r="D3" s="68"/>
      <c r="E3" s="68"/>
      <c r="F3" s="68"/>
      <c r="G3" s="68"/>
      <c r="H3" s="68"/>
      <c r="I3" s="68"/>
      <c r="J3" s="68"/>
      <c r="K3" s="68"/>
      <c r="L3" s="69"/>
    </row>
    <row r="4" spans="1:14" ht="20.149999999999999" customHeight="1" x14ac:dyDescent="0.75">
      <c r="A4" s="70"/>
      <c r="B4" s="71"/>
      <c r="C4" s="71"/>
      <c r="D4" s="71"/>
      <c r="E4" s="71"/>
      <c r="F4" s="71"/>
      <c r="G4" s="71"/>
      <c r="H4" s="71"/>
      <c r="I4" s="71"/>
      <c r="J4" s="71"/>
      <c r="K4" s="71"/>
      <c r="L4" s="72"/>
    </row>
    <row r="5" spans="1:14" ht="20.149999999999999" customHeight="1" x14ac:dyDescent="0.75">
      <c r="A5" s="73"/>
      <c r="B5" s="74"/>
      <c r="C5" s="74"/>
      <c r="D5" s="74"/>
      <c r="E5" s="74"/>
      <c r="F5" s="74"/>
      <c r="G5" s="74"/>
      <c r="H5" s="74"/>
      <c r="I5" s="74"/>
      <c r="J5" s="74"/>
      <c r="K5" s="74"/>
      <c r="L5" s="75"/>
    </row>
    <row r="6" spans="1:14" ht="20.149999999999999" customHeight="1" x14ac:dyDescent="0.75">
      <c r="A6" s="58" t="s">
        <v>1</v>
      </c>
      <c r="B6" s="59"/>
      <c r="C6" s="59"/>
      <c r="D6" s="59"/>
      <c r="E6" s="59"/>
      <c r="F6" s="59"/>
      <c r="G6" s="59"/>
      <c r="H6" s="59"/>
      <c r="I6" s="59"/>
      <c r="J6" s="79"/>
      <c r="K6" s="79"/>
      <c r="L6" s="80"/>
    </row>
    <row r="7" spans="1:14" ht="20.149999999999999" customHeight="1" x14ac:dyDescent="0.9">
      <c r="A7" s="11" t="s">
        <v>157</v>
      </c>
      <c r="B7" s="51" t="s">
        <v>158</v>
      </c>
      <c r="C7" s="52"/>
      <c r="D7" s="11" t="s">
        <v>47</v>
      </c>
      <c r="E7" s="107" t="s">
        <v>131</v>
      </c>
      <c r="F7" s="107"/>
      <c r="G7" s="107"/>
      <c r="H7" s="107"/>
      <c r="I7" s="107"/>
      <c r="J7" s="91" t="s">
        <v>145</v>
      </c>
      <c r="K7" s="91"/>
      <c r="L7" s="92"/>
    </row>
    <row r="8" spans="1:14" ht="20.149999999999999" customHeight="1" x14ac:dyDescent="0.8">
      <c r="A8" s="12" t="s">
        <v>14</v>
      </c>
      <c r="B8" s="97">
        <v>760</v>
      </c>
      <c r="C8" s="98"/>
      <c r="D8" s="12" t="str">
        <f>IF(B7="Tube","Gusset","Centrefold")</f>
        <v>Gusset</v>
      </c>
      <c r="E8" s="93" t="str">
        <f>IF(B7="Cont Centrefold",B8*2,"")</f>
        <v/>
      </c>
      <c r="F8" s="94"/>
      <c r="G8" s="12" t="s">
        <v>50</v>
      </c>
      <c r="H8" s="97">
        <v>100</v>
      </c>
      <c r="I8" s="98"/>
      <c r="J8" s="11" t="s">
        <v>52</v>
      </c>
      <c r="K8" s="61" t="str">
        <f>IF(ISNUMBER(SEARCH("+",E8,1)),"Gusset Tube","Layflat Tube")</f>
        <v>Layflat Tube</v>
      </c>
      <c r="L8" s="62"/>
    </row>
    <row r="9" spans="1:14" ht="20.149999999999999" customHeight="1" x14ac:dyDescent="0.9">
      <c r="A9" s="13" t="s">
        <v>46</v>
      </c>
      <c r="B9" s="81" t="s">
        <v>163</v>
      </c>
      <c r="C9" s="82"/>
      <c r="D9" s="46" t="str">
        <f>IF(K10="Middle","RUN 2 UP",IF(AND(B7="Cont Centrefold",B8=380),"RUN 2 UP",""))</f>
        <v/>
      </c>
      <c r="E9" s="47"/>
      <c r="F9" s="48"/>
      <c r="G9" s="13" t="s">
        <v>46</v>
      </c>
      <c r="H9" s="81" t="s">
        <v>164</v>
      </c>
      <c r="I9" s="82"/>
      <c r="J9" s="11" t="s">
        <v>53</v>
      </c>
      <c r="K9" s="51" t="s">
        <v>28</v>
      </c>
      <c r="L9" s="52"/>
    </row>
    <row r="10" spans="1:14" ht="20.149999999999999" customHeight="1" x14ac:dyDescent="0.8">
      <c r="A10" s="11" t="s">
        <v>49</v>
      </c>
      <c r="B10" s="51">
        <v>6</v>
      </c>
      <c r="C10" s="52"/>
      <c r="D10" s="36" t="s">
        <v>104</v>
      </c>
      <c r="E10" s="85">
        <f>E11*B10</f>
        <v>120</v>
      </c>
      <c r="F10" s="86"/>
      <c r="G10" s="11" t="s">
        <v>51</v>
      </c>
      <c r="H10" s="65">
        <f>H11*B10</f>
        <v>852.63157894736844</v>
      </c>
      <c r="I10" s="66"/>
      <c r="J10" s="11" t="s">
        <v>39</v>
      </c>
      <c r="K10" s="51" t="s">
        <v>42</v>
      </c>
      <c r="L10" s="52"/>
    </row>
    <row r="11" spans="1:14" s="43" customFormat="1" ht="20.149999999999999" customHeight="1" x14ac:dyDescent="0.8">
      <c r="A11" s="42" t="str">
        <f>IF(B7="Cont Sheet Roll","Sheet Rolls",IF(B7="Cont Centrefold","CF Rolls",""))</f>
        <v/>
      </c>
      <c r="B11" s="83" t="str">
        <f>IF(AND(B7="Cont Centrefold",D9="RUN 2 UP"),B10*2,IF(B7="Cont Centrefold",B10,IF(B7="Cont Sheet Roll",B10*2,"")))</f>
        <v/>
      </c>
      <c r="C11" s="84"/>
      <c r="D11" s="42" t="s">
        <v>105</v>
      </c>
      <c r="E11" s="87">
        <v>20</v>
      </c>
      <c r="F11" s="88"/>
      <c r="G11" s="42" t="s">
        <v>13</v>
      </c>
      <c r="H11" s="89">
        <f>E11*540000/B8/H8</f>
        <v>142.10526315789474</v>
      </c>
      <c r="I11" s="90"/>
      <c r="J11" s="42" t="s">
        <v>48</v>
      </c>
      <c r="K11" s="95" t="s">
        <v>42</v>
      </c>
      <c r="L11" s="96"/>
      <c r="N11"/>
    </row>
    <row r="12" spans="1:14" ht="20.149999999999999" customHeight="1" x14ac:dyDescent="0.75">
      <c r="A12" s="105" t="s">
        <v>11</v>
      </c>
      <c r="B12" s="106"/>
      <c r="C12" s="106"/>
      <c r="D12" s="106"/>
      <c r="E12" s="101"/>
      <c r="F12" s="101"/>
      <c r="G12" s="101"/>
      <c r="H12" s="101"/>
      <c r="I12" s="101"/>
      <c r="J12" s="101"/>
      <c r="K12" s="101"/>
      <c r="L12" s="102"/>
    </row>
    <row r="13" spans="1:14" ht="20.149999999999999" customHeight="1" x14ac:dyDescent="0.8">
      <c r="A13" s="11" t="s">
        <v>59</v>
      </c>
      <c r="B13" s="51" t="s">
        <v>42</v>
      </c>
      <c r="C13" s="51"/>
      <c r="D13" s="52"/>
      <c r="E13" s="14" t="s">
        <v>60</v>
      </c>
      <c r="F13" s="51" t="s">
        <v>42</v>
      </c>
      <c r="G13" s="51"/>
      <c r="H13" s="52"/>
      <c r="I13" s="11" t="s">
        <v>61</v>
      </c>
      <c r="J13" s="51" t="s">
        <v>42</v>
      </c>
      <c r="K13" s="51"/>
      <c r="L13" s="52"/>
    </row>
    <row r="14" spans="1:14" ht="20.149999999999999" customHeight="1" x14ac:dyDescent="0.9">
      <c r="A14" s="12" t="s">
        <v>58</v>
      </c>
      <c r="B14" s="107"/>
      <c r="C14" s="107"/>
      <c r="D14" s="107"/>
      <c r="E14" s="107"/>
      <c r="F14" s="107"/>
      <c r="G14" s="107"/>
      <c r="H14" s="107"/>
      <c r="I14" s="107"/>
      <c r="J14" s="107"/>
      <c r="K14" s="107"/>
      <c r="L14" s="108"/>
    </row>
    <row r="15" spans="1:14" ht="20.149999999999999" customHeight="1" x14ac:dyDescent="0.75">
      <c r="A15" s="58" t="s">
        <v>70</v>
      </c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60"/>
    </row>
    <row r="16" spans="1:14" ht="20.149999999999999" customHeight="1" x14ac:dyDescent="0.8">
      <c r="A16" s="11" t="s">
        <v>71</v>
      </c>
      <c r="B16" s="51" t="s">
        <v>75</v>
      </c>
      <c r="C16" s="51"/>
      <c r="D16" s="52"/>
      <c r="E16" s="11" t="s">
        <v>72</v>
      </c>
      <c r="F16" s="61">
        <f>B10</f>
        <v>6</v>
      </c>
      <c r="G16" s="61"/>
      <c r="H16" s="62"/>
      <c r="I16" s="11" t="s">
        <v>74</v>
      </c>
      <c r="J16" s="51"/>
      <c r="K16" s="51"/>
      <c r="L16" s="52"/>
    </row>
    <row r="17" spans="1:12" ht="20.149999999999999" customHeight="1" x14ac:dyDescent="0.75">
      <c r="A17" s="53" t="s">
        <v>148</v>
      </c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5"/>
    </row>
    <row r="18" spans="1:12" ht="20.149999999999999" customHeight="1" x14ac:dyDescent="0.75">
      <c r="A18" s="99" t="s">
        <v>2</v>
      </c>
      <c r="B18" s="92"/>
      <c r="C18" s="99" t="s">
        <v>111</v>
      </c>
      <c r="D18" s="92"/>
      <c r="E18" s="99" t="s">
        <v>3</v>
      </c>
      <c r="F18" s="92"/>
      <c r="G18" s="99" t="s">
        <v>4</v>
      </c>
      <c r="H18" s="92"/>
      <c r="I18" s="99" t="s">
        <v>9</v>
      </c>
      <c r="J18" s="92"/>
      <c r="K18" s="99" t="s">
        <v>10</v>
      </c>
      <c r="L18" s="92"/>
    </row>
    <row r="19" spans="1:12" ht="20.149999999999999" customHeight="1" x14ac:dyDescent="0.75">
      <c r="A19" s="49" t="s">
        <v>5</v>
      </c>
      <c r="B19" s="49"/>
      <c r="C19" s="63" t="s">
        <v>115</v>
      </c>
      <c r="D19" s="64"/>
      <c r="E19" s="103"/>
      <c r="F19" s="104"/>
      <c r="G19" s="10" t="s">
        <v>76</v>
      </c>
      <c r="H19" s="31"/>
      <c r="I19" s="56"/>
      <c r="J19" s="57"/>
      <c r="K19" s="56"/>
      <c r="L19" s="57"/>
    </row>
    <row r="20" spans="1:12" ht="20.149999999999999" customHeight="1" x14ac:dyDescent="0.75">
      <c r="A20" s="49" t="s">
        <v>6</v>
      </c>
      <c r="B20" s="49"/>
      <c r="C20" s="63" t="s">
        <v>114</v>
      </c>
      <c r="D20" s="64"/>
      <c r="E20" s="103"/>
      <c r="F20" s="104"/>
      <c r="G20" s="10" t="s">
        <v>77</v>
      </c>
      <c r="H20" s="31"/>
      <c r="I20" s="56"/>
      <c r="J20" s="57"/>
      <c r="K20" s="56"/>
      <c r="L20" s="57"/>
    </row>
    <row r="21" spans="1:12" ht="20.149999999999999" customHeight="1" x14ac:dyDescent="0.75">
      <c r="A21" s="49" t="s">
        <v>7</v>
      </c>
      <c r="B21" s="49"/>
      <c r="C21" s="63" t="s">
        <v>113</v>
      </c>
      <c r="D21" s="64"/>
      <c r="E21" s="103"/>
      <c r="F21" s="104"/>
      <c r="G21" s="10" t="s">
        <v>78</v>
      </c>
      <c r="H21" s="31"/>
      <c r="I21" s="56"/>
      <c r="J21" s="57"/>
      <c r="K21" s="56"/>
      <c r="L21" s="57"/>
    </row>
    <row r="22" spans="1:12" ht="20.149999999999999" customHeight="1" x14ac:dyDescent="0.75">
      <c r="A22" s="49" t="s">
        <v>8</v>
      </c>
      <c r="B22" s="49"/>
      <c r="C22" s="63" t="s">
        <v>112</v>
      </c>
      <c r="D22" s="64"/>
      <c r="E22" s="103"/>
      <c r="F22" s="104"/>
      <c r="G22" s="10" t="s">
        <v>79</v>
      </c>
      <c r="H22" s="31"/>
      <c r="I22" s="56"/>
      <c r="J22" s="57"/>
      <c r="K22" s="56"/>
      <c r="L22" s="57"/>
    </row>
    <row r="23" spans="1:12" ht="20.149999999999999" customHeight="1" x14ac:dyDescent="0.75">
      <c r="A23" s="49" t="s">
        <v>149</v>
      </c>
      <c r="B23" s="49"/>
      <c r="C23" s="63" t="s">
        <v>150</v>
      </c>
      <c r="D23" s="64"/>
      <c r="E23" s="103"/>
      <c r="F23" s="104"/>
      <c r="G23" s="10" t="s">
        <v>80</v>
      </c>
      <c r="H23" s="31"/>
      <c r="I23" s="56"/>
      <c r="J23" s="57"/>
      <c r="K23" s="56"/>
      <c r="L23" s="57"/>
    </row>
    <row r="24" spans="1:12" ht="20.149999999999999" customHeight="1" x14ac:dyDescent="0.75">
      <c r="A24" s="49" t="str">
        <f>(IF(E7="NATURAL","",E7))</f>
        <v/>
      </c>
      <c r="B24" s="49"/>
      <c r="C24" s="119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20"/>
      <c r="E24" s="103"/>
      <c r="F24" s="104"/>
      <c r="G24" s="10" t="s">
        <v>81</v>
      </c>
      <c r="H24" s="31"/>
      <c r="I24" s="56"/>
      <c r="J24" s="57"/>
      <c r="K24" s="56"/>
      <c r="L24" s="57"/>
    </row>
    <row r="25" spans="1:12" ht="20.149999999999999" customHeight="1" x14ac:dyDescent="0.75">
      <c r="A25" s="49"/>
      <c r="B25" s="49"/>
      <c r="C25" s="63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64"/>
      <c r="E25" s="103"/>
      <c r="F25" s="104"/>
      <c r="G25" s="10" t="s">
        <v>82</v>
      </c>
      <c r="H25" s="31"/>
      <c r="I25" s="56"/>
      <c r="J25" s="57"/>
      <c r="K25" s="56"/>
      <c r="L25" s="57"/>
    </row>
    <row r="26" spans="1:12" ht="20.149999999999999" customHeight="1" x14ac:dyDescent="0.75">
      <c r="A26" s="100" t="s">
        <v>0</v>
      </c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2"/>
    </row>
    <row r="27" spans="1:12" ht="20.149999999999999" customHeight="1" x14ac:dyDescent="0.75">
      <c r="A27" s="15"/>
      <c r="B27" s="16" t="s">
        <v>146</v>
      </c>
      <c r="C27" s="16" t="s">
        <v>86</v>
      </c>
      <c r="D27" s="17" t="s">
        <v>84</v>
      </c>
      <c r="E27" s="17" t="s">
        <v>85</v>
      </c>
      <c r="F27" s="17" t="s">
        <v>87</v>
      </c>
      <c r="G27" s="50" t="s">
        <v>103</v>
      </c>
      <c r="H27" s="50"/>
      <c r="I27" s="50" t="s">
        <v>102</v>
      </c>
      <c r="J27" s="50"/>
      <c r="K27" s="17" t="s">
        <v>88</v>
      </c>
      <c r="L27" s="17" t="s">
        <v>89</v>
      </c>
    </row>
    <row r="28" spans="1:12" ht="20.149999999999999" customHeight="1" x14ac:dyDescent="0.75">
      <c r="A28" s="16" t="s">
        <v>90</v>
      </c>
      <c r="B28" s="6"/>
      <c r="C28" s="6"/>
      <c r="D28" s="6"/>
      <c r="E28" s="7"/>
      <c r="F28" s="6"/>
      <c r="G28" s="45"/>
      <c r="H28" s="45"/>
      <c r="I28" s="45"/>
      <c r="J28" s="45"/>
      <c r="K28" s="6"/>
      <c r="L28" s="23"/>
    </row>
    <row r="29" spans="1:12" ht="20.149999999999999" customHeight="1" x14ac:dyDescent="0.75">
      <c r="A29" s="16" t="s">
        <v>91</v>
      </c>
      <c r="B29" s="6"/>
      <c r="C29" s="6"/>
      <c r="D29" s="6"/>
      <c r="E29" s="8"/>
      <c r="F29" s="6"/>
      <c r="G29" s="45"/>
      <c r="H29" s="45"/>
      <c r="I29" s="45"/>
      <c r="J29" s="45"/>
      <c r="K29" s="6"/>
      <c r="L29" s="23"/>
    </row>
    <row r="30" spans="1:12" ht="20.149999999999999" customHeight="1" x14ac:dyDescent="0.75">
      <c r="A30" s="105" t="s">
        <v>93</v>
      </c>
      <c r="B30" s="106"/>
      <c r="C30" s="106"/>
      <c r="D30" s="106"/>
      <c r="E30" s="106"/>
      <c r="F30" s="106"/>
      <c r="G30" s="106"/>
      <c r="H30" s="106"/>
      <c r="I30" s="106"/>
      <c r="J30" s="106"/>
      <c r="K30" s="106"/>
      <c r="L30" s="118"/>
    </row>
    <row r="31" spans="1:12" ht="20.149999999999999" customHeight="1" x14ac:dyDescent="0.75">
      <c r="A31" s="19" t="s">
        <v>100</v>
      </c>
      <c r="B31" s="24"/>
      <c r="C31" s="22"/>
      <c r="D31" s="19" t="s">
        <v>86</v>
      </c>
      <c r="E31" s="25"/>
      <c r="F31" s="22"/>
      <c r="G31" s="21" t="s">
        <v>92</v>
      </c>
      <c r="H31" s="26"/>
      <c r="I31" s="26"/>
      <c r="J31" s="27"/>
      <c r="K31" s="26"/>
      <c r="L31" s="28"/>
    </row>
    <row r="32" spans="1:12" ht="20.149999999999999" customHeight="1" x14ac:dyDescent="0.75">
      <c r="A32" s="19" t="s">
        <v>99</v>
      </c>
      <c r="B32" s="24"/>
      <c r="C32" s="22"/>
      <c r="D32" s="19" t="s">
        <v>97</v>
      </c>
      <c r="E32" s="25"/>
      <c r="F32" s="29"/>
      <c r="G32" s="19" t="s">
        <v>92</v>
      </c>
      <c r="H32" s="25"/>
      <c r="I32" s="25"/>
      <c r="J32" s="25"/>
      <c r="K32" s="25"/>
      <c r="L32" s="22"/>
    </row>
    <row r="33" spans="1:12" ht="20.149999999999999" customHeight="1" x14ac:dyDescent="0.75">
      <c r="A33" s="20" t="s">
        <v>98</v>
      </c>
      <c r="B33" s="30"/>
      <c r="C33" s="28"/>
      <c r="D33" s="20" t="s">
        <v>83</v>
      </c>
      <c r="E33" s="26"/>
      <c r="F33" s="28"/>
      <c r="G33" s="20" t="s">
        <v>96</v>
      </c>
      <c r="H33" s="26"/>
      <c r="I33" s="26"/>
      <c r="J33" s="26"/>
      <c r="K33" s="26"/>
      <c r="L33" s="28"/>
    </row>
    <row r="34" spans="1:12" ht="20.149999999999999" customHeight="1" x14ac:dyDescent="0.75">
      <c r="A34" s="109" t="s">
        <v>101</v>
      </c>
      <c r="B34" s="110"/>
      <c r="C34" s="110"/>
      <c r="D34" s="110"/>
      <c r="E34" s="110"/>
      <c r="F34" s="110"/>
      <c r="G34" s="110"/>
      <c r="H34" s="110"/>
      <c r="I34" s="110"/>
      <c r="J34" s="110"/>
      <c r="K34" s="110"/>
      <c r="L34" s="111"/>
    </row>
    <row r="35" spans="1:12" ht="20.149999999999999" customHeight="1" x14ac:dyDescent="0.75">
      <c r="A35" s="112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4"/>
    </row>
    <row r="36" spans="1:12" ht="20.149999999999999" customHeight="1" x14ac:dyDescent="0.75">
      <c r="A36" s="115"/>
      <c r="B36" s="116"/>
      <c r="C36" s="116"/>
      <c r="D36" s="116"/>
      <c r="E36" s="116"/>
      <c r="F36" s="116"/>
      <c r="G36" s="116"/>
      <c r="H36" s="116"/>
      <c r="I36" s="116"/>
      <c r="J36" s="116"/>
      <c r="K36" s="116"/>
      <c r="L36" s="117"/>
    </row>
    <row r="37" spans="1:12" ht="20.149999999999999" customHeight="1" x14ac:dyDescent="0.75">
      <c r="A37" s="53" t="s">
        <v>106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5"/>
    </row>
    <row r="38" spans="1:12" ht="20.149999999999999" customHeight="1" x14ac:dyDescent="0.75">
      <c r="A38" s="17" t="s">
        <v>12</v>
      </c>
      <c r="B38" s="1" t="s">
        <v>19</v>
      </c>
      <c r="C38" s="16" t="s">
        <v>27</v>
      </c>
      <c r="D38" s="17" t="s">
        <v>105</v>
      </c>
      <c r="E38" s="17" t="s">
        <v>13</v>
      </c>
      <c r="F38" s="17" t="s">
        <v>14</v>
      </c>
      <c r="G38" s="17" t="s">
        <v>50</v>
      </c>
      <c r="H38" s="18" t="s">
        <v>15</v>
      </c>
      <c r="I38" s="18" t="s">
        <v>16</v>
      </c>
      <c r="J38" s="17" t="s">
        <v>17</v>
      </c>
      <c r="K38" s="17" t="s">
        <v>18</v>
      </c>
      <c r="L38" s="17" t="s">
        <v>20</v>
      </c>
    </row>
    <row r="39" spans="1:12" ht="20.149999999999999" customHeight="1" x14ac:dyDescent="0.75">
      <c r="A39" s="16">
        <v>1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 ht="20.149999999999999" customHeight="1" x14ac:dyDescent="0.75">
      <c r="A40" s="16">
        <v>2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 ht="20.149999999999999" customHeight="1" x14ac:dyDescent="0.75">
      <c r="A41" s="16">
        <v>3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</row>
    <row r="42" spans="1:12" ht="20.149999999999999" customHeight="1" x14ac:dyDescent="0.75">
      <c r="A42" s="16">
        <v>4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</row>
    <row r="43" spans="1:12" ht="20.149999999999999" customHeight="1" x14ac:dyDescent="0.75">
      <c r="A43" s="32">
        <v>5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</row>
    <row r="44" spans="1:12" ht="20.149999999999999" customHeight="1" x14ac:dyDescent="0.75"/>
    <row r="45" spans="1:12" ht="20.149999999999999" customHeight="1" x14ac:dyDescent="0.75">
      <c r="A45" s="17" t="s">
        <v>12</v>
      </c>
      <c r="B45" s="16" t="s">
        <v>19</v>
      </c>
      <c r="C45" s="17" t="s">
        <v>105</v>
      </c>
      <c r="D45" s="17" t="s">
        <v>13</v>
      </c>
      <c r="E45" s="17" t="s">
        <v>14</v>
      </c>
      <c r="F45" s="17" t="s">
        <v>50</v>
      </c>
      <c r="G45" s="18" t="s">
        <v>15</v>
      </c>
      <c r="H45" s="18" t="s">
        <v>16</v>
      </c>
      <c r="I45" s="17" t="s">
        <v>27</v>
      </c>
      <c r="J45" s="17" t="s">
        <v>17</v>
      </c>
      <c r="K45" s="17" t="s">
        <v>18</v>
      </c>
      <c r="L45" s="17" t="s">
        <v>20</v>
      </c>
    </row>
    <row r="46" spans="1:12" ht="20.149999999999999" customHeight="1" x14ac:dyDescent="0.75">
      <c r="A46" s="16">
        <v>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</row>
    <row r="47" spans="1:12" ht="20.149999999999999" customHeight="1" x14ac:dyDescent="0.75">
      <c r="A47" s="16">
        <v>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</row>
    <row r="48" spans="1:12" ht="20.149999999999999" customHeight="1" x14ac:dyDescent="0.75">
      <c r="A48" s="16">
        <v>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</row>
    <row r="49" spans="1:12" ht="20.149999999999999" customHeight="1" x14ac:dyDescent="0.75">
      <c r="A49" s="16">
        <v>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</row>
    <row r="50" spans="1:12" ht="20.149999999999999" customHeight="1" x14ac:dyDescent="0.75">
      <c r="A50" s="32">
        <v>10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</row>
    <row r="51" spans="1:12" ht="20.149999999999999" customHeight="1" x14ac:dyDescent="0.75">
      <c r="A51" s="16">
        <v>11</v>
      </c>
      <c r="B51" s="34"/>
      <c r="C51" s="34"/>
      <c r="D51" s="34"/>
      <c r="E51" s="34"/>
      <c r="F51" s="34"/>
      <c r="G51" s="34"/>
      <c r="H51" s="34"/>
      <c r="I51" s="34"/>
      <c r="J51" s="34"/>
      <c r="K51" s="34"/>
      <c r="L51" s="34"/>
    </row>
    <row r="52" spans="1:12" ht="20.149999999999999" customHeight="1" x14ac:dyDescent="0.75">
      <c r="A52" s="16">
        <v>12</v>
      </c>
      <c r="B52" s="34"/>
      <c r="C52" s="34"/>
      <c r="D52" s="34"/>
      <c r="E52" s="34"/>
      <c r="F52" s="34"/>
      <c r="G52" s="34"/>
      <c r="H52" s="34"/>
      <c r="I52" s="34"/>
      <c r="J52" s="34"/>
      <c r="K52" s="34"/>
      <c r="L52" s="34"/>
    </row>
    <row r="53" spans="1:12" ht="20.149999999999999" customHeight="1" x14ac:dyDescent="0.75">
      <c r="A53" s="16">
        <v>13</v>
      </c>
      <c r="B53" s="34"/>
      <c r="C53" s="34"/>
      <c r="D53" s="34"/>
      <c r="E53" s="34"/>
      <c r="F53" s="34"/>
      <c r="G53" s="34"/>
      <c r="H53" s="34"/>
      <c r="I53" s="34"/>
      <c r="J53" s="34"/>
      <c r="K53" s="34"/>
      <c r="L53" s="34"/>
    </row>
    <row r="54" spans="1:12" ht="20.149999999999999" customHeight="1" x14ac:dyDescent="0.75">
      <c r="A54" s="16">
        <v>14</v>
      </c>
      <c r="B54" s="34"/>
      <c r="C54" s="34"/>
      <c r="D54" s="34"/>
      <c r="E54" s="34"/>
      <c r="F54" s="34"/>
      <c r="G54" s="34"/>
      <c r="H54" s="34"/>
      <c r="I54" s="34"/>
      <c r="J54" s="34"/>
      <c r="K54" s="34"/>
      <c r="L54" s="34"/>
    </row>
    <row r="55" spans="1:12" ht="20.149999999999999" customHeight="1" x14ac:dyDescent="0.75">
      <c r="A55" s="32">
        <v>15</v>
      </c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</row>
    <row r="56" spans="1:12" ht="20.149999999999999" customHeight="1" x14ac:dyDescent="0.75">
      <c r="A56" s="16">
        <v>16</v>
      </c>
      <c r="B56" s="34"/>
      <c r="C56" s="34"/>
      <c r="D56" s="34"/>
      <c r="E56" s="34"/>
      <c r="F56" s="34"/>
      <c r="G56" s="34"/>
      <c r="H56" s="34"/>
      <c r="I56" s="34"/>
      <c r="J56" s="34"/>
      <c r="K56" s="34"/>
      <c r="L56" s="34"/>
    </row>
    <row r="57" spans="1:12" ht="20.149999999999999" customHeight="1" x14ac:dyDescent="0.75">
      <c r="A57" s="16">
        <v>17</v>
      </c>
      <c r="B57" s="34"/>
      <c r="C57" s="34"/>
      <c r="D57" s="34"/>
      <c r="E57" s="34"/>
      <c r="F57" s="34"/>
      <c r="G57" s="34"/>
      <c r="H57" s="34"/>
      <c r="I57" s="34"/>
      <c r="J57" s="34"/>
      <c r="K57" s="34"/>
      <c r="L57" s="34"/>
    </row>
    <row r="58" spans="1:12" ht="20.149999999999999" customHeight="1" x14ac:dyDescent="0.75">
      <c r="A58" s="16">
        <v>18</v>
      </c>
      <c r="B58" s="34"/>
      <c r="C58" s="34"/>
      <c r="D58" s="34"/>
      <c r="E58" s="34"/>
      <c r="F58" s="34"/>
      <c r="G58" s="34"/>
      <c r="H58" s="34"/>
      <c r="I58" s="34"/>
      <c r="J58" s="34"/>
      <c r="K58" s="34"/>
      <c r="L58" s="34"/>
    </row>
    <row r="59" spans="1:12" ht="20.149999999999999" customHeight="1" x14ac:dyDescent="0.75">
      <c r="A59" s="16">
        <v>19</v>
      </c>
      <c r="B59" s="34"/>
      <c r="C59" s="34"/>
      <c r="D59" s="34"/>
      <c r="E59" s="34"/>
      <c r="F59" s="34"/>
      <c r="G59" s="34"/>
      <c r="H59" s="34"/>
      <c r="I59" s="34"/>
      <c r="J59" s="34"/>
      <c r="K59" s="34"/>
      <c r="L59" s="34"/>
    </row>
    <row r="60" spans="1:12" ht="20.149999999999999" customHeight="1" x14ac:dyDescent="0.75">
      <c r="A60" s="32">
        <v>20</v>
      </c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</row>
    <row r="61" spans="1:12" ht="20.149999999999999" customHeight="1" x14ac:dyDescent="0.75">
      <c r="A61" s="16">
        <v>21</v>
      </c>
      <c r="B61" s="34"/>
      <c r="C61" s="34"/>
      <c r="D61" s="34"/>
      <c r="E61" s="34"/>
      <c r="F61" s="34"/>
      <c r="G61" s="34"/>
      <c r="H61" s="34"/>
      <c r="I61" s="34"/>
      <c r="J61" s="34"/>
      <c r="K61" s="34"/>
      <c r="L61" s="34"/>
    </row>
    <row r="62" spans="1:12" ht="20.149999999999999" customHeight="1" x14ac:dyDescent="0.75">
      <c r="A62" s="16">
        <v>22</v>
      </c>
      <c r="B62" s="34"/>
      <c r="C62" s="34"/>
      <c r="D62" s="34"/>
      <c r="E62" s="34"/>
      <c r="F62" s="34"/>
      <c r="G62" s="34"/>
      <c r="H62" s="34"/>
      <c r="I62" s="34"/>
      <c r="J62" s="34"/>
      <c r="K62" s="34"/>
      <c r="L62" s="34"/>
    </row>
    <row r="63" spans="1:12" ht="20.149999999999999" customHeight="1" x14ac:dyDescent="0.75">
      <c r="A63" s="16">
        <v>23</v>
      </c>
      <c r="B63" s="34"/>
      <c r="C63" s="34"/>
      <c r="D63" s="34"/>
      <c r="E63" s="34"/>
      <c r="F63" s="34"/>
      <c r="G63" s="34"/>
      <c r="H63" s="34"/>
      <c r="I63" s="34"/>
      <c r="J63" s="34"/>
      <c r="K63" s="34"/>
      <c r="L63" s="34"/>
    </row>
    <row r="64" spans="1:12" ht="20.149999999999999" customHeight="1" x14ac:dyDescent="0.75">
      <c r="A64" s="16">
        <v>24</v>
      </c>
      <c r="B64" s="34"/>
      <c r="C64" s="34"/>
      <c r="D64" s="34"/>
      <c r="E64" s="34"/>
      <c r="F64" s="34"/>
      <c r="G64" s="34"/>
      <c r="H64" s="34"/>
      <c r="I64" s="34"/>
      <c r="J64" s="34"/>
      <c r="K64" s="34"/>
      <c r="L64" s="34"/>
    </row>
    <row r="65" spans="1:12" ht="20.149999999999999" customHeight="1" x14ac:dyDescent="0.75">
      <c r="A65" s="32">
        <v>25</v>
      </c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</row>
    <row r="66" spans="1:12" ht="20.149999999999999" customHeight="1" x14ac:dyDescent="0.75">
      <c r="A66" s="16">
        <v>26</v>
      </c>
      <c r="B66" s="34"/>
      <c r="C66" s="34"/>
      <c r="D66" s="34"/>
      <c r="E66" s="34"/>
      <c r="F66" s="34"/>
      <c r="G66" s="34"/>
      <c r="H66" s="34"/>
      <c r="I66" s="34"/>
      <c r="J66" s="34"/>
      <c r="K66" s="34"/>
      <c r="L66" s="34"/>
    </row>
    <row r="67" spans="1:12" ht="20.149999999999999" customHeight="1" x14ac:dyDescent="0.75">
      <c r="A67" s="16">
        <v>27</v>
      </c>
      <c r="B67" s="34"/>
      <c r="C67" s="34"/>
      <c r="D67" s="34"/>
      <c r="E67" s="34"/>
      <c r="F67" s="34"/>
      <c r="G67" s="34"/>
      <c r="H67" s="34"/>
      <c r="I67" s="34"/>
      <c r="J67" s="34"/>
      <c r="K67" s="34"/>
      <c r="L67" s="34"/>
    </row>
    <row r="68" spans="1:12" ht="20.149999999999999" customHeight="1" x14ac:dyDescent="0.75">
      <c r="A68" s="16">
        <v>28</v>
      </c>
      <c r="B68" s="34"/>
      <c r="C68" s="34"/>
      <c r="D68" s="34"/>
      <c r="E68" s="34"/>
      <c r="F68" s="34"/>
      <c r="G68" s="34"/>
      <c r="H68" s="34"/>
      <c r="I68" s="34"/>
      <c r="J68" s="34"/>
      <c r="K68" s="34"/>
      <c r="L68" s="34"/>
    </row>
    <row r="69" spans="1:12" ht="20.149999999999999" customHeight="1" x14ac:dyDescent="0.75">
      <c r="A69" s="16">
        <v>29</v>
      </c>
      <c r="B69" s="34"/>
      <c r="C69" s="34"/>
      <c r="D69" s="34"/>
      <c r="E69" s="34"/>
      <c r="F69" s="34"/>
      <c r="G69" s="34"/>
      <c r="H69" s="34"/>
      <c r="I69" s="34"/>
      <c r="J69" s="34"/>
      <c r="K69" s="34"/>
      <c r="L69" s="34"/>
    </row>
    <row r="70" spans="1:12" ht="20.149999999999999" customHeight="1" x14ac:dyDescent="0.75">
      <c r="A70" s="32">
        <v>30</v>
      </c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</row>
    <row r="71" spans="1:12" ht="20.149999999999999" customHeight="1" x14ac:dyDescent="0.75">
      <c r="A71" s="16">
        <v>31</v>
      </c>
      <c r="B71" s="34"/>
      <c r="C71" s="34"/>
      <c r="D71" s="34"/>
      <c r="E71" s="34"/>
      <c r="F71" s="34"/>
      <c r="G71" s="34"/>
      <c r="H71" s="34"/>
      <c r="I71" s="34"/>
      <c r="J71" s="34"/>
      <c r="K71" s="34"/>
      <c r="L71" s="34"/>
    </row>
    <row r="72" spans="1:12" ht="20.149999999999999" customHeight="1" x14ac:dyDescent="0.75">
      <c r="A72" s="16">
        <v>32</v>
      </c>
      <c r="B72" s="34"/>
      <c r="C72" s="34"/>
      <c r="D72" s="34"/>
      <c r="E72" s="34"/>
      <c r="F72" s="34"/>
      <c r="G72" s="34"/>
      <c r="H72" s="34"/>
      <c r="I72" s="34"/>
      <c r="J72" s="34"/>
      <c r="K72" s="34"/>
      <c r="L72" s="34"/>
    </row>
    <row r="73" spans="1:12" ht="20.149999999999999" customHeight="1" x14ac:dyDescent="0.75">
      <c r="A73" s="16">
        <v>33</v>
      </c>
      <c r="B73" s="34"/>
      <c r="C73" s="34"/>
      <c r="D73" s="34"/>
      <c r="E73" s="34"/>
      <c r="F73" s="34"/>
      <c r="G73" s="34"/>
      <c r="H73" s="34"/>
      <c r="I73" s="34"/>
      <c r="J73" s="34"/>
      <c r="K73" s="34"/>
      <c r="L73" s="34"/>
    </row>
    <row r="74" spans="1:12" ht="20.149999999999999" customHeight="1" x14ac:dyDescent="0.75">
      <c r="A74" s="16">
        <v>34</v>
      </c>
      <c r="B74" s="34"/>
      <c r="C74" s="34"/>
      <c r="D74" s="34"/>
      <c r="E74" s="34"/>
      <c r="F74" s="34"/>
      <c r="G74" s="34"/>
      <c r="H74" s="34"/>
      <c r="I74" s="34"/>
      <c r="J74" s="34"/>
      <c r="K74" s="34"/>
      <c r="L74" s="34"/>
    </row>
    <row r="75" spans="1:12" ht="20.149999999999999" customHeight="1" x14ac:dyDescent="0.75">
      <c r="A75" s="32">
        <v>35</v>
      </c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</row>
    <row r="76" spans="1:12" ht="20.149999999999999" customHeight="1" x14ac:dyDescent="0.75">
      <c r="A76" s="16">
        <v>36</v>
      </c>
      <c r="B76" s="34"/>
      <c r="C76" s="34"/>
      <c r="D76" s="34"/>
      <c r="E76" s="34"/>
      <c r="F76" s="34"/>
      <c r="G76" s="34"/>
      <c r="H76" s="34"/>
      <c r="I76" s="34"/>
      <c r="J76" s="34"/>
      <c r="K76" s="34"/>
      <c r="L76" s="34"/>
    </row>
    <row r="77" spans="1:12" ht="20.149999999999999" customHeight="1" x14ac:dyDescent="0.75">
      <c r="A77" s="16">
        <v>37</v>
      </c>
      <c r="B77" s="34"/>
      <c r="C77" s="34"/>
      <c r="D77" s="34"/>
      <c r="E77" s="34"/>
      <c r="F77" s="34"/>
      <c r="G77" s="34"/>
      <c r="H77" s="34"/>
      <c r="I77" s="34"/>
      <c r="J77" s="34"/>
      <c r="K77" s="34"/>
      <c r="L77" s="34"/>
    </row>
    <row r="78" spans="1:12" ht="20.149999999999999" customHeight="1" x14ac:dyDescent="0.75">
      <c r="A78" s="16">
        <v>38</v>
      </c>
      <c r="B78" s="34"/>
      <c r="C78" s="34"/>
      <c r="D78" s="34"/>
      <c r="E78" s="34"/>
      <c r="F78" s="34"/>
      <c r="G78" s="34"/>
      <c r="H78" s="34"/>
      <c r="I78" s="34"/>
      <c r="J78" s="34"/>
      <c r="K78" s="34"/>
      <c r="L78" s="34"/>
    </row>
    <row r="79" spans="1:12" ht="20.149999999999999" customHeight="1" x14ac:dyDescent="0.75">
      <c r="A79" s="16">
        <v>39</v>
      </c>
      <c r="B79" s="34"/>
      <c r="C79" s="34"/>
      <c r="D79" s="34"/>
      <c r="E79" s="34"/>
      <c r="F79" s="34"/>
      <c r="G79" s="34"/>
      <c r="H79" s="34"/>
      <c r="I79" s="34"/>
      <c r="J79" s="34"/>
      <c r="K79" s="34"/>
      <c r="L79" s="34"/>
    </row>
    <row r="80" spans="1:12" ht="20.149999999999999" customHeight="1" x14ac:dyDescent="0.75">
      <c r="A80" s="32">
        <v>40</v>
      </c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</row>
    <row r="81" spans="1:12" ht="20.149999999999999" customHeight="1" x14ac:dyDescent="0.75">
      <c r="A81" s="16">
        <v>41</v>
      </c>
      <c r="B81" s="34"/>
      <c r="C81" s="34"/>
      <c r="D81" s="34"/>
      <c r="E81" s="34"/>
      <c r="F81" s="34"/>
      <c r="G81" s="34"/>
      <c r="H81" s="34"/>
      <c r="I81" s="34"/>
      <c r="J81" s="34"/>
      <c r="K81" s="34"/>
      <c r="L81" s="34"/>
    </row>
    <row r="82" spans="1:12" ht="20.149999999999999" customHeight="1" x14ac:dyDescent="0.75">
      <c r="A82" s="16">
        <v>42</v>
      </c>
      <c r="B82" s="34"/>
      <c r="C82" s="34"/>
      <c r="D82" s="34"/>
      <c r="E82" s="34"/>
      <c r="F82" s="34"/>
      <c r="G82" s="34"/>
      <c r="H82" s="34"/>
      <c r="I82" s="34"/>
      <c r="J82" s="34"/>
      <c r="K82" s="34"/>
      <c r="L82" s="34"/>
    </row>
    <row r="83" spans="1:12" ht="20.149999999999999" customHeight="1" x14ac:dyDescent="0.75">
      <c r="A83" s="16">
        <v>43</v>
      </c>
      <c r="B83" s="34"/>
      <c r="C83" s="34"/>
      <c r="D83" s="34"/>
      <c r="E83" s="34"/>
      <c r="F83" s="34"/>
      <c r="G83" s="34"/>
      <c r="H83" s="34"/>
      <c r="I83" s="34"/>
      <c r="J83" s="34"/>
      <c r="K83" s="34"/>
      <c r="L83" s="34"/>
    </row>
    <row r="84" spans="1:12" ht="20.149999999999999" customHeight="1" x14ac:dyDescent="0.75">
      <c r="A84" s="16">
        <v>44</v>
      </c>
      <c r="B84" s="34"/>
      <c r="C84" s="34"/>
      <c r="D84" s="34"/>
      <c r="E84" s="34"/>
      <c r="F84" s="34"/>
      <c r="G84" s="34"/>
      <c r="H84" s="34"/>
      <c r="I84" s="34"/>
      <c r="J84" s="34"/>
      <c r="K84" s="34"/>
      <c r="L84" s="34"/>
    </row>
    <row r="85" spans="1:12" ht="20.149999999999999" customHeight="1" x14ac:dyDescent="0.75">
      <c r="A85" s="32">
        <v>45</v>
      </c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</row>
    <row r="86" spans="1:12" x14ac:dyDescent="0.75">
      <c r="A86" s="16">
        <v>46</v>
      </c>
      <c r="B86" s="34"/>
      <c r="C86" s="34"/>
      <c r="D86" s="34"/>
      <c r="E86" s="34"/>
      <c r="F86" s="34"/>
      <c r="G86" s="34"/>
      <c r="H86" s="34"/>
      <c r="I86" s="34"/>
      <c r="J86" s="34"/>
      <c r="K86" s="34"/>
      <c r="L86" s="34"/>
    </row>
  </sheetData>
  <sheetProtection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89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4.75" x14ac:dyDescent="0.75"/>
  <cols>
    <col min="1" max="1" width="9.26953125" bestFit="1" customWidth="1"/>
  </cols>
  <sheetData>
    <row r="1" spans="1:22" x14ac:dyDescent="0.75">
      <c r="A1" s="37" t="s">
        <v>37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75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</row>
    <row r="3" spans="1:22" x14ac:dyDescent="0.75">
      <c r="A3" s="39" t="s">
        <v>57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9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75">
      <c r="A4" s="44">
        <f ca="1">DATE(YEAR(Sheet1!J1),MONTH(Sheet1!J1)+1,DAY(Sheet1!J1))</f>
        <v>45778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75">
      <c r="A5" s="44">
        <f ca="1">DATE(YEAR(Sheet1!J1),MONTH(Sheet1!J1),DAY(Sheet1!J1)+21)</f>
        <v>45768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75">
      <c r="A6" s="5" t="s">
        <v>161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75">
      <c r="A7" s="5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1"/>
      <c r="P7" s="1"/>
      <c r="Q7" s="1"/>
      <c r="R7" s="1"/>
      <c r="S7" s="1"/>
      <c r="T7" s="1"/>
      <c r="U7" s="1"/>
      <c r="V7" s="1"/>
    </row>
    <row r="8" spans="1:22" x14ac:dyDescent="0.75">
      <c r="A8" s="38" t="s">
        <v>47</v>
      </c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9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75">
      <c r="A9" s="40" t="s">
        <v>131</v>
      </c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75">
      <c r="A10" s="40" t="s">
        <v>144</v>
      </c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75">
      <c r="A11" s="41" t="s">
        <v>123</v>
      </c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1"/>
      <c r="P11" s="1"/>
      <c r="Q11" s="1"/>
      <c r="R11" s="1"/>
      <c r="S11" s="1"/>
      <c r="T11" s="1"/>
      <c r="U11" s="1"/>
      <c r="V11" s="1"/>
    </row>
    <row r="12" spans="1:22" x14ac:dyDescent="0.75">
      <c r="A12" s="41" t="s">
        <v>116</v>
      </c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8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75">
      <c r="A13" s="41" t="s">
        <v>117</v>
      </c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75">
      <c r="A14" s="41" t="s">
        <v>118</v>
      </c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75">
      <c r="A15" s="41" t="s">
        <v>119</v>
      </c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1"/>
      <c r="P15" s="1"/>
      <c r="Q15" s="1"/>
      <c r="R15" s="1"/>
      <c r="S15" s="1"/>
      <c r="T15" s="1"/>
      <c r="U15" s="1"/>
      <c r="V15" s="1"/>
    </row>
    <row r="16" spans="1:22" x14ac:dyDescent="0.75">
      <c r="A16" s="41" t="s">
        <v>120</v>
      </c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8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75">
      <c r="A17" s="41" t="s">
        <v>121</v>
      </c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75">
      <c r="A18" s="41" t="s">
        <v>142</v>
      </c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75">
      <c r="A19" s="41" t="s">
        <v>122</v>
      </c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40"/>
      <c r="N19" s="37" t="s">
        <v>162</v>
      </c>
      <c r="T19" s="1"/>
      <c r="V19" s="1"/>
    </row>
    <row r="20" spans="1:23" x14ac:dyDescent="0.75">
      <c r="A20" s="41" t="s">
        <v>124</v>
      </c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40"/>
      <c r="N20" s="37" t="s">
        <v>134</v>
      </c>
      <c r="T20" s="1"/>
      <c r="V20" s="1"/>
    </row>
    <row r="21" spans="1:23" x14ac:dyDescent="0.75">
      <c r="A21" s="41" t="s">
        <v>125</v>
      </c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40"/>
      <c r="N21" s="37" t="s">
        <v>135</v>
      </c>
      <c r="T21" s="1"/>
      <c r="V21" s="1"/>
      <c r="W21" s="2"/>
    </row>
    <row r="22" spans="1:23" x14ac:dyDescent="0.75">
      <c r="A22" s="41" t="s">
        <v>126</v>
      </c>
      <c r="B22" s="37"/>
      <c r="C22" s="37"/>
      <c r="D22" s="37"/>
      <c r="E22" s="5"/>
      <c r="F22" s="37"/>
      <c r="G22" s="5"/>
      <c r="H22" s="37"/>
      <c r="I22" s="5"/>
      <c r="J22" s="37"/>
      <c r="K22" s="37"/>
      <c r="L22" s="37"/>
      <c r="M22" s="40"/>
      <c r="N22" s="40"/>
      <c r="T22" s="1"/>
      <c r="V22" s="1"/>
      <c r="W22" s="2"/>
    </row>
    <row r="23" spans="1:23" x14ac:dyDescent="0.75">
      <c r="A23" s="41" t="s">
        <v>127</v>
      </c>
      <c r="B23" s="37"/>
      <c r="C23" s="37"/>
      <c r="D23" s="37"/>
      <c r="E23" s="5"/>
      <c r="F23" s="37"/>
      <c r="G23" s="5"/>
      <c r="H23" s="37"/>
      <c r="I23" s="37"/>
      <c r="J23" s="37"/>
      <c r="K23" s="37"/>
      <c r="L23" s="37"/>
      <c r="M23" s="40"/>
      <c r="N23" s="38" t="s">
        <v>110</v>
      </c>
      <c r="T23" s="1"/>
      <c r="V23" s="1"/>
      <c r="W23" s="2"/>
    </row>
    <row r="24" spans="1:23" x14ac:dyDescent="0.75">
      <c r="A24" s="41" t="s">
        <v>128</v>
      </c>
      <c r="B24" s="37"/>
      <c r="C24" s="37"/>
      <c r="D24" s="37"/>
      <c r="E24" s="5"/>
      <c r="F24" s="37"/>
      <c r="G24" s="37"/>
      <c r="H24" s="37"/>
      <c r="I24" s="37"/>
      <c r="J24" s="37"/>
      <c r="K24" s="37"/>
      <c r="L24" s="37"/>
      <c r="M24" s="37"/>
      <c r="N24" s="37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75">
      <c r="A25" s="41" t="s">
        <v>129</v>
      </c>
      <c r="B25" s="37"/>
      <c r="C25" s="37"/>
      <c r="D25" s="37"/>
      <c r="E25" s="5"/>
      <c r="F25" s="37"/>
      <c r="G25" s="37"/>
      <c r="H25" s="37"/>
      <c r="I25" s="37"/>
      <c r="J25" s="37"/>
      <c r="K25" s="37"/>
      <c r="L25" s="37"/>
      <c r="M25" s="37"/>
      <c r="N25" s="37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75">
      <c r="A26" s="41" t="s">
        <v>130</v>
      </c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75">
      <c r="A27" s="41" t="s">
        <v>143</v>
      </c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75">
      <c r="A28" s="41" t="s">
        <v>151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 t="s">
        <v>109</v>
      </c>
      <c r="U28" s="1"/>
      <c r="V28" s="1"/>
    </row>
    <row r="29" spans="1:23" x14ac:dyDescent="0.75">
      <c r="A29" s="41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40"/>
      <c r="U29" s="1"/>
      <c r="V29" s="1"/>
    </row>
    <row r="30" spans="1:23" x14ac:dyDescent="0.75">
      <c r="A30" s="39" t="s">
        <v>157</v>
      </c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9" t="s">
        <v>26</v>
      </c>
      <c r="U30" s="1"/>
      <c r="V30" s="1"/>
    </row>
    <row r="31" spans="1:23" x14ac:dyDescent="0.75">
      <c r="A31" s="5" t="s">
        <v>158</v>
      </c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5" t="s">
        <v>136</v>
      </c>
      <c r="U31" s="1"/>
      <c r="V31" s="1"/>
    </row>
    <row r="32" spans="1:23" x14ac:dyDescent="0.75">
      <c r="A32" s="5" t="s">
        <v>159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5">
        <v>110</v>
      </c>
      <c r="U32" s="1"/>
      <c r="V32" s="1"/>
    </row>
    <row r="33" spans="1:22" x14ac:dyDescent="0.75">
      <c r="A33" s="5" t="s">
        <v>160</v>
      </c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5">
        <v>130</v>
      </c>
      <c r="U33" s="1"/>
      <c r="V33" s="1"/>
    </row>
    <row r="34" spans="1:22" x14ac:dyDescent="0.75">
      <c r="A34" s="5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5">
        <v>150</v>
      </c>
      <c r="U34" s="1"/>
      <c r="V34" s="1"/>
    </row>
    <row r="35" spans="1:22" x14ac:dyDescent="0.75">
      <c r="A35" s="39" t="s">
        <v>44</v>
      </c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5">
        <v>180</v>
      </c>
      <c r="U35" s="1"/>
      <c r="V35" s="1"/>
    </row>
    <row r="36" spans="1:22" x14ac:dyDescent="0.75">
      <c r="A36" s="5" t="s">
        <v>28</v>
      </c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5" t="s">
        <v>137</v>
      </c>
      <c r="U36" s="1"/>
      <c r="V36" s="1"/>
    </row>
    <row r="37" spans="1:22" x14ac:dyDescent="0.75">
      <c r="A37" s="5" t="s">
        <v>32</v>
      </c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5" t="s">
        <v>138</v>
      </c>
      <c r="U37" s="1"/>
      <c r="V37" s="1"/>
    </row>
    <row r="38" spans="1:22" x14ac:dyDescent="0.75">
      <c r="A38" s="5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5" t="s">
        <v>36</v>
      </c>
      <c r="U38" s="1"/>
      <c r="V38" s="1"/>
    </row>
    <row r="39" spans="1:22" x14ac:dyDescent="0.75">
      <c r="A39" s="39" t="s">
        <v>45</v>
      </c>
      <c r="B39" s="40"/>
      <c r="C39" s="40"/>
      <c r="D39" s="40"/>
      <c r="E39" s="40"/>
      <c r="F39" s="40"/>
      <c r="G39" s="40"/>
      <c r="H39" s="40"/>
      <c r="I39" s="40"/>
      <c r="J39" s="40"/>
      <c r="K39" s="40"/>
      <c r="L39" s="40"/>
      <c r="M39" s="40"/>
      <c r="N39" s="40"/>
    </row>
    <row r="40" spans="1:22" x14ac:dyDescent="0.75">
      <c r="A40" s="5" t="s">
        <v>42</v>
      </c>
      <c r="B40" s="40"/>
      <c r="C40" s="40"/>
      <c r="D40" s="40"/>
      <c r="E40" s="40"/>
      <c r="F40" s="40"/>
      <c r="G40" s="40"/>
      <c r="H40" s="40"/>
      <c r="I40" s="40"/>
      <c r="J40" s="40"/>
      <c r="K40" s="40"/>
      <c r="L40" s="40"/>
      <c r="M40" s="40"/>
      <c r="N40" s="39" t="s">
        <v>24</v>
      </c>
    </row>
    <row r="41" spans="1:22" x14ac:dyDescent="0.75">
      <c r="A41" s="5" t="s">
        <v>40</v>
      </c>
      <c r="B41" s="40"/>
      <c r="C41" s="40"/>
      <c r="D41" s="40"/>
      <c r="E41" s="40"/>
      <c r="F41" s="40"/>
      <c r="G41" s="40"/>
      <c r="H41" s="40"/>
      <c r="I41" s="40"/>
      <c r="J41" s="40"/>
      <c r="K41" s="40"/>
      <c r="L41" s="40"/>
      <c r="M41" s="40"/>
      <c r="N41" s="5" t="s">
        <v>33</v>
      </c>
    </row>
    <row r="42" spans="1:22" x14ac:dyDescent="0.75">
      <c r="A42" s="5" t="s">
        <v>41</v>
      </c>
      <c r="B42" s="40"/>
      <c r="C42" s="40"/>
      <c r="D42" s="40"/>
      <c r="E42" s="40"/>
      <c r="F42" s="40"/>
      <c r="G42" s="40"/>
      <c r="H42" s="40"/>
      <c r="I42" s="40"/>
      <c r="J42" s="40"/>
      <c r="K42" s="40"/>
      <c r="L42" s="40"/>
      <c r="M42" s="40"/>
      <c r="N42" s="5" t="s">
        <v>35</v>
      </c>
    </row>
    <row r="43" spans="1:22" x14ac:dyDescent="0.75">
      <c r="A43" s="5" t="s">
        <v>43</v>
      </c>
      <c r="B43" s="40"/>
      <c r="C43" s="40"/>
      <c r="D43" s="40"/>
      <c r="E43" s="40"/>
      <c r="F43" s="40"/>
      <c r="G43" s="40"/>
      <c r="H43" s="40"/>
      <c r="I43" s="40"/>
      <c r="J43" s="40"/>
      <c r="K43" s="40"/>
      <c r="L43" s="40"/>
      <c r="M43" s="40"/>
      <c r="N43" s="5" t="s">
        <v>139</v>
      </c>
    </row>
    <row r="44" spans="1:22" x14ac:dyDescent="0.75">
      <c r="A44" s="37"/>
      <c r="B44" s="40"/>
      <c r="C44" s="40"/>
      <c r="D44" s="40"/>
      <c r="E44" s="40"/>
      <c r="F44" s="40"/>
      <c r="G44" s="40"/>
      <c r="H44" s="40"/>
      <c r="I44" s="40"/>
      <c r="J44" s="40"/>
      <c r="K44" s="40"/>
      <c r="L44" s="40"/>
      <c r="M44" s="40"/>
      <c r="N44" s="5"/>
    </row>
    <row r="45" spans="1:22" x14ac:dyDescent="0.75">
      <c r="A45" s="39" t="s">
        <v>62</v>
      </c>
      <c r="B45" s="40"/>
      <c r="C45" s="40"/>
      <c r="D45" s="40"/>
      <c r="E45" s="40"/>
      <c r="F45" s="40"/>
      <c r="G45" s="40"/>
      <c r="H45" s="40"/>
      <c r="I45" s="40"/>
      <c r="J45" s="40"/>
      <c r="K45" s="40"/>
      <c r="L45" s="40"/>
      <c r="M45" s="40"/>
      <c r="N45" s="39" t="s">
        <v>95</v>
      </c>
    </row>
    <row r="46" spans="1:22" x14ac:dyDescent="0.75">
      <c r="A46" s="5" t="s">
        <v>42</v>
      </c>
      <c r="B46" s="40"/>
      <c r="C46" s="40"/>
      <c r="D46" s="40"/>
      <c r="E46" s="40"/>
      <c r="F46" s="40"/>
      <c r="G46" s="40"/>
      <c r="H46" s="40"/>
      <c r="I46" s="40"/>
      <c r="J46" s="40"/>
      <c r="K46" s="40"/>
      <c r="L46" s="40"/>
      <c r="M46" s="40"/>
      <c r="N46" s="5" t="s">
        <v>36</v>
      </c>
    </row>
    <row r="47" spans="1:22" x14ac:dyDescent="0.75">
      <c r="A47" s="5" t="s">
        <v>64</v>
      </c>
      <c r="B47" s="40"/>
      <c r="C47" s="40"/>
      <c r="D47" s="40"/>
      <c r="E47" s="40"/>
      <c r="F47" s="40"/>
      <c r="G47" s="40"/>
      <c r="H47" s="40"/>
      <c r="I47" s="40"/>
      <c r="J47" s="40"/>
      <c r="K47" s="40"/>
      <c r="L47" s="40"/>
      <c r="M47" s="40"/>
      <c r="N47" s="5" t="s">
        <v>30</v>
      </c>
    </row>
    <row r="48" spans="1:22" x14ac:dyDescent="0.75">
      <c r="A48" s="5" t="s">
        <v>63</v>
      </c>
      <c r="B48" s="40"/>
      <c r="C48" s="40"/>
      <c r="D48" s="40"/>
      <c r="E48" s="40"/>
      <c r="F48" s="40"/>
      <c r="G48" s="40"/>
      <c r="H48" s="40"/>
      <c r="I48" s="40"/>
      <c r="J48" s="40"/>
      <c r="K48" s="40"/>
      <c r="L48" s="40"/>
      <c r="M48" s="40"/>
      <c r="N48" s="5" t="s">
        <v>140</v>
      </c>
    </row>
    <row r="49" spans="1:20" x14ac:dyDescent="0.75">
      <c r="A49" s="40"/>
      <c r="B49" s="40"/>
      <c r="C49" s="40"/>
      <c r="D49" s="40"/>
      <c r="E49" s="40"/>
      <c r="F49" s="40"/>
      <c r="G49" s="40"/>
      <c r="H49" s="40"/>
      <c r="I49" s="40"/>
      <c r="J49" s="40"/>
      <c r="K49" s="40"/>
      <c r="L49" s="40"/>
      <c r="M49" s="40"/>
      <c r="N49" s="5" t="s">
        <v>152</v>
      </c>
    </row>
    <row r="50" spans="1:20" x14ac:dyDescent="0.75">
      <c r="A50" s="39" t="s">
        <v>67</v>
      </c>
      <c r="B50" s="40"/>
      <c r="C50" s="40"/>
      <c r="D50" s="40"/>
      <c r="E50" s="40"/>
      <c r="F50" s="40"/>
      <c r="G50" s="40"/>
      <c r="H50" s="40"/>
      <c r="I50" s="40"/>
      <c r="J50" s="40"/>
      <c r="K50" s="40"/>
      <c r="L50" s="40"/>
      <c r="M50" s="40"/>
      <c r="N50" s="5" t="s">
        <v>153</v>
      </c>
    </row>
    <row r="51" spans="1:20" x14ac:dyDescent="0.75">
      <c r="A51" s="5" t="s">
        <v>42</v>
      </c>
      <c r="B51" s="40"/>
      <c r="C51" s="40"/>
      <c r="D51" s="40"/>
      <c r="E51" s="40"/>
      <c r="F51" s="40"/>
      <c r="G51" s="40"/>
      <c r="H51" s="40"/>
      <c r="I51" s="40"/>
      <c r="J51" s="40"/>
      <c r="K51" s="40"/>
      <c r="L51" s="40"/>
      <c r="M51" s="40"/>
      <c r="N51" s="40"/>
    </row>
    <row r="52" spans="1:20" x14ac:dyDescent="0.75">
      <c r="A52" s="5" t="s">
        <v>69</v>
      </c>
      <c r="B52" s="40"/>
      <c r="C52" s="40"/>
      <c r="D52" s="40"/>
      <c r="E52" s="40"/>
      <c r="F52" s="40"/>
      <c r="G52" s="40"/>
      <c r="H52" s="40"/>
      <c r="I52" s="40"/>
      <c r="J52" s="40"/>
      <c r="K52" s="40"/>
      <c r="L52" s="40"/>
      <c r="M52" s="40"/>
      <c r="N52" s="38" t="s">
        <v>141</v>
      </c>
    </row>
    <row r="53" spans="1:20" x14ac:dyDescent="0.75">
      <c r="A53" s="5" t="s">
        <v>68</v>
      </c>
      <c r="B53" s="40"/>
      <c r="C53" s="40"/>
      <c r="D53" s="40"/>
      <c r="E53" s="40"/>
      <c r="F53" s="40"/>
      <c r="G53" s="40"/>
      <c r="H53" s="40"/>
      <c r="I53" s="40"/>
      <c r="J53" s="40"/>
      <c r="K53" s="40"/>
      <c r="L53" s="40"/>
      <c r="M53" s="40"/>
      <c r="N53" s="37" t="s">
        <v>29</v>
      </c>
    </row>
    <row r="54" spans="1:20" x14ac:dyDescent="0.75">
      <c r="A54" s="37"/>
      <c r="B54" s="40"/>
      <c r="C54" s="40"/>
      <c r="D54" s="40"/>
      <c r="E54" s="40"/>
      <c r="F54" s="40"/>
      <c r="G54" s="40"/>
      <c r="H54" s="40"/>
      <c r="I54" s="40"/>
      <c r="J54" s="40"/>
      <c r="K54" s="40"/>
      <c r="L54" s="40"/>
      <c r="M54" s="40"/>
      <c r="N54" s="37" t="s">
        <v>21</v>
      </c>
    </row>
    <row r="55" spans="1:20" x14ac:dyDescent="0.75">
      <c r="A55" s="39" t="s">
        <v>60</v>
      </c>
      <c r="B55" s="40"/>
      <c r="C55" s="40"/>
      <c r="D55" s="40"/>
      <c r="E55" s="40"/>
      <c r="F55" s="40"/>
      <c r="G55" s="40"/>
      <c r="H55" s="40"/>
      <c r="I55" s="40"/>
      <c r="J55" s="40"/>
      <c r="K55" s="40"/>
      <c r="L55" s="40"/>
      <c r="M55" s="40"/>
      <c r="N55" s="40"/>
    </row>
    <row r="56" spans="1:20" x14ac:dyDescent="0.75">
      <c r="A56" s="5" t="s">
        <v>42</v>
      </c>
      <c r="B56" s="40"/>
      <c r="C56" s="40"/>
      <c r="D56" s="40"/>
      <c r="E56" s="40"/>
      <c r="F56" s="40"/>
      <c r="G56" s="40"/>
      <c r="H56" s="40"/>
      <c r="I56" s="40"/>
      <c r="J56" s="40"/>
      <c r="K56" s="40"/>
      <c r="L56" s="40"/>
      <c r="M56" s="40"/>
      <c r="N56" s="39" t="s">
        <v>25</v>
      </c>
    </row>
    <row r="57" spans="1:20" x14ac:dyDescent="0.75">
      <c r="A57" s="5" t="s">
        <v>65</v>
      </c>
      <c r="B57" s="40"/>
      <c r="C57" s="40"/>
      <c r="D57" s="40"/>
      <c r="E57" s="40"/>
      <c r="F57" s="40"/>
      <c r="G57" s="40"/>
      <c r="H57" s="40"/>
      <c r="I57" s="40"/>
      <c r="J57" s="40"/>
      <c r="K57" s="40"/>
      <c r="L57" s="40"/>
      <c r="M57" s="40"/>
      <c r="N57" s="37" t="s">
        <v>34</v>
      </c>
      <c r="O57" s="1"/>
      <c r="P57" s="1"/>
      <c r="Q57" s="1"/>
      <c r="R57" s="1"/>
      <c r="S57" s="1"/>
      <c r="T57" s="1"/>
    </row>
    <row r="58" spans="1:20" x14ac:dyDescent="0.75">
      <c r="A58" s="5" t="s">
        <v>66</v>
      </c>
      <c r="B58" s="40"/>
      <c r="C58" s="40"/>
      <c r="D58" s="40"/>
      <c r="E58" s="40"/>
      <c r="F58" s="40"/>
      <c r="G58" s="40"/>
      <c r="H58" s="40"/>
      <c r="I58" s="40"/>
      <c r="J58" s="40"/>
      <c r="K58" s="40"/>
      <c r="L58" s="40"/>
      <c r="M58" s="40"/>
      <c r="N58" s="37" t="s">
        <v>31</v>
      </c>
    </row>
    <row r="59" spans="1:20" x14ac:dyDescent="0.75">
      <c r="A59" s="37"/>
    </row>
    <row r="60" spans="1:20" x14ac:dyDescent="0.75">
      <c r="A60" s="38" t="s">
        <v>61</v>
      </c>
      <c r="O60" s="1"/>
      <c r="Q60" s="1"/>
      <c r="R60" s="3"/>
      <c r="S60" s="1"/>
    </row>
    <row r="61" spans="1:20" x14ac:dyDescent="0.75">
      <c r="A61" s="37" t="s">
        <v>42</v>
      </c>
      <c r="O61" s="1"/>
      <c r="Q61" s="1"/>
      <c r="R61" s="1"/>
      <c r="S61" s="1"/>
    </row>
    <row r="62" spans="1:20" x14ac:dyDescent="0.75">
      <c r="A62" s="40" t="s">
        <v>144</v>
      </c>
      <c r="O62" s="1"/>
      <c r="Q62" s="1"/>
      <c r="R62" s="1"/>
      <c r="S62" s="1"/>
    </row>
    <row r="63" spans="1:20" x14ac:dyDescent="0.75">
      <c r="A63" s="41" t="s">
        <v>123</v>
      </c>
      <c r="O63" s="1"/>
      <c r="Q63" s="1"/>
      <c r="R63" s="1"/>
      <c r="S63" s="1"/>
      <c r="T63" s="1"/>
    </row>
    <row r="64" spans="1:20" x14ac:dyDescent="0.75">
      <c r="A64" s="41" t="s">
        <v>116</v>
      </c>
      <c r="O64" s="1"/>
      <c r="Q64" s="1"/>
      <c r="R64" s="1"/>
      <c r="S64" s="1"/>
      <c r="T64" s="1"/>
    </row>
    <row r="65" spans="1:20" x14ac:dyDescent="0.75">
      <c r="A65" s="41" t="s">
        <v>117</v>
      </c>
      <c r="N65" s="3"/>
      <c r="O65" s="1"/>
      <c r="P65" s="1"/>
      <c r="Q65" s="1"/>
      <c r="R65" s="1"/>
      <c r="S65" s="1"/>
      <c r="T65" s="1"/>
    </row>
    <row r="66" spans="1:20" x14ac:dyDescent="0.75">
      <c r="A66" s="41" t="s">
        <v>118</v>
      </c>
      <c r="N66" s="4"/>
      <c r="O66" s="1"/>
      <c r="P66" s="1"/>
      <c r="Q66" s="1"/>
      <c r="R66" s="1"/>
      <c r="S66" s="1"/>
      <c r="T66" s="1"/>
    </row>
    <row r="67" spans="1:20" x14ac:dyDescent="0.75">
      <c r="A67" s="41" t="s">
        <v>119</v>
      </c>
      <c r="N67" s="4"/>
      <c r="O67" s="1"/>
      <c r="P67" s="1"/>
      <c r="Q67" s="1"/>
      <c r="R67" s="1"/>
      <c r="S67" s="1"/>
      <c r="T67" s="1"/>
    </row>
    <row r="68" spans="1:20" x14ac:dyDescent="0.75">
      <c r="A68" s="41" t="s">
        <v>120</v>
      </c>
      <c r="N68" s="4"/>
      <c r="O68" s="1"/>
      <c r="P68" s="1"/>
      <c r="Q68" s="1"/>
      <c r="R68" s="1"/>
      <c r="S68" s="1"/>
      <c r="T68" s="1"/>
    </row>
    <row r="69" spans="1:20" x14ac:dyDescent="0.75">
      <c r="A69" s="41" t="s">
        <v>121</v>
      </c>
      <c r="N69" s="4"/>
    </row>
    <row r="70" spans="1:20" x14ac:dyDescent="0.75">
      <c r="A70" s="41" t="s">
        <v>142</v>
      </c>
    </row>
    <row r="71" spans="1:20" x14ac:dyDescent="0.75">
      <c r="A71" s="41" t="s">
        <v>122</v>
      </c>
    </row>
    <row r="72" spans="1:20" x14ac:dyDescent="0.75">
      <c r="A72" s="41" t="s">
        <v>120</v>
      </c>
    </row>
    <row r="73" spans="1:20" x14ac:dyDescent="0.75">
      <c r="A73" s="41" t="s">
        <v>121</v>
      </c>
    </row>
    <row r="74" spans="1:20" x14ac:dyDescent="0.75">
      <c r="A74" s="41" t="s">
        <v>142</v>
      </c>
    </row>
    <row r="75" spans="1:20" x14ac:dyDescent="0.75">
      <c r="A75" s="41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8E1C05B0-B6C6-4D9F-BB87-9863079E5716}"/>
</file>

<file path=customXml/itemProps2.xml><?xml version="1.0" encoding="utf-8"?>
<ds:datastoreItem xmlns:ds="http://schemas.openxmlformats.org/officeDocument/2006/customXml" ds:itemID="{22D5D729-649B-40AA-9C7F-6B45B0DFC94F}"/>
</file>

<file path=customXml/itemProps3.xml><?xml version="1.0" encoding="utf-8"?>
<ds:datastoreItem xmlns:ds="http://schemas.openxmlformats.org/officeDocument/2006/customXml" ds:itemID="{E7922CF1-7BBA-47E7-8782-4C7DFEFF830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 Shepherd</cp:lastModifiedBy>
  <cp:lastPrinted>2025-03-31T02:49:57Z</cp:lastPrinted>
  <dcterms:created xsi:type="dcterms:W3CDTF">2019-11-27T23:28:06Z</dcterms:created>
  <dcterms:modified xsi:type="dcterms:W3CDTF">2025-04-08T00:06:21Z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