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B117512F-53B5-4536-8EC6-E2B76AB4C4CE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<sst xmlns="http://schemas.openxmlformats.org/spreadsheetml/2006/main" count="302" uniqueCount="200">
  <si>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</si>
  <si>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</si>
  <si>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</si>
  <si>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</si>
  <si>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</si>
  <si>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</si>
  <si>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</si>
  <si>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</si>
  <si>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</si>
  <si>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</si>
  <si>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</si>
  <si>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</si>
  <si>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</si>
  <si>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</si>
  <si>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</si>
  <si>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</si>
  <si>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</si>
  <si>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</si>
  <si>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</si>
  <si>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</si>
  <si>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</si>
  <si>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</si>
  <si>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</si>
  <si>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</si>
  <si>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</si>
  <si>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</si>
  <si>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</si>
  <si>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</si>
  <si>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</si>
  <si>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</si>
  <si>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</si>
  <si>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</si>
  <si>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</si>
  <si>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</si>
  <si>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</si>
  <si>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</si>
  <si>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</si>
  <si>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</si>
  <si>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</si>
  <si>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</si>
  <si>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</si>
  <si>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</si>
  <si>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</si>
  <si>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</si>
  <si>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</si>
  <si>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</si>
  <si>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</si>
  <si>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</si>
  <si>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</si>
  <si>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</si>
  <si>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</si>
  <si>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</si>
  <si>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</si>
  <si>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</si>
  <si>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</si>
  <si>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</si>
  <si>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</si>
  <si>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</si>
  <si>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</si>
  <si>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</si>
  <si>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</si>
  <si>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</si>
  <si>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</si>
  <si>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</si>
  <si>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</si>
  <si>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</si>
  <si>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</si>
  <si>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</si>
  <si>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</si>
  <si>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</si>
  <si>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</si>
  <si>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</si>
  <si>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</si>
  <si>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</si>
  <si>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</si>
  <si>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</si>
  <si>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</si>
  <si>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</si>
  <si>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</si>
  <si>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</si>
  <si>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</si>
  <si>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</si>
  <si>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</si>
  <si>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</si>
  <si>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</si>
  <si>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</si>
  <si>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</si>
  <si>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</si>
  <si>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</si>
  <si>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</si>
  <si>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</si>
  <si>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</si>
  <si>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</si>
  <si>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</si>
  <si>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</si>
  <si>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</si>
  <si>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</si>
  <si>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</si>
  <si>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</si>
  <si>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</si>
  <si>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</si>
  <si>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</si>
  <si>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</si>
  <si>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</si>
  <si>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</si>
  <si>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</si>
  <si>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</si>
  <si>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</si>
  <si>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</si>
  <si>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</si>
  <si>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</si>
  <si>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</si>
  <si>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</si>
  <si>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</si>
  <si>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</si>
  <si>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</si>
  <si>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</si>
  <si>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</si>
  <si>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</si>
  <si>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</si>
  <si>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</si>
  <si>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</si>
  <si>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</si>
  <si>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</si>
  <si>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</si>
  <si>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</si>
  <si>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</si>
  <si>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</si>
  <si>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</si>
  <si>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</si>
  <si>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</si>
  <si>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</si>
  <si>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</si>
  <si>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</si>
  <si>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</si>
  <si>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</si>
  <si>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</si>
  <si>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</si>
  <si>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</si>
  <si>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</si>
  <si>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</si>
  <si>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</si>
  <si>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</si>
  <si>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</si>
  <si>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</si>
  <si>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</si>
  <si>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</si>
  <si>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</si>
  <si>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</si>
  <si>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</si>
  <si>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</si>
  <si>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</si>
  <si>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</si>
  <si>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</si>
  <si>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</si>
  <si>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</si>
  <si>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</si>
  <si>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</si>
  <si>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</si>
  <si>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</si>
  <si>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</si>
  <si>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</si>
  <si>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</si>
  <si>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</si>
  <si>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</si>
  <si>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</si>
  <si>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</si>
  <si>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</si>
  <si>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</si>
  <si>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</si>
  <si>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</si>
  <si>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</si>
  <si>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</si>
  <si>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</si>
  <si>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</si>
  <si>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</si>
  <si>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</si>
  <si>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</si>
  <si>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</si>
  <si>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</si>
  <si>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</si>
  <si>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</si>
  <si>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</si>
  <si>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</si>
  <si>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</si>
  <si>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</si>
  <si>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</si>
  <si>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</si>
  <si>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</si>
  <si>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</si>
  <si>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</si>
  <si>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</si>
  <si>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</si>
  <si>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</si>
  <si>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ANSTEL</t>
  </si>
  <si>
    <t>(800+600)</t>
  </si>
  <si>
    <t>DP CHANGE PAD 6 PACK BLACK</t>
  </si>
  <si>
    <t xml:space="preserve"> +/- 5mm</t>
  </si>
  <si>
    <t xml:space="preserve"> +/- 5um</t>
  </si>
  <si>
    <t>MUST BE SPOT ON - CUSTOMER WILL REJECT IF GUSSET OUT OR GUAGE 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</si>
</sst>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B13" sqref="B13:D13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PBR1400G1100100BK</v>
      </c>
      <c r="C1" s="125"/>
      <c r="D1" s="126"/>
      <c r="E1" s="18" t="s">
        <v>56</v>
      </c>
      <c r="F1" s="149" t="s">
        <v>194</v>
      </c>
      <c r="G1" s="149"/>
      <c r="H1" s="150"/>
      <c r="I1" s="18" t="s">
        <v>180</v>
      </c>
      <c r="J1" s="146">
        <f ca="1">TODAY()</f>
        <v>43943</v>
      </c>
      <c r="K1" s="146"/>
      <c r="L1" s="147"/>
      <c r="M1" s="35"/>
      <c r="N1" s="18" t="s">
        <v>55</v>
      </c>
      <c r="O1" s="125" t="str">
        <f>B1</f>
        <v>PBR1400G1100100BK</v>
      </c>
      <c r="P1" s="125"/>
      <c r="Q1" s="126"/>
      <c r="R1" s="18" t="s">
        <v>56</v>
      </c>
      <c r="S1" s="125" t="str">
        <f>F1</f>
        <v>ANSTEL</v>
      </c>
      <c r="T1" s="125"/>
      <c r="U1" s="126"/>
      <c r="V1" s="18" t="s">
        <v>180</v>
      </c>
      <c r="W1" s="146">
        <f ca="1">J1</f>
        <v>43943</v>
      </c>
      <c r="X1" s="146"/>
      <c r="Y1" s="147"/>
    </row>
    <row r="2" spans="1:25" ht="20.100000000000001" customHeight="1" x14ac:dyDescent="0.25">
      <c r="A2" s="18" t="s">
        <v>99</v>
      </c>
      <c r="B2" s="125" t="str">
        <f>IF(U10="","",U10)</f>
        <v>DP CHANGE PAD 6 PACK BLACK</v>
      </c>
      <c r="C2" s="125"/>
      <c r="D2" s="126"/>
      <c r="E2" s="18" t="s">
        <v>57</v>
      </c>
      <c r="F2" s="104">
        <v>936669</v>
      </c>
      <c r="G2" s="104"/>
      <c r="H2" s="105"/>
      <c r="I2" s="18" t="s">
        <v>58</v>
      </c>
      <c r="J2" s="103">
        <v>43933</v>
      </c>
      <c r="K2" s="104"/>
      <c r="L2" s="105"/>
      <c r="M2" s="35"/>
      <c r="N2" s="18" t="s">
        <v>99</v>
      </c>
      <c r="O2" s="125" t="str">
        <f>IF(B2="","",B2)</f>
        <v>DP CHANGE PAD 6 PACK BLACK</v>
      </c>
      <c r="P2" s="125"/>
      <c r="Q2" s="126"/>
      <c r="R2" s="18" t="s">
        <v>57</v>
      </c>
      <c r="S2" s="125">
        <f>IF(F2="","",F2)</f>
        <v>936669</v>
      </c>
      <c r="T2" s="125"/>
      <c r="U2" s="126"/>
      <c r="V2" s="18" t="s">
        <v>58</v>
      </c>
      <c r="W2" s="148">
        <f>J2</f>
        <v>43933</v>
      </c>
      <c r="X2" s="125"/>
      <c r="Y2" s="126"/>
    </row>
    <row r="3" spans="1:25" ht="20.100000000000001" customHeight="1" x14ac:dyDescent="0.25">
      <c r="A3" s="137" t="s">
        <v>199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35"/>
      <c r="N3" s="137" t="str">
        <f>A3</f>
        <v>MUST BE SPOT ON - CUSTOMER WILL REJECT IF GUSSET OUT OR GUAGE WRONG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00000000000001" customHeight="1" x14ac:dyDescent="0.25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00000000000001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5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00000000000001" customHeight="1" x14ac:dyDescent="0.3">
      <c r="A7" s="18" t="s">
        <v>48</v>
      </c>
      <c r="B7" s="135" t="s">
        <v>176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30</v>
      </c>
      <c r="P7" s="105"/>
      <c r="Q7" s="18" t="str">
        <f>IF(ISNUMBER(SEARCH("roll",O8,1)),"Per Roll","Per Carton")</f>
        <v>Per Roll</v>
      </c>
      <c r="R7" s="104">
        <v>100</v>
      </c>
      <c r="S7" s="105"/>
      <c r="T7" s="18" t="str">
        <f>IF(ISNUMBER(SEARCH("bag",O8,1)),"Total Bags","Total Sheets")</f>
        <v>Total Bags</v>
      </c>
      <c r="U7" s="125">
        <f>R7*O7</f>
        <v>3000</v>
      </c>
      <c r="V7" s="126"/>
      <c r="W7" s="18" t="s">
        <v>101</v>
      </c>
      <c r="X7" s="104" t="s">
        <v>22</v>
      </c>
      <c r="Y7" s="105"/>
    </row>
    <row r="8" spans="1:25" ht="20.100000000000001" customHeight="1" x14ac:dyDescent="0.25">
      <c r="A8" s="19" t="s">
        <v>15</v>
      </c>
      <c r="B8" s="113">
        <f>R9</f>
        <v>1400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(800+600)</v>
      </c>
      <c r="F8" s="116"/>
      <c r="G8" s="19" t="s">
        <v>51</v>
      </c>
      <c r="H8" s="113">
        <f>(IF(V9&lt;30,"30",V9))</f>
        <v>100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Gusset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G</v>
      </c>
      <c r="Y8" s="151"/>
    </row>
    <row r="9" spans="1:25" ht="20.100000000000001" customHeight="1" x14ac:dyDescent="0.3">
      <c r="A9" s="23" t="s">
        <v>47</v>
      </c>
      <c r="B9" s="123" t="s">
        <v>197</v>
      </c>
      <c r="C9" s="124"/>
      <c r="D9" s="158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198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1400</v>
      </c>
      <c r="S9" s="25" t="s">
        <v>77</v>
      </c>
      <c r="T9" s="36">
        <v>1100</v>
      </c>
      <c r="U9" s="25" t="s">
        <v>77</v>
      </c>
      <c r="V9" s="36">
        <v>100</v>
      </c>
      <c r="W9" s="24"/>
      <c r="X9" s="110" t="s">
        <v>195</v>
      </c>
      <c r="Y9" s="111"/>
    </row>
    <row r="10" spans="1:25" ht="20.100000000000001" customHeight="1" x14ac:dyDescent="0.25">
      <c r="A10" s="18" t="s">
        <v>50</v>
      </c>
      <c r="B10" s="104">
        <v>30</v>
      </c>
      <c r="C10" s="105"/>
      <c r="D10" s="56" t="s">
        <v>133</v>
      </c>
      <c r="E10" s="127">
        <f>IF(ISNUMBER(SEARCH("sheet",O8,1)),((R9*T9*H8/540000)*U7/2000*1.3),((R9*T9*H8/540000)*U7/1000*1.08))</f>
        <v>924</v>
      </c>
      <c r="F10" s="128"/>
      <c r="G10" s="18" t="s">
        <v>52</v>
      </c>
      <c r="H10" s="131">
        <f>IF(ISNUMBER(SEARCH("sheet",O8,1)),(U7*T9/2000*1.08),(U7*T9/1000*1.08))</f>
        <v>3564.0000000000005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 t="s">
        <v>196</v>
      </c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30.8</v>
      </c>
      <c r="F11" s="130"/>
      <c r="G11" s="18" t="s">
        <v>14</v>
      </c>
      <c r="H11" s="129">
        <f>H10/B10</f>
        <v>118.80000000000001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5" t="s">
        <v>70</v>
      </c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7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30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4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22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9"/>
      <c r="Y16" s="160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22</v>
      </c>
      <c r="V17" s="105"/>
      <c r="W17" s="18" t="str">
        <f>IF(ISNUMBER(SEARCH("roll",O8,1)),"Total Rolls","Total Ctns")</f>
        <v>Total Rolls</v>
      </c>
      <c r="X17" s="159"/>
      <c r="Y17" s="160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9"/>
      <c r="Y18" s="160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>BLACK</v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4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5" t="s">
        <v>131</v>
      </c>
      <c r="H26" s="165"/>
      <c r="I26" s="165" t="s">
        <v>130</v>
      </c>
      <c r="J26" s="165"/>
      <c r="K26" s="12" t="s">
        <v>93</v>
      </c>
      <c r="L26" s="12" t="s">
        <v>94</v>
      </c>
      <c r="M26" s="35"/>
      <c r="N26" s="161" t="s">
        <v>136</v>
      </c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3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43973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43964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4DAA1CA-7CE0-4C38-A08E-1860E78711B5}"/>
</file>

<file path=customXml/itemProps2.xml><?xml version="1.0" encoding="utf-8"?>
<ds:datastoreItem xmlns:ds="http://schemas.openxmlformats.org/officeDocument/2006/customXml" ds:itemID="{A1531B1F-2423-4D0C-A44A-FE7563693AAF}"/>
</file>

<file path=customXml/itemProps3.xml><?xml version="1.0" encoding="utf-8"?>
<ds:datastoreItem xmlns:ds="http://schemas.openxmlformats.org/officeDocument/2006/customXml" ds:itemID="{472D53D9-184A-4F69-87A5-2CCFF0EBFA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2020-04-22T03:32:24Z</cp:lastPrinted>
  <dcterms:created xsi:type="dcterms:W3CDTF">2019-11-27T23:28:06Z</dcterms:created>
  <dcterms:modified xsi:type="dcterms:W3CDTF">2020-04-22T03:32:25Z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