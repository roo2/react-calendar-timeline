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078C882-A92E-4D11-BC0D-E7F19FF1C12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<sst xmlns="http://schemas.openxmlformats.org/spreadsheetml/2006/main" count="305" uniqueCount="200">
  <si>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</si>
  <si>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</si>
  <si>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</si>
  <si>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</si>
  <si>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</si>
  <si>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</si>
  <si>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</si>
  <si>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</si>
  <si>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</si>
  <si>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</si>
  <si>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</si>
  <si>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</si>
  <si>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</si>
  <si>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</si>
  <si>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</si>
  <si>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</si>
  <si>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</si>
  <si>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</si>
  <si>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</si>
  <si>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</si>
  <si>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</si>
  <si>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</si>
  <si>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</si>
  <si>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</si>
  <si>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</si>
  <si>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</si>
  <si>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</si>
  <si>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</si>
  <si>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</si>
  <si>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</si>
  <si>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</si>
  <si>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</si>
  <si>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</si>
  <si>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</si>
  <si>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</si>
  <si>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</si>
  <si>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</si>
  <si>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</si>
  <si>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</si>
  <si>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</si>
  <si>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</si>
  <si>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</si>
  <si>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</si>
  <si>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</si>
  <si>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</si>
  <si>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</si>
  <si>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</si>
  <si>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</si>
  <si>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</si>
  <si>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</si>
  <si>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</si>
  <si>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</si>
  <si>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</si>
  <si>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</si>
  <si>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</si>
  <si>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</si>
  <si>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</si>
  <si>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</si>
  <si>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</si>
  <si>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</si>
  <si>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</si>
  <si>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</si>
  <si>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</si>
  <si>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</si>
  <si>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</si>
  <si>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</si>
  <si>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</si>
  <si>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</si>
  <si>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</si>
  <si>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</si>
  <si>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</si>
  <si>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</si>
  <si>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</si>
  <si>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</si>
  <si>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</si>
  <si>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</si>
  <si>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</si>
  <si>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</si>
  <si>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</si>
  <si>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</si>
  <si>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</si>
  <si>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</si>
  <si>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</si>
  <si>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</si>
  <si>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</si>
  <si>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</si>
  <si>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</si>
  <si>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</si>
  <si>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</si>
  <si>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</si>
  <si>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</si>
  <si>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</si>
  <si>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</si>
  <si>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</si>
  <si>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</si>
  <si>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</si>
  <si>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</si>
  <si>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</si>
  <si>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</si>
  <si>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</si>
  <si>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</si>
  <si>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</si>
  <si>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</si>
  <si>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</si>
  <si>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</si>
  <si>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</si>
  <si>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</si>
  <si>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</si>
  <si>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</si>
  <si>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</si>
  <si>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</si>
  <si>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</si>
  <si>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</si>
  <si>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</si>
  <si>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</si>
  <si>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</si>
  <si>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</si>
  <si>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</si>
  <si>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</si>
  <si>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</si>
  <si>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</si>
  <si>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</si>
  <si>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</si>
  <si>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</si>
  <si>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</si>
  <si>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</si>
  <si>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</si>
  <si>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</si>
  <si>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</si>
  <si>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</si>
  <si>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</si>
  <si>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</si>
  <si>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</si>
  <si>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</si>
  <si>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</si>
  <si>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</si>
  <si>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</si>
  <si>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</si>
  <si>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</si>
  <si>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</si>
  <si>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</si>
  <si>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</si>
  <si>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</si>
  <si>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</si>
  <si>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</si>
  <si>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</si>
  <si>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</si>
  <si>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</si>
  <si>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</si>
  <si>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</si>
  <si>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</si>
  <si>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</si>
  <si>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</si>
  <si>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</si>
  <si>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</si>
  <si>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</si>
  <si>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</si>
  <si>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</si>
  <si>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</si>
  <si>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</si>
  <si>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</si>
  <si>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</si>
  <si>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</si>
  <si>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</si>
  <si>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</si>
  <si>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</si>
  <si>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</si>
  <si>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</si>
  <si>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</si>
  <si>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</si>
  <si>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</si>
  <si>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</si>
  <si>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</si>
  <si>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</si>
  <si>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</si>
  <si>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</si>
  <si>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</si>
  <si>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</si>
  <si>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</si>
  <si>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</si>
  <si>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</si>
  <si>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</si>
  <si>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</si>
  <si>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</si>
  <si>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</si>
  <si>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</si>
  <si>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</si>
  <si>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</si>
  <si>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</si>
  <si>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</si>
  <si>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</si>
  <si>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</si>
  <si>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</si>
  <si>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</si>
  <si>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</si>
  <si>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</si>
  <si>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>LIMAX</t>
  </si>
  <si>
    <r>
      <t xml:space="preserve"> </t>
    </r>
    <r>
      <rPr>
        <b/>
        <sz val="28"/>
        <color rgb="FFFA2A5C"/>
        <rFont val="Calibri"/>
        <family val="2"/>
        <scheme val="minor"/>
      </rPr>
      <t>-</t>
    </r>
    <r>
      <rPr>
        <b/>
        <sz val="12"/>
        <color rgb="FFFA2A5C"/>
        <rFont val="Calibri"/>
        <family val="2"/>
        <scheme val="minor"/>
      </rPr>
      <t>/5mm</t>
    </r>
  </si>
  <si>
    <t>OCEAN PETS</t>
  </si>
  <si>
    <t>PB125440100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</si>
</sst>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  <font>
      <b/>
      <sz val="28"/>
      <color rgb="FFFA2A5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9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9" fillId="8" borderId="2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8" fillId="5" borderId="2" xfId="0" applyNumberFormat="1" applyFont="1" applyFill="1" applyBorder="1" applyAlignment="1" applyProtection="1">
      <alignment horizontal="center"/>
      <protection locked="0"/>
    </xf>
    <xf numFmtId="14" fontId="18" fillId="5" borderId="5" xfId="0" applyNumberFormat="1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B1" zoomScale="80" zoomScaleNormal="80" workbookViewId="0">
      <selection activeCell="F2" sqref="F2:H2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">
        <v>199</v>
      </c>
      <c r="C1" s="109"/>
      <c r="D1" s="110"/>
      <c r="E1" s="11" t="s">
        <v>57</v>
      </c>
      <c r="F1" s="122" t="s">
        <v>198</v>
      </c>
      <c r="G1" s="63"/>
      <c r="H1" s="64"/>
      <c r="I1" s="12" t="s">
        <v>181</v>
      </c>
      <c r="J1" s="132">
        <f ca="1">TODAY()</f>
        <v>45855</v>
      </c>
      <c r="K1" s="132"/>
      <c r="L1" s="133"/>
      <c r="M1" s="29"/>
      <c r="N1" s="11" t="s">
        <v>56</v>
      </c>
      <c r="O1" s="109" t="str">
        <f>B1</f>
        <v>PB125440100</v>
      </c>
      <c r="P1" s="109"/>
      <c r="Q1" s="110"/>
      <c r="R1" s="11" t="s">
        <v>57</v>
      </c>
      <c r="S1" s="109" t="str">
        <f>F1</f>
        <v>OCEAN PETS</v>
      </c>
      <c r="T1" s="109"/>
      <c r="U1" s="110"/>
      <c r="V1" s="11" t="s">
        <v>181</v>
      </c>
      <c r="W1" s="132">
        <f ca="1">J1</f>
        <v>45855</v>
      </c>
      <c r="X1" s="132"/>
      <c r="Y1" s="133"/>
    </row>
    <row r="2" spans="1:25" ht="20.149999999999999" customHeight="1" x14ac:dyDescent="1.1000000000000001">
      <c r="A2" s="11" t="s">
        <v>100</v>
      </c>
      <c r="B2" s="111"/>
      <c r="C2" s="111"/>
      <c r="D2" s="112"/>
      <c r="E2" s="11" t="s">
        <v>58</v>
      </c>
      <c r="F2" s="63">
        <v>950302</v>
      </c>
      <c r="G2" s="63"/>
      <c r="H2" s="64"/>
      <c r="I2" s="11" t="s">
        <v>59</v>
      </c>
      <c r="J2" s="135" t="s">
        <v>192</v>
      </c>
      <c r="K2" s="135"/>
      <c r="L2" s="136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09">
        <f>IF(F2="","",F2)</f>
        <v>950302</v>
      </c>
      <c r="T2" s="109"/>
      <c r="U2" s="110"/>
      <c r="V2" s="11" t="s">
        <v>59</v>
      </c>
      <c r="W2" s="134" t="str">
        <f>J2</f>
        <v>ASAP</v>
      </c>
      <c r="X2" s="109"/>
      <c r="Y2" s="110"/>
    </row>
    <row r="3" spans="1:25" ht="20.149999999999999" customHeight="1" x14ac:dyDescent="0.75">
      <c r="A3" s="113" t="s">
        <v>195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23" t="str">
        <f>A3</f>
        <v>MUST HAVE WATER TIGHT SEALS - PLEASE CHECK FREQUENTLY</v>
      </c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29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1"/>
    </row>
    <row r="6" spans="1:25" ht="20.149999999999999" customHeight="1" x14ac:dyDescent="0.75">
      <c r="A6" s="137" t="s">
        <v>2</v>
      </c>
      <c r="B6" s="138"/>
      <c r="C6" s="138"/>
      <c r="D6" s="138"/>
      <c r="E6" s="138"/>
      <c r="F6" s="138"/>
      <c r="G6" s="138"/>
      <c r="H6" s="138"/>
      <c r="I6" s="138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1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29"/>
      <c r="N7" s="11" t="str">
        <f>IF(ISNUMBER(SEARCH("roll",O8,1)),"No. Rolls","No. Cartons")</f>
        <v>No. Cartons</v>
      </c>
      <c r="O7" s="63">
        <v>5</v>
      </c>
      <c r="P7" s="64"/>
      <c r="Q7" s="11" t="str">
        <f>IF(ISNUMBER(SEARCH("roll",O8,1)),"Per Roll","Per Carton")</f>
        <v>Per Carton</v>
      </c>
      <c r="R7" s="63">
        <v>1000</v>
      </c>
      <c r="S7" s="64"/>
      <c r="T7" s="11" t="str">
        <f>IF(ISNUMBER(SEARCH("bag",O8,1)),"Total Bags","Total Sheets")</f>
        <v>Total Bags</v>
      </c>
      <c r="U7" s="109">
        <f>R7*O7</f>
        <v>5000</v>
      </c>
      <c r="V7" s="110"/>
      <c r="W7" s="11" t="s">
        <v>102</v>
      </c>
      <c r="X7" s="63" t="s">
        <v>23</v>
      </c>
      <c r="Y7" s="64"/>
    </row>
    <row r="8" spans="1:25" ht="20.149999999999999" customHeight="1" x14ac:dyDescent="0.8">
      <c r="A8" s="13" t="s">
        <v>16</v>
      </c>
      <c r="B8" s="97">
        <f>R9</f>
        <v>125</v>
      </c>
      <c r="C8" s="98"/>
      <c r="D8" s="27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3" t="s">
        <v>52</v>
      </c>
      <c r="H8" s="97">
        <v>100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1.65">
      <c r="A9" s="59" t="s">
        <v>48</v>
      </c>
      <c r="B9" s="141" t="s">
        <v>197</v>
      </c>
      <c r="C9" s="142"/>
      <c r="D9" s="149" t="str">
        <f>IF(K10="Middle","RUN 2 UP",IF(AND(O8="Centrefold Roll",B8=380),"RUN 2 UP",""))</f>
        <v/>
      </c>
      <c r="E9" s="101"/>
      <c r="F9" s="102"/>
      <c r="G9" s="16" t="s">
        <v>48</v>
      </c>
      <c r="H9" s="139" t="s">
        <v>194</v>
      </c>
      <c r="I9" s="140"/>
      <c r="J9" s="11" t="s">
        <v>55</v>
      </c>
      <c r="K9" s="63" t="s">
        <v>30</v>
      </c>
      <c r="L9" s="64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125</v>
      </c>
      <c r="S9" s="18" t="s">
        <v>78</v>
      </c>
      <c r="T9" s="30">
        <v>440</v>
      </c>
      <c r="U9" s="18" t="s">
        <v>78</v>
      </c>
      <c r="V9" s="30">
        <v>100</v>
      </c>
      <c r="W9" s="17"/>
      <c r="X9" s="89"/>
      <c r="Y9" s="90"/>
    </row>
    <row r="10" spans="1:25" ht="20.149999999999999" customHeight="1" x14ac:dyDescent="0.8">
      <c r="A10" s="11" t="s">
        <v>51</v>
      </c>
      <c r="B10" s="63">
        <v>4</v>
      </c>
      <c r="C10" s="64"/>
      <c r="D10" s="47" t="s">
        <v>134</v>
      </c>
      <c r="E10" s="143">
        <f>IF(ISNUMBER(SEARCH("sheet",O8,1)),((R9*T9*H8/540000)*U7/2000*1.3),((R9*T9*H8/540000)*U7/1000*1.08))</f>
        <v>55</v>
      </c>
      <c r="F10" s="144"/>
      <c r="G10" s="11" t="s">
        <v>53</v>
      </c>
      <c r="H10" s="147">
        <f>IF(ISNUMBER(SEARCH("sheet",O8,1)),(U7*T9/2000*1.08),(U7*T9/1000*1.08))</f>
        <v>2376</v>
      </c>
      <c r="I10" s="148"/>
      <c r="J10" s="11" t="s">
        <v>41</v>
      </c>
      <c r="K10" s="63" t="s">
        <v>44</v>
      </c>
      <c r="L10" s="64"/>
      <c r="M10" s="29"/>
      <c r="N10" s="14" t="s">
        <v>141</v>
      </c>
      <c r="O10" s="99" t="s">
        <v>44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/>
      <c r="V10" s="105"/>
      <c r="W10" s="105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45">
        <f>E10/B10</f>
        <v>13.75</v>
      </c>
      <c r="F11" s="146"/>
      <c r="G11" s="11" t="s">
        <v>15</v>
      </c>
      <c r="H11" s="145">
        <f>H10/B10</f>
        <v>594</v>
      </c>
      <c r="I11" s="146"/>
      <c r="J11" s="11" t="s">
        <v>50</v>
      </c>
      <c r="K11" s="63" t="s">
        <v>44</v>
      </c>
      <c r="L11" s="64"/>
      <c r="M11" s="29"/>
      <c r="N11" s="13"/>
      <c r="O11" s="97" t="str">
        <f>IF(O10="NONE","","V")</f>
        <v/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1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62" t="s">
        <v>4</v>
      </c>
      <c r="F16" s="162"/>
      <c r="G16" s="162" t="s">
        <v>5</v>
      </c>
      <c r="H16" s="162"/>
      <c r="I16" s="68" t="s">
        <v>11</v>
      </c>
      <c r="J16" s="69"/>
      <c r="K16" s="68" t="s">
        <v>12</v>
      </c>
      <c r="L16" s="69"/>
      <c r="M16" s="29"/>
      <c r="N16" s="11" t="s">
        <v>28</v>
      </c>
      <c r="O16" s="63">
        <v>150</v>
      </c>
      <c r="P16" s="64"/>
      <c r="Q16" s="11" t="s">
        <v>105</v>
      </c>
      <c r="R16" s="63" t="s">
        <v>31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3" t="s">
        <v>147</v>
      </c>
      <c r="D17" s="94"/>
      <c r="E17" s="60"/>
      <c r="F17" s="61"/>
      <c r="G17" s="48" t="s">
        <v>81</v>
      </c>
      <c r="H17" s="32"/>
      <c r="I17" s="60"/>
      <c r="J17" s="61"/>
      <c r="K17" s="60"/>
      <c r="L17" s="61"/>
      <c r="M17" s="29"/>
      <c r="N17" s="11" t="s">
        <v>26</v>
      </c>
      <c r="O17" s="63" t="s">
        <v>35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3" t="s">
        <v>146</v>
      </c>
      <c r="D18" s="94"/>
      <c r="E18" s="60"/>
      <c r="F18" s="61"/>
      <c r="G18" s="48" t="s">
        <v>82</v>
      </c>
      <c r="H18" s="32"/>
      <c r="I18" s="60"/>
      <c r="J18" s="61"/>
      <c r="K18" s="60"/>
      <c r="L18" s="61"/>
      <c r="M18" s="29"/>
      <c r="N18" s="11" t="s">
        <v>101</v>
      </c>
      <c r="O18" s="63" t="s">
        <v>38</v>
      </c>
      <c r="P18" s="64"/>
      <c r="Q18" s="11" t="s">
        <v>106</v>
      </c>
      <c r="R18" s="63" t="s">
        <v>31</v>
      </c>
      <c r="S18" s="64"/>
      <c r="T18" s="21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3" t="s">
        <v>145</v>
      </c>
      <c r="D19" s="94"/>
      <c r="E19" s="60"/>
      <c r="F19" s="61"/>
      <c r="G19" s="48" t="s">
        <v>83</v>
      </c>
      <c r="H19" s="32"/>
      <c r="I19" s="60"/>
      <c r="J19" s="61"/>
      <c r="K19" s="60"/>
      <c r="L19" s="61"/>
      <c r="M19" s="29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3" t="s">
        <v>144</v>
      </c>
      <c r="D20" s="94"/>
      <c r="E20" s="60"/>
      <c r="F20" s="61"/>
      <c r="G20" s="48" t="s">
        <v>84</v>
      </c>
      <c r="H20" s="32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3" t="s">
        <v>143</v>
      </c>
      <c r="D21" s="94"/>
      <c r="E21" s="60"/>
      <c r="F21" s="61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/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60"/>
      <c r="F22" s="61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63"/>
      <c r="B23" s="163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4"/>
      <c r="E23" s="60"/>
      <c r="F23" s="61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64"/>
      <c r="B24" s="165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10" t="s">
        <v>196</v>
      </c>
      <c r="P25" s="34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50" t="s">
        <v>116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59" t="s">
        <v>136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45886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45876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F5CB56E-110F-414B-B0D5-872177169666}"/>
</file>

<file path=customXml/itemProps2.xml><?xml version="1.0" encoding="utf-8"?>
<ds:datastoreItem xmlns:ds="http://schemas.openxmlformats.org/officeDocument/2006/customXml" ds:itemID="{2BED1158-4F0C-4D3A-9A75-853393016A9F}"/>
</file>

<file path=customXml/itemProps3.xml><?xml version="1.0" encoding="utf-8"?>
<ds:datastoreItem xmlns:ds="http://schemas.openxmlformats.org/officeDocument/2006/customXml" ds:itemID="{20B80016-C968-46A7-905A-2F910E666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2025-07-17T03:00:36Z</cp:lastPrinted>
  <dcterms:created xsi:type="dcterms:W3CDTF">2019-11-27T23:28:06Z</dcterms:created>
  <dcterms:modified xsi:type="dcterms:W3CDTF">2025-07-22T00:00:34Z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