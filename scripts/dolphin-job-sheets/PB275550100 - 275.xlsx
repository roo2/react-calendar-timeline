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04471B-9972-4BD0-BB30-B4FD8816836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<sst xmlns="http://schemas.openxmlformats.org/spreadsheetml/2006/main" count="303" uniqueCount="199">
  <si>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</si>
  <si>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</si>
  <si>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</si>
  <si>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</si>
  <si>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</si>
  <si>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</si>
  <si>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</si>
  <si>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</si>
  <si>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</si>
  <si>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</si>
  <si>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</si>
  <si>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</si>
  <si>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</si>
  <si>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</si>
  <si>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</si>
  <si>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</si>
  <si>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</si>
  <si>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</si>
  <si>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</si>
  <si>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</si>
  <si>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</si>
  <si>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</si>
  <si>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</si>
  <si>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</si>
  <si>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</si>
  <si>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</si>
  <si>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</si>
  <si>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</si>
  <si>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</si>
  <si>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</si>
  <si>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</si>
  <si>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</si>
  <si>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</si>
  <si>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</si>
  <si>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</si>
  <si>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</si>
  <si>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</si>
  <si>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</si>
  <si>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</si>
  <si>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</si>
  <si>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</si>
  <si>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</si>
  <si>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</si>
  <si>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</si>
  <si>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</si>
  <si>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</si>
  <si>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</si>
  <si>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</si>
  <si>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</si>
  <si>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</si>
  <si>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</si>
  <si>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</si>
  <si>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</si>
  <si>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</si>
  <si>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</si>
  <si>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</si>
  <si>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</si>
  <si>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</si>
  <si>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</si>
  <si>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</si>
  <si>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</si>
  <si>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</si>
  <si>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</si>
  <si>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</si>
  <si>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</si>
  <si>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</si>
  <si>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</si>
  <si>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</si>
  <si>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</si>
  <si>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</si>
  <si>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</si>
  <si>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</si>
  <si>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</si>
  <si>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</si>
  <si>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</si>
  <si>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</si>
  <si>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</si>
  <si>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</si>
  <si>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</si>
  <si>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</si>
  <si>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</si>
  <si>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</si>
  <si>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</si>
  <si>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</si>
  <si>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</si>
  <si>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</si>
  <si>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</si>
  <si>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</si>
  <si>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</si>
  <si>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</si>
  <si>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</si>
  <si>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</si>
  <si>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</si>
  <si>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</si>
  <si>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</si>
  <si>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</si>
  <si>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</si>
  <si>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</si>
  <si>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</si>
  <si>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</si>
  <si>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</si>
  <si>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</si>
  <si>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</si>
  <si>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</si>
  <si>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</si>
  <si>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</si>
  <si>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</si>
  <si>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</si>
  <si>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</si>
  <si>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</si>
  <si>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</si>
  <si>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</si>
  <si>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</si>
  <si>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</si>
  <si>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</si>
  <si>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</si>
  <si>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</si>
  <si>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</si>
  <si>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</si>
  <si>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</si>
  <si>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</si>
  <si>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</si>
  <si>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</si>
  <si>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</si>
  <si>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</si>
  <si>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</si>
  <si>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</si>
  <si>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</si>
  <si>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</si>
  <si>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</si>
  <si>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</si>
  <si>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</si>
  <si>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</si>
  <si>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</si>
  <si>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</si>
  <si>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</si>
  <si>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</si>
  <si>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</si>
  <si>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</si>
  <si>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</si>
  <si>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</si>
  <si>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</si>
  <si>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</si>
  <si>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</si>
  <si>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</si>
  <si>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</si>
  <si>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</si>
  <si>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</si>
  <si>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</si>
  <si>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</si>
  <si>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</si>
  <si>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</si>
  <si>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</si>
  <si>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</si>
  <si>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</si>
  <si>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</si>
  <si>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</si>
  <si>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</si>
  <si>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</si>
  <si>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</si>
  <si>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</si>
  <si>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</si>
  <si>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</si>
  <si>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</si>
  <si>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</si>
  <si>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</si>
  <si>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</si>
  <si>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</si>
  <si>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</si>
  <si>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</si>
  <si>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</si>
  <si>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</si>
  <si>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</si>
  <si>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</si>
  <si>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</si>
  <si>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</si>
  <si>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</si>
  <si>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</si>
  <si>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</si>
  <si>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</si>
  <si>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</si>
  <si>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</si>
  <si>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</si>
  <si>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</si>
  <si>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</si>
  <si>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</si>
  <si>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</si>
  <si>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</si>
  <si>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</si>
  <si>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</si>
  <si>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</si>
  <si>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</si>
  <si>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</si>
  <si>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</si>
  <si>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</si>
  <si>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</si>
  <si>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+/-5mm</t>
  </si>
  <si>
    <t>ORION 1</t>
  </si>
  <si>
    <t>OCEAN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</si>
</sst>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PB275550100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45887</v>
      </c>
      <c r="K1" s="119"/>
      <c r="L1" s="120"/>
      <c r="M1" s="29"/>
      <c r="N1" s="11" t="s">
        <v>56</v>
      </c>
      <c r="O1" s="108" t="str">
        <f>B1</f>
        <v>PB275550100</v>
      </c>
      <c r="P1" s="108"/>
      <c r="Q1" s="109"/>
      <c r="R1" s="11" t="s">
        <v>57</v>
      </c>
      <c r="S1" s="108" t="str">
        <f>F1</f>
        <v>OCEAN PETS</v>
      </c>
      <c r="T1" s="108"/>
      <c r="U1" s="109"/>
      <c r="V1" s="11" t="s">
        <v>181</v>
      </c>
      <c r="W1" s="119">
        <f ca="1">J1</f>
        <v>45887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950465</v>
      </c>
      <c r="G2" s="62"/>
      <c r="H2" s="63"/>
      <c r="I2" s="11" t="s">
        <v>59</v>
      </c>
      <c r="J2" s="122">
        <v>45908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950465</v>
      </c>
      <c r="T2" s="108"/>
      <c r="U2" s="109"/>
      <c r="V2" s="11" t="s">
        <v>59</v>
      </c>
      <c r="W2" s="121">
        <f>J2</f>
        <v>45908</v>
      </c>
      <c r="X2" s="108"/>
      <c r="Y2" s="109"/>
    </row>
    <row r="3" spans="1:25" ht="20.149999999999999" customHeight="1" x14ac:dyDescent="0.7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BE WITHIN TOLERANCE - MUST HAVE WATER TIGHT SEALS - PLEASE CHECK SEALS FREQUENTLY.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5000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275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196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275</v>
      </c>
      <c r="S9" s="18" t="s">
        <v>78</v>
      </c>
      <c r="T9" s="30">
        <v>550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7">
        <f>IF(ISNUMBER(SEARCH("sheet",O8,1)),((R9*T9*H8/540000)*U7/2000*1.3),((R9*T9*H8/540000)*U7/1000*1.08))</f>
        <v>151.25000000000003</v>
      </c>
      <c r="F10" s="128"/>
      <c r="G10" s="11" t="s">
        <v>53</v>
      </c>
      <c r="H10" s="131">
        <f>IF(ISNUMBER(SEARCH("sheet",O8,1)),(U7*T9/2000*1.08),(U7*T9/1000*1.08))</f>
        <v>2970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25.208333333333339</v>
      </c>
      <c r="F11" s="130"/>
      <c r="G11" s="11" t="s">
        <v>15</v>
      </c>
      <c r="H11" s="129">
        <f>H10/B10</f>
        <v>495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26</v>
      </c>
      <c r="R25" s="10"/>
      <c r="S25" s="10"/>
      <c r="T25" s="10"/>
      <c r="U25" s="10"/>
      <c r="V25" s="10"/>
      <c r="W25" s="10">
        <v>150</v>
      </c>
      <c r="X25" s="10">
        <v>150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45918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45908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5EA4D65-D448-41E0-A311-7011AA5D2DBE}"/>
</file>

<file path=customXml/itemProps2.xml><?xml version="1.0" encoding="utf-8"?>
<ds:datastoreItem xmlns:ds="http://schemas.openxmlformats.org/officeDocument/2006/customXml" ds:itemID="{236BF432-E8BA-44E9-B599-FF5A2397BCCF}"/>
</file>

<file path=customXml/itemProps3.xml><?xml version="1.0" encoding="utf-8"?>
<ds:datastoreItem xmlns:ds="http://schemas.openxmlformats.org/officeDocument/2006/customXml" ds:itemID="{0F48B788-FB70-4BF1-B852-33925F34E2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2025-08-18T02:43:49Z</cp:lastPrinted>
  <dcterms:created xsi:type="dcterms:W3CDTF">2019-11-27T23:28:06Z</dcterms:created>
  <dcterms:modified xsi:type="dcterms:W3CDTF">2025-08-25T01:42:11Z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