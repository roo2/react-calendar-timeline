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0990921-8362-4B9E-A218-D0758FA12E4D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<sst xmlns="http://schemas.openxmlformats.org/spreadsheetml/2006/main" count="303" uniqueCount="199">
  <si>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</si>
  <si>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</si>
  <si>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</si>
  <si>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</si>
  <si>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</si>
  <si>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</si>
  <si>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</si>
  <si>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</si>
  <si>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</si>
  <si>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</si>
  <si>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</si>
  <si>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</si>
  <si>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</si>
  <si>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</si>
  <si>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</si>
  <si>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</si>
  <si>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</si>
  <si>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</si>
  <si>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</si>
  <si>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</si>
  <si>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</si>
  <si>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</si>
  <si>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</si>
  <si>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</si>
  <si>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</si>
  <si>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</si>
  <si>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</si>
  <si>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</si>
  <si>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</si>
  <si>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</si>
  <si>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</si>
  <si>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</si>
  <si>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</si>
  <si>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</si>
  <si>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</si>
  <si>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</si>
  <si>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</si>
  <si>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</si>
  <si>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</si>
  <si>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</si>
  <si>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</si>
  <si>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</si>
  <si>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</si>
  <si>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</si>
  <si>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</si>
  <si>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</si>
  <si>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</si>
  <si>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</si>
  <si>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</si>
  <si>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</si>
  <si>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</si>
  <si>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</si>
  <si>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</si>
  <si>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</si>
  <si>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</si>
  <si>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</si>
  <si>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</si>
  <si>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</si>
  <si>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</si>
  <si>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</si>
  <si>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</si>
  <si>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</si>
  <si>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</si>
  <si>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</si>
  <si>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</si>
  <si>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</si>
  <si>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</si>
  <si>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</si>
  <si>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</si>
  <si>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</si>
  <si>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</si>
  <si>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</si>
  <si>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</si>
  <si>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</si>
  <si>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</si>
  <si>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</si>
  <si>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</si>
  <si>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</si>
  <si>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</si>
  <si>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</si>
  <si>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</si>
  <si>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</si>
  <si>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</si>
  <si>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</si>
  <si>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</si>
  <si>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</si>
  <si>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</si>
  <si>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</si>
  <si>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</si>
  <si>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</si>
  <si>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</si>
  <si>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</si>
  <si>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</si>
  <si>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</si>
  <si>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</si>
  <si>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</si>
  <si>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</si>
  <si>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</si>
  <si>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</si>
  <si>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</si>
  <si>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</si>
  <si>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</si>
  <si>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</si>
  <si>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</si>
  <si>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</si>
  <si>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</si>
  <si>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</si>
  <si>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</si>
  <si>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</si>
  <si>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</si>
  <si>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</si>
  <si>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</si>
  <si>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</si>
  <si>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</si>
  <si>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</si>
  <si>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</si>
  <si>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</si>
  <si>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</si>
  <si>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</si>
  <si>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</si>
  <si>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</si>
  <si>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</si>
  <si>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</si>
  <si>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</si>
  <si>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</si>
  <si>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</si>
  <si>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</si>
  <si>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</si>
  <si>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</si>
  <si>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</si>
  <si>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</si>
  <si>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</si>
  <si>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</si>
  <si>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</si>
  <si>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</si>
  <si>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</si>
  <si>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</si>
  <si>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</si>
  <si>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</si>
  <si>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</si>
  <si>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</si>
  <si>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</si>
  <si>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</si>
  <si>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</si>
  <si>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</si>
  <si>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</si>
  <si>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</si>
  <si>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</si>
  <si>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</si>
  <si>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</si>
  <si>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</si>
  <si>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</si>
  <si>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</si>
  <si>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</si>
  <si>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</si>
  <si>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</si>
  <si>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</si>
  <si>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</si>
  <si>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</si>
  <si>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</si>
  <si>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</si>
  <si>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</si>
  <si>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</si>
  <si>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</si>
  <si>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</si>
  <si>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</si>
  <si>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</si>
  <si>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</si>
  <si>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</si>
  <si>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</si>
  <si>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</si>
  <si>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</si>
  <si>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</si>
  <si>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</si>
  <si>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</si>
  <si>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</si>
  <si>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</si>
  <si>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</si>
  <si>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</si>
  <si>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</si>
  <si>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</si>
  <si>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</si>
  <si>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</si>
  <si>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</si>
  <si>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</si>
  <si>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</si>
  <si>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</si>
  <si>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</si>
  <si>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</si>
  <si>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</si>
  <si>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</si>
  <si>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</si>
  <si>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</si>
  <si>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</si>
  <si>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</si>
  <si>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LIMAX</t>
  </si>
  <si>
    <t>NOT OVER</t>
  </si>
  <si>
    <t>COASTAL FLOW</t>
  </si>
  <si>
    <t>NEW CUSTOMER - NEW ITEM - PLEASE ENSURE NO CREASING -  WATER TIGHT SEALS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</si>
</sst>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PB540610150</v>
      </c>
      <c r="C1" s="111"/>
      <c r="D1" s="112"/>
      <c r="E1" s="11" t="s">
        <v>57</v>
      </c>
      <c r="F1" s="87" t="s">
        <v>197</v>
      </c>
      <c r="G1" s="87"/>
      <c r="H1" s="88"/>
      <c r="I1" s="12" t="s">
        <v>181</v>
      </c>
      <c r="J1" s="84">
        <f ca="1">TODAY()</f>
        <v>45076</v>
      </c>
      <c r="K1" s="84"/>
      <c r="L1" s="85"/>
      <c r="M1" s="29"/>
      <c r="N1" s="11" t="s">
        <v>56</v>
      </c>
      <c r="O1" s="111" t="str">
        <f>B1</f>
        <v>PB540610150</v>
      </c>
      <c r="P1" s="111"/>
      <c r="Q1" s="112"/>
      <c r="R1" s="11" t="s">
        <v>57</v>
      </c>
      <c r="S1" s="111" t="str">
        <f>F1</f>
        <v>COASTAL FLOW</v>
      </c>
      <c r="T1" s="111"/>
      <c r="U1" s="112"/>
      <c r="V1" s="11" t="s">
        <v>181</v>
      </c>
      <c r="W1" s="84">
        <f ca="1">J1</f>
        <v>45076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945774</v>
      </c>
      <c r="G2" s="87"/>
      <c r="H2" s="88"/>
      <c r="I2" s="11" t="s">
        <v>59</v>
      </c>
      <c r="J2" s="86">
        <v>45103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945774</v>
      </c>
      <c r="T2" s="111"/>
      <c r="U2" s="112"/>
      <c r="V2" s="11" t="s">
        <v>59</v>
      </c>
      <c r="W2" s="122">
        <f>J2</f>
        <v>45103</v>
      </c>
      <c r="X2" s="111"/>
      <c r="Y2" s="112"/>
    </row>
    <row r="3" spans="1:25" ht="20.149999999999999" customHeight="1" x14ac:dyDescent="0.75">
      <c r="A3" s="113" t="s">
        <v>198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>NEW CUSTOMER - NEW ITEM - PLEASE ENSURE NO CREASING -  WATER TIGHT SEALS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7</v>
      </c>
      <c r="P7" s="88"/>
      <c r="Q7" s="11" t="str">
        <f>IF(ISNUMBER(SEARCH("roll",O8,1)),"Per Roll","Per Carton")</f>
        <v>Per Carton</v>
      </c>
      <c r="R7" s="87">
        <v>150</v>
      </c>
      <c r="S7" s="88"/>
      <c r="T7" s="11" t="str">
        <f>IF(ISNUMBER(SEARCH("bag",O8,1)),"Total Bags","Total Sheets")</f>
        <v>Total Bags</v>
      </c>
      <c r="U7" s="111">
        <f>R7*O7</f>
        <v>1050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540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150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49999999999999" customHeight="1" x14ac:dyDescent="0.9">
      <c r="A9" s="16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196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540</v>
      </c>
      <c r="S9" s="18" t="s">
        <v>78</v>
      </c>
      <c r="T9" s="30">
        <v>610</v>
      </c>
      <c r="U9" s="18" t="s">
        <v>78</v>
      </c>
      <c r="V9" s="30">
        <v>150</v>
      </c>
      <c r="W9" s="17"/>
      <c r="X9" s="136"/>
      <c r="Y9" s="137"/>
    </row>
    <row r="10" spans="1:25" ht="20.149999999999999" customHeight="1" x14ac:dyDescent="0.8">
      <c r="A10" s="11" t="s">
        <v>51</v>
      </c>
      <c r="B10" s="87">
        <v>4</v>
      </c>
      <c r="C10" s="88"/>
      <c r="D10" s="47" t="s">
        <v>134</v>
      </c>
      <c r="E10" s="101">
        <f>IF(ISNUMBER(SEARCH("sheet",O8,1)),((R9*T9*H8/540000)*U7/2000*1.3),((R9*T9*H8/540000)*U7/1000*1.08))</f>
        <v>103.76100000000001</v>
      </c>
      <c r="F10" s="102"/>
      <c r="G10" s="11" t="s">
        <v>53</v>
      </c>
      <c r="H10" s="105">
        <f>IF(ISNUMBER(SEARCH("sheet",O8,1)),(U7*T9/2000*1.08),(U7*T9/1000*1.08))</f>
        <v>691.74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/>
      <c r="V10" s="130"/>
      <c r="W10" s="130"/>
      <c r="X10" s="130"/>
      <c r="Y10" s="131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25.940250000000002</v>
      </c>
      <c r="F11" s="104"/>
      <c r="G11" s="11" t="s">
        <v>15</v>
      </c>
      <c r="H11" s="103">
        <f>H10/B10</f>
        <v>172.935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7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150</v>
      </c>
      <c r="P16" s="88"/>
      <c r="Q16" s="11" t="s">
        <v>105</v>
      </c>
      <c r="R16" s="99" t="s">
        <v>31</v>
      </c>
      <c r="S16" s="100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195</v>
      </c>
      <c r="P25" s="34"/>
      <c r="Q25" s="10">
        <v>30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45107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45097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53EAE1C-944E-454E-9D89-29726CFC804E}"/>
</file>

<file path=customXml/itemProps2.xml><?xml version="1.0" encoding="utf-8"?>
<ds:datastoreItem xmlns:ds="http://schemas.openxmlformats.org/officeDocument/2006/customXml" ds:itemID="{F664C137-681D-4229-8244-4630CEA9FA4A}"/>
</file>

<file path=customXml/itemProps3.xml><?xml version="1.0" encoding="utf-8"?>
<ds:datastoreItem xmlns:ds="http://schemas.openxmlformats.org/officeDocument/2006/customXml" ds:itemID="{7992F89E-6FCC-4F68-B2DB-0367C85FC9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2023-05-26T00:50:11Z</cp:lastPrinted>
  <dcterms:created xsi:type="dcterms:W3CDTF">2019-11-27T23:28:06Z</dcterms:created>
  <dcterms:modified xsi:type="dcterms:W3CDTF">2023-05-30T23:25:58Z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