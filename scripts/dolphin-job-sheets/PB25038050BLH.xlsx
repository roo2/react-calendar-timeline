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2E694B6-92A7-4048-997F-5E0FCB5D29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<sst xmlns="http://schemas.openxmlformats.org/spreadsheetml/2006/main" count="307" uniqueCount="204">
  <si>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</si>
  <si>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</si>
  <si>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</si>
  <si>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</si>
  <si>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</si>
  <si>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</si>
  <si>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</si>
  <si>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</si>
  <si>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</si>
  <si>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</si>
  <si>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</si>
  <si>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</si>
  <si>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</si>
  <si>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</si>
  <si>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</si>
  <si>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</si>
  <si>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</si>
  <si>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</si>
  <si>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</si>
  <si>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</si>
  <si>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</si>
  <si>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</si>
  <si>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</si>
  <si>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</si>
  <si>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</si>
  <si>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</si>
  <si>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</si>
  <si>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</si>
  <si>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</si>
  <si>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</si>
  <si>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</si>
  <si>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</si>
  <si>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</si>
  <si>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</si>
  <si>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</si>
  <si>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</si>
  <si>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</si>
  <si>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</si>
  <si>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</si>
  <si>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</si>
  <si>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</si>
  <si>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</si>
  <si>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</si>
  <si>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</si>
  <si>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</si>
  <si>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</si>
  <si>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</si>
  <si>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</si>
  <si>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</si>
  <si>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</si>
  <si>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</si>
  <si>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</si>
  <si>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</si>
  <si>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</si>
  <si>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</si>
  <si>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</si>
  <si>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</si>
  <si>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</si>
  <si>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</si>
  <si>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</si>
  <si>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</si>
  <si>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</si>
  <si>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</si>
  <si>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</si>
  <si>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</si>
  <si>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</si>
  <si>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</si>
  <si>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</si>
  <si>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</si>
  <si>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</si>
  <si>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</si>
  <si>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</si>
  <si>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</si>
  <si>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</si>
  <si>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</si>
  <si>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</si>
  <si>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</si>
  <si>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</si>
  <si>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</si>
  <si>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</si>
  <si>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</si>
  <si>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</si>
  <si>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</si>
  <si>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</si>
  <si>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</si>
  <si>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</si>
  <si>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</si>
  <si>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</si>
  <si>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</si>
  <si>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</si>
  <si>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</si>
  <si>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</si>
  <si>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</si>
  <si>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</si>
  <si>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</si>
  <si>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</si>
  <si>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</si>
  <si>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</si>
  <si>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</si>
  <si>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</si>
  <si>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</si>
  <si>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</si>
  <si>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</si>
  <si>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</si>
  <si>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</si>
  <si>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</si>
  <si>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</si>
  <si>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</si>
  <si>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</si>
  <si>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</si>
  <si>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</si>
  <si>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</si>
  <si>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</si>
  <si>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</si>
  <si>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</si>
  <si>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</si>
  <si>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</si>
  <si>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</si>
  <si>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</si>
  <si>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</si>
  <si>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</si>
  <si>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</si>
  <si>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</si>
  <si>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</si>
  <si>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</si>
  <si>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</si>
  <si>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</si>
  <si>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</si>
  <si>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</si>
  <si>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</si>
  <si>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</si>
  <si>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</si>
  <si>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</si>
  <si>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</si>
  <si>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</si>
  <si>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</si>
  <si>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</si>
  <si>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</si>
  <si>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</si>
  <si>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</si>
  <si>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</si>
  <si>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</si>
  <si>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</si>
  <si>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</si>
  <si>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</si>
  <si>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</si>
  <si>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</si>
  <si>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</si>
  <si>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</si>
  <si>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</si>
  <si>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</si>
  <si>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</si>
  <si>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</si>
  <si>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</si>
  <si>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</si>
  <si>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</si>
  <si>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</si>
  <si>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</si>
  <si>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</si>
  <si>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</si>
  <si>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</si>
  <si>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</si>
  <si>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</si>
  <si>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</si>
  <si>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</si>
  <si>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</si>
  <si>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</si>
  <si>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</si>
  <si>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</si>
  <si>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</si>
  <si>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</si>
  <si>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</si>
  <si>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</si>
  <si>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</si>
  <si>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</si>
  <si>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</si>
  <si>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</si>
  <si>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</si>
  <si>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</si>
  <si>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</si>
  <si>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</si>
  <si>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</si>
  <si>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</si>
  <si>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</si>
  <si>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</si>
  <si>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</si>
  <si>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</si>
  <si>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</si>
  <si>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</si>
  <si>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</si>
  <si>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</si>
  <si>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</si>
  <si>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</si>
  <si>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</si>
  <si>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</si>
  <si>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SUN UNI HOSPITAL</t>
  </si>
  <si>
    <t>DIE CUT HANDLE - 50MM FROM TOP OF BAG</t>
  </si>
  <si>
    <t>MUST NOT BE BLOCKED -  SOLID BLUE WITH DIE CUT HANDLE                                         MUST BE EXACT SIZE AND NOT UNDER 50UM</t>
  </si>
  <si>
    <t>RUN TO 50-55UM</t>
  </si>
  <si>
    <t>ANTIBLOCK</t>
  </si>
  <si>
    <t>PERF</t>
  </si>
  <si>
    <t>26/30</t>
  </si>
  <si>
    <t>120/145</t>
  </si>
  <si>
    <t>110/145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</si>
</sst>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5" borderId="7" xfId="2" applyFont="1" applyFill="1" applyBorder="1" applyAlignment="1" applyProtection="1">
      <alignment horizontal="center" vertical="center"/>
      <protection locked="0"/>
    </xf>
    <xf numFmtId="0" fontId="18" fillId="5" borderId="3" xfId="2" applyFont="1" applyFill="1" applyBorder="1" applyAlignment="1" applyProtection="1">
      <alignment horizontal="center" vertical="center"/>
      <protection locked="0"/>
    </xf>
    <xf numFmtId="0" fontId="18" fillId="5" borderId="8" xfId="2" applyFont="1" applyFill="1" applyBorder="1" applyAlignment="1" applyProtection="1">
      <alignment horizontal="center" vertical="center"/>
      <protection locked="0"/>
    </xf>
    <xf numFmtId="0" fontId="18" fillId="5" borderId="9" xfId="2" applyFont="1" applyFill="1" applyBorder="1" applyAlignment="1" applyProtection="1">
      <alignment horizontal="center" vertical="center"/>
      <protection locked="0"/>
    </xf>
    <xf numFmtId="0" fontId="18" fillId="5" borderId="0" xfId="2" applyFont="1" applyFill="1" applyBorder="1" applyAlignment="1" applyProtection="1">
      <alignment horizontal="center" vertical="center"/>
      <protection locked="0"/>
    </xf>
    <xf numFmtId="0" fontId="18" fillId="5" borderId="10" xfId="2" applyFont="1" applyFill="1" applyBorder="1" applyAlignment="1" applyProtection="1">
      <alignment horizontal="center" vertical="center"/>
      <protection locked="0"/>
    </xf>
    <xf numFmtId="0" fontId="18" fillId="5" borderId="11" xfId="2" applyFont="1" applyFill="1" applyBorder="1" applyAlignment="1" applyProtection="1">
      <alignment horizontal="center" vertical="center"/>
      <protection locked="0"/>
    </xf>
    <xf numFmtId="0" fontId="18" fillId="5" borderId="1" xfId="2" applyFont="1" applyFill="1" applyBorder="1" applyAlignment="1" applyProtection="1">
      <alignment horizontal="center" vertical="center"/>
      <protection locked="0"/>
    </xf>
    <xf numFmtId="0" fontId="18" fillId="5" borderId="12" xfId="2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K10" sqref="K10:L10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0" t="str">
        <f>O9&amp;R9&amp;IF(X8="G","G","")&amp;IF(O8="Centrefold Roll","("&amp;E8&amp;")","")&amp;T9&amp;V9&amp;C22&amp;C23&amp;C24&amp;O11&amp;R11</f>
        <v>PB25038050BL0</v>
      </c>
      <c r="C1" s="110"/>
      <c r="D1" s="111"/>
      <c r="E1" s="11" t="s">
        <v>57</v>
      </c>
      <c r="F1" s="121" t="s">
        <v>195</v>
      </c>
      <c r="G1" s="62"/>
      <c r="H1" s="63"/>
      <c r="I1" s="12" t="s">
        <v>181</v>
      </c>
      <c r="J1" s="131">
        <f ca="1">TODAY()</f>
        <v>45999</v>
      </c>
      <c r="K1" s="131"/>
      <c r="L1" s="132"/>
      <c r="M1" s="29"/>
      <c r="N1" s="11" t="s">
        <v>56</v>
      </c>
      <c r="O1" s="110" t="str">
        <f>B1</f>
        <v>PB25038050BL0</v>
      </c>
      <c r="P1" s="110"/>
      <c r="Q1" s="111"/>
      <c r="R1" s="11" t="s">
        <v>57</v>
      </c>
      <c r="S1" s="110" t="str">
        <f>F1</f>
        <v>SUN UNI HOSPITAL</v>
      </c>
      <c r="T1" s="110"/>
      <c r="U1" s="111"/>
      <c r="V1" s="11" t="s">
        <v>181</v>
      </c>
      <c r="W1" s="131">
        <f ca="1">J1</f>
        <v>45999</v>
      </c>
      <c r="X1" s="131"/>
      <c r="Y1" s="132"/>
    </row>
    <row r="2" spans="1:25" ht="20.100000000000001" customHeight="1" x14ac:dyDescent="0.25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950732</v>
      </c>
      <c r="G2" s="62"/>
      <c r="H2" s="63"/>
      <c r="I2" s="11" t="s">
        <v>59</v>
      </c>
      <c r="J2" s="134">
        <v>45517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950732</v>
      </c>
      <c r="T2" s="110"/>
      <c r="U2" s="111"/>
      <c r="V2" s="11" t="s">
        <v>59</v>
      </c>
      <c r="W2" s="133">
        <f>J2</f>
        <v>45517</v>
      </c>
      <c r="X2" s="110"/>
      <c r="Y2" s="111"/>
    </row>
    <row r="3" spans="1:25" ht="20.100000000000001" customHeight="1" x14ac:dyDescent="0.25">
      <c r="A3" s="112" t="s">
        <v>197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22" t="str">
        <f>A3</f>
        <v>MUST NOT BE BLOCKED -  SOLID BLUE WITH DIE CUT HANDLE                                         MUST BE EXACT SIZE AND NOT UNDER 50UM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28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30"/>
    </row>
    <row r="6" spans="1:25" ht="20.100000000000001" customHeight="1" x14ac:dyDescent="0.25">
      <c r="A6" s="135" t="s">
        <v>2</v>
      </c>
      <c r="B6" s="136"/>
      <c r="C6" s="136"/>
      <c r="D6" s="136"/>
      <c r="E6" s="136"/>
      <c r="F6" s="136"/>
      <c r="G6" s="136"/>
      <c r="H6" s="136"/>
      <c r="I6" s="13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2" t="s">
        <v>150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7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10">
        <f>R7*O7</f>
        <v>7000</v>
      </c>
      <c r="V7" s="111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8">
        <f>R9</f>
        <v>250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50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3">
      <c r="A9" s="16" t="s">
        <v>48</v>
      </c>
      <c r="B9" s="137" t="s">
        <v>194</v>
      </c>
      <c r="C9" s="138"/>
      <c r="D9" s="145" t="str">
        <f>IF(K10="Middle","RUN 2 UP",IF(AND(O8="Centrefold Roll",B8=380),"RUN 2 UP",""))</f>
        <v/>
      </c>
      <c r="E9" s="102"/>
      <c r="F9" s="103"/>
      <c r="G9" s="16" t="s">
        <v>48</v>
      </c>
      <c r="H9" s="137" t="s">
        <v>198</v>
      </c>
      <c r="I9" s="138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250</v>
      </c>
      <c r="S9" s="18" t="s">
        <v>78</v>
      </c>
      <c r="T9" s="30">
        <v>380</v>
      </c>
      <c r="U9" s="18" t="s">
        <v>78</v>
      </c>
      <c r="V9" s="30">
        <v>50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4</v>
      </c>
      <c r="C10" s="63"/>
      <c r="D10" s="47" t="s">
        <v>134</v>
      </c>
      <c r="E10" s="139">
        <f>IF(ISNUMBER(SEARCH("sheet",O8,1)),((R9*T9*H8/540000)*U7/2000*1.3),((R9*T9*H8/540000)*U7/1000*1.08))</f>
        <v>66.5</v>
      </c>
      <c r="F10" s="140"/>
      <c r="G10" s="11" t="s">
        <v>53</v>
      </c>
      <c r="H10" s="143">
        <f>IF(ISNUMBER(SEARCH("sheet",O8,1)),(U7*T9/2000*1.08),(U7*T9/1000*1.08))</f>
        <v>2872.8</v>
      </c>
      <c r="I10" s="144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41">
        <f>E10/B10</f>
        <v>16.625</v>
      </c>
      <c r="F11" s="142"/>
      <c r="G11" s="11" t="s">
        <v>15</v>
      </c>
      <c r="H11" s="141">
        <f>H10/B10</f>
        <v>718.2</v>
      </c>
      <c r="I11" s="142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7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58" t="s">
        <v>4</v>
      </c>
      <c r="F16" s="158"/>
      <c r="G16" s="158" t="s">
        <v>5</v>
      </c>
      <c r="H16" s="158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3" t="s">
        <v>147</v>
      </c>
      <c r="D17" s="94"/>
      <c r="E17" s="90"/>
      <c r="F17" s="65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3" t="s">
        <v>146</v>
      </c>
      <c r="D18" s="94"/>
      <c r="E18" s="90"/>
      <c r="F18" s="65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3" t="s">
        <v>145</v>
      </c>
      <c r="D19" s="94"/>
      <c r="E19" s="90"/>
      <c r="F19" s="65"/>
      <c r="G19" s="48" t="s">
        <v>83</v>
      </c>
      <c r="H19" s="32"/>
      <c r="I19" s="59"/>
      <c r="J19" s="60"/>
      <c r="K19" s="59"/>
      <c r="L19" s="60"/>
      <c r="M19" s="29"/>
      <c r="N19" s="75" t="s">
        <v>196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3" t="s">
        <v>144</v>
      </c>
      <c r="D20" s="94"/>
      <c r="E20" s="90"/>
      <c r="F20" s="65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3" t="s">
        <v>143</v>
      </c>
      <c r="D21" s="94"/>
      <c r="E21" s="90"/>
      <c r="F21" s="65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BLUE</v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BL</v>
      </c>
      <c r="D22" s="94"/>
      <c r="E22" s="95"/>
      <c r="F22" s="65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59" t="s">
        <v>199</v>
      </c>
      <c r="B23" s="159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90"/>
      <c r="F23" s="65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60"/>
      <c r="B24" s="16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90"/>
      <c r="F24" s="65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200</v>
      </c>
      <c r="P25" s="34"/>
      <c r="Q25" s="10" t="s">
        <v>201</v>
      </c>
      <c r="R25" s="10"/>
      <c r="S25" s="10"/>
      <c r="T25" s="10"/>
      <c r="U25" s="10"/>
      <c r="V25" s="10"/>
      <c r="W25" s="10" t="s">
        <v>202</v>
      </c>
      <c r="X25" s="10" t="s">
        <v>203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46" t="s">
        <v>116</v>
      </c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5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55" t="s">
        <v>136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46030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46020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8FE824A-9C76-49DC-8EA2-A3DAE31EABF0}"/>
</file>

<file path=customXml/itemProps2.xml><?xml version="1.0" encoding="utf-8"?>
<ds:datastoreItem xmlns:ds="http://schemas.openxmlformats.org/officeDocument/2006/customXml" ds:itemID="{FEA135CA-4F8B-4938-B707-B4CAA1B33B7D}"/>
</file>

<file path=customXml/itemProps3.xml><?xml version="1.0" encoding="utf-8"?>
<ds:datastoreItem xmlns:ds="http://schemas.openxmlformats.org/officeDocument/2006/customXml" ds:itemID="{BD4AE481-DC75-4202-86EC-D3A67093E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2025-10-02T04:23:48Z</cp:lastPrinted>
  <dcterms:created xsi:type="dcterms:W3CDTF">2019-11-27T23:28:06Z</dcterms:created>
  <dcterms:modified xsi:type="dcterms:W3CDTF">2025-12-08T05:27:29Z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