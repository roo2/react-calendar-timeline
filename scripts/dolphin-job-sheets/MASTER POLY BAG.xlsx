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1349FBB-D72B-454A-9F36-09E7B0BF7045}" xr6:coauthVersionLast="45" xr6:coauthVersionMax="45" xr10:uidLastSave="{00000000-0000-0000-0000-000000000000}"/>
  <bookViews>
    <workbookView xWindow="-6525" yWindow="300" windowWidth="14400" windowHeight="1089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<sst xmlns="http://schemas.openxmlformats.org/spreadsheetml/2006/main" count="303" uniqueCount="199">
  <si>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</si>
  <si>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</si>
  <si>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</si>
  <si>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</si>
  <si>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</si>
  <si>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</si>
  <si>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</si>
  <si>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</si>
  <si>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</si>
  <si>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</si>
  <si>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</si>
  <si>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</si>
  <si>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</si>
  <si>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</si>
  <si>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</si>
  <si>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</si>
  <si>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</si>
  <si>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</si>
  <si>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</si>
  <si>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</si>
  <si>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</si>
  <si>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</si>
  <si>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</si>
  <si>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</si>
  <si>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</si>
  <si>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</si>
  <si>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</si>
  <si>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</si>
  <si>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</si>
  <si>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</si>
  <si>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</si>
  <si>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</si>
  <si>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</si>
  <si>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</si>
  <si>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</si>
  <si>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</si>
  <si>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</si>
  <si>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</si>
  <si>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</si>
  <si>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</si>
  <si>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</si>
  <si>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</si>
  <si>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</si>
  <si>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</si>
  <si>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</si>
  <si>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</si>
  <si>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</si>
  <si>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</si>
  <si>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</si>
  <si>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</si>
  <si>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</si>
  <si>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</si>
  <si>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</si>
  <si>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</si>
  <si>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</si>
  <si>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</si>
  <si>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</si>
  <si>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</si>
  <si>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</si>
  <si>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</si>
  <si>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</si>
  <si>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</si>
  <si>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</si>
  <si>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</si>
  <si>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</si>
  <si>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</si>
  <si>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</si>
  <si>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</si>
  <si>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</si>
  <si>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</si>
  <si>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</si>
  <si>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</si>
  <si>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</si>
  <si>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</si>
  <si>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</si>
  <si>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</si>
  <si>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</si>
  <si>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</si>
  <si>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</si>
  <si>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</si>
  <si>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</si>
  <si>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</si>
  <si>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</si>
  <si>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</si>
  <si>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</si>
  <si>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</si>
  <si>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</si>
  <si>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</si>
  <si>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</si>
  <si>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</si>
  <si>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</si>
  <si>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</si>
  <si>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</si>
  <si>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</si>
  <si>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</si>
  <si>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</si>
  <si>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</si>
  <si>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</si>
  <si>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</si>
  <si>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</si>
  <si>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</si>
  <si>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</si>
  <si>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</si>
  <si>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</si>
  <si>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</si>
  <si>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</si>
  <si>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</si>
  <si>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</si>
  <si>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</si>
  <si>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</si>
  <si>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</si>
  <si>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</si>
  <si>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</si>
  <si>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</si>
  <si>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</si>
  <si>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</si>
  <si>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</si>
  <si>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</si>
  <si>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</si>
  <si>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</si>
  <si>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</si>
  <si>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</si>
  <si>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</si>
  <si>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</si>
  <si>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</si>
  <si>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</si>
  <si>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</si>
  <si>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</si>
  <si>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</si>
  <si>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</si>
  <si>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</si>
  <si>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</si>
  <si>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</si>
  <si>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</si>
  <si>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</si>
  <si>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</si>
  <si>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</si>
  <si>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</si>
  <si>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</si>
  <si>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</si>
  <si>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</si>
  <si>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</si>
  <si>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</si>
  <si>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</si>
  <si>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</si>
  <si>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</si>
  <si>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</si>
  <si>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</si>
  <si>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</si>
  <si>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</si>
  <si>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</si>
  <si>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</si>
  <si>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</si>
  <si>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</si>
  <si>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</si>
  <si>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</si>
  <si>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</si>
  <si>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</si>
  <si>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</si>
  <si>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</si>
  <si>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</si>
  <si>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</si>
  <si>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</si>
  <si>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</si>
  <si>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</si>
  <si>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</si>
  <si>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</si>
  <si>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</si>
  <si>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</si>
  <si>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</si>
  <si>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</si>
  <si>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</si>
  <si>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</si>
  <si>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</si>
  <si>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</si>
  <si>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</si>
  <si>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</si>
  <si>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</si>
  <si>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</si>
  <si>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</si>
  <si>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</si>
  <si>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</si>
  <si>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</si>
  <si>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</si>
  <si>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</si>
  <si>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</si>
  <si>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</si>
  <si>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</si>
  <si>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</si>
  <si>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</si>
  <si>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</si>
  <si>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</si>
  <si>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</si>
  <si>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</si>
  <si>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TINDALL DIVING</t>
  </si>
  <si>
    <t>MUST HAVE WATER TIGHT SEALS - PLEASE CHECK FREQUENTLY</t>
  </si>
  <si>
    <t>(300+275)</t>
  </si>
  <si>
    <t xml:space="preserve"> +/- 10mm</t>
  </si>
  <si>
    <t xml:space="preserve"> +/- 5um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</si>
</sst>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H9" sqref="H9:I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PB575G67545</v>
      </c>
      <c r="C1" s="123"/>
      <c r="D1" s="124"/>
      <c r="E1" s="12" t="s">
        <v>57</v>
      </c>
      <c r="F1" s="134" t="s">
        <v>194</v>
      </c>
      <c r="G1" s="135"/>
      <c r="H1" s="136"/>
      <c r="I1" s="13" t="s">
        <v>181</v>
      </c>
      <c r="J1" s="96">
        <f ca="1">TODAY()</f>
        <v>44152</v>
      </c>
      <c r="K1" s="96"/>
      <c r="L1" s="97"/>
      <c r="M1" s="34"/>
      <c r="N1" s="12" t="s">
        <v>56</v>
      </c>
      <c r="O1" s="123" t="str">
        <f>B1</f>
        <v>PB575G67545</v>
      </c>
      <c r="P1" s="123"/>
      <c r="Q1" s="124"/>
      <c r="R1" s="12" t="s">
        <v>57</v>
      </c>
      <c r="S1" s="123" t="str">
        <f>F1</f>
        <v>TINDALL DIVING</v>
      </c>
      <c r="T1" s="123"/>
      <c r="U1" s="124"/>
      <c r="V1" s="12" t="s">
        <v>181</v>
      </c>
      <c r="W1" s="96">
        <f ca="1">J1</f>
        <v>44152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938967</v>
      </c>
      <c r="G2" s="99"/>
      <c r="H2" s="100"/>
      <c r="I2" s="12" t="s">
        <v>59</v>
      </c>
      <c r="J2" s="98">
        <v>44179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938967</v>
      </c>
      <c r="T2" s="123"/>
      <c r="U2" s="124"/>
      <c r="V2" s="12" t="s">
        <v>59</v>
      </c>
      <c r="W2" s="137">
        <f>J2</f>
        <v>44179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WATER TIGHT SEALS - PLEASE CHECK FREQUENTLY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6</v>
      </c>
      <c r="P7" s="100"/>
      <c r="Q7" s="12" t="str">
        <f>IF(ISNUMBER(SEARCH("roll",O8,1)),"Per Roll","Per Carton")</f>
        <v>Per Carton</v>
      </c>
      <c r="R7" s="99">
        <v>1000</v>
      </c>
      <c r="S7" s="100"/>
      <c r="T7" s="12" t="str">
        <f>IF(ISNUMBER(SEARCH("bag",O8,1)),"Total Bags","Total Sheets")</f>
        <v>Total Bags</v>
      </c>
      <c r="U7" s="123">
        <f>R7*O7</f>
        <v>6000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575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(300+275)</v>
      </c>
      <c r="F8" s="102"/>
      <c r="G8" s="15" t="s">
        <v>52</v>
      </c>
      <c r="H8" s="101">
        <f>(IF(V9&lt;30,"30",V9))</f>
        <v>45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G</v>
      </c>
      <c r="Y8" s="139"/>
    </row>
    <row r="9" spans="1:28" ht="20.100000000000001" customHeight="1" x14ac:dyDescent="0.3">
      <c r="A9" s="18" t="s">
        <v>48</v>
      </c>
      <c r="B9" s="111" t="s">
        <v>197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198</v>
      </c>
      <c r="I9" s="112"/>
      <c r="J9" s="12" t="s">
        <v>55</v>
      </c>
      <c r="K9" s="99" t="s">
        <v>30</v>
      </c>
      <c r="L9" s="100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575</v>
      </c>
      <c r="S9" s="20" t="s">
        <v>78</v>
      </c>
      <c r="T9" s="70">
        <v>675</v>
      </c>
      <c r="U9" s="20" t="s">
        <v>78</v>
      </c>
      <c r="V9" s="35">
        <v>45</v>
      </c>
      <c r="W9" s="19"/>
      <c r="X9" s="153" t="s">
        <v>196</v>
      </c>
      <c r="Y9" s="154"/>
    </row>
    <row r="10" spans="1:28" ht="20.100000000000001" customHeight="1" x14ac:dyDescent="0.25">
      <c r="A10" s="12" t="s">
        <v>51</v>
      </c>
      <c r="B10" s="99">
        <v>6</v>
      </c>
      <c r="C10" s="100"/>
      <c r="D10" s="54" t="s">
        <v>134</v>
      </c>
      <c r="E10" s="113">
        <f>IF(ISNUMBER(SEARCH("sheet",O8,1)),((R9*T9*H8/540000)*U7/2000*1.3),((R9*T9*H8/540000)*U7/1000*1.08))</f>
        <v>209.58750000000001</v>
      </c>
      <c r="F10" s="114"/>
      <c r="G10" s="12" t="s">
        <v>53</v>
      </c>
      <c r="H10" s="117">
        <f>IF(ISNUMBER(SEARCH("sheet",O8,1)),(U7*T9/2000*1.08),(U7*T9/1000*1.08))</f>
        <v>4374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40" t="s">
        <v>44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34.931249999999999</v>
      </c>
      <c r="F11" s="116"/>
      <c r="G11" s="12" t="s">
        <v>15</v>
      </c>
      <c r="H11" s="115">
        <f>H10/B10</f>
        <v>729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31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62"/>
      <c r="Y16" s="95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160"/>
      <c r="J17" s="161"/>
      <c r="K17" s="160"/>
      <c r="L17" s="161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62"/>
      <c r="Y17" s="95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160"/>
      <c r="J18" s="161"/>
      <c r="K18" s="160"/>
      <c r="L18" s="161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62"/>
      <c r="Y18" s="95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160"/>
      <c r="J19" s="161"/>
      <c r="K19" s="160"/>
      <c r="L19" s="161"/>
      <c r="M19" s="34"/>
      <c r="N19" s="163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5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160"/>
      <c r="J20" s="161"/>
      <c r="K20" s="160"/>
      <c r="L20" s="161"/>
      <c r="M20" s="34"/>
      <c r="N20" s="166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8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60"/>
      <c r="J21" s="161"/>
      <c r="K21" s="160"/>
      <c r="L21" s="161"/>
      <c r="M21" s="34"/>
      <c r="N21" s="166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8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159"/>
      <c r="F22" s="95"/>
      <c r="G22" s="56" t="s">
        <v>86</v>
      </c>
      <c r="H22" s="37"/>
      <c r="I22" s="160"/>
      <c r="J22" s="161"/>
      <c r="K22" s="160"/>
      <c r="L22" s="161"/>
      <c r="M22" s="34"/>
      <c r="N22" s="169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1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60"/>
      <c r="J23" s="161"/>
      <c r="K23" s="160"/>
      <c r="L23" s="161"/>
      <c r="M23" s="34"/>
      <c r="N23" s="14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60"/>
      <c r="J24" s="161"/>
      <c r="K24" s="160"/>
      <c r="L24" s="16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44182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44173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D390260-79DD-4950-B292-04EFC8198C67}"/>
</file>

<file path=customXml/itemProps2.xml><?xml version="1.0" encoding="utf-8"?>
<ds:datastoreItem xmlns:ds="http://schemas.openxmlformats.org/officeDocument/2006/customXml" ds:itemID="{65783B21-8D14-4AB9-83CF-8BCF54F70105}"/>
</file>

<file path=customXml/itemProps3.xml><?xml version="1.0" encoding="utf-8"?>
<ds:datastoreItem xmlns:ds="http://schemas.openxmlformats.org/officeDocument/2006/customXml" ds:itemID="{8D084135-0483-478D-AE5E-848B549BF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2020-10-22T01:31:11Z</cp:lastPrinted>
  <dcterms:created xsi:type="dcterms:W3CDTF">2019-11-27T23:28:06Z</dcterms:created>
  <dcterms:modified xsi:type="dcterms:W3CDTF">2020-11-16T22:38:32Z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