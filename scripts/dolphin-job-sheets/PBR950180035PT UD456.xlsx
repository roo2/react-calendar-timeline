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2916816-7990-4A5E-B172-7781F8BBE8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<sst xmlns="http://schemas.openxmlformats.org/spreadsheetml/2006/main" count="303" uniqueCount="201">
  <si>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</si>
  <si>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</si>
  <si>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</si>
  <si>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</si>
  <si>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</si>
  <si>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</si>
  <si>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</si>
  <si>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</si>
  <si>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</si>
  <si>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</si>
  <si>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</si>
  <si>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</si>
  <si>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</si>
  <si>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</si>
  <si>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</si>
  <si>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</si>
  <si>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</si>
  <si>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</si>
  <si>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</si>
  <si>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</si>
  <si>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</si>
  <si>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</si>
  <si>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</si>
  <si>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</si>
  <si>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</si>
  <si>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</si>
  <si>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</si>
  <si>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</si>
  <si>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</si>
  <si>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</si>
  <si>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</si>
  <si>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</si>
  <si>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</si>
  <si>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</si>
  <si>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</si>
  <si>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</si>
  <si>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</si>
  <si>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</si>
  <si>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</si>
  <si>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</si>
  <si>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</si>
  <si>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</si>
  <si>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</si>
  <si>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</si>
  <si>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</si>
  <si>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</si>
  <si>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</si>
  <si>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</si>
  <si>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</si>
  <si>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</si>
  <si>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</si>
  <si>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</si>
  <si>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</si>
  <si>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</si>
  <si>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</si>
  <si>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</si>
  <si>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</si>
  <si>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</si>
  <si>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</si>
  <si>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</si>
  <si>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</si>
  <si>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</si>
  <si>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</si>
  <si>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</si>
  <si>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</si>
  <si>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</si>
  <si>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</si>
  <si>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</si>
  <si>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</si>
  <si>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</si>
  <si>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</si>
  <si>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</si>
  <si>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</si>
  <si>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</si>
  <si>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</si>
  <si>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</si>
  <si>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</si>
  <si>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</si>
  <si>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</si>
  <si>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</si>
  <si>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</si>
  <si>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</si>
  <si>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</si>
  <si>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</si>
  <si>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</si>
  <si>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</si>
  <si>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</si>
  <si>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</si>
  <si>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</si>
  <si>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</si>
  <si>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</si>
  <si>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</si>
  <si>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</si>
  <si>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</si>
  <si>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</si>
  <si>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</si>
  <si>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</si>
  <si>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</si>
  <si>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</si>
  <si>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</si>
  <si>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</si>
  <si>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</si>
  <si>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</si>
  <si>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</si>
  <si>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</si>
  <si>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</si>
  <si>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</si>
  <si>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</si>
  <si>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</si>
  <si>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</si>
  <si>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</si>
  <si>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</si>
  <si>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</si>
  <si>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</si>
  <si>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</si>
  <si>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</si>
  <si>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</si>
  <si>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</si>
  <si>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</si>
  <si>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</si>
  <si>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</si>
  <si>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</si>
  <si>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</si>
  <si>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</si>
  <si>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</si>
  <si>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</si>
  <si>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</si>
  <si>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</si>
  <si>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</si>
  <si>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</si>
  <si>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</si>
  <si>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</si>
  <si>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</si>
  <si>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</si>
  <si>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</si>
  <si>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</si>
  <si>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</si>
  <si>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</si>
  <si>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</si>
  <si>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</si>
  <si>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</si>
  <si>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</si>
  <si>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</si>
  <si>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</si>
  <si>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</si>
  <si>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</si>
  <si>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</si>
  <si>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</si>
  <si>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</si>
  <si>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</si>
  <si>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</si>
  <si>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</si>
  <si>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</si>
  <si>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</si>
  <si>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</si>
  <si>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</si>
  <si>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</si>
  <si>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</si>
  <si>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</si>
  <si>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</si>
  <si>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</si>
  <si>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</si>
  <si>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</si>
  <si>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</si>
  <si>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</si>
  <si>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</si>
  <si>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</si>
  <si>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</si>
  <si>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</si>
  <si>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</si>
  <si>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</si>
  <si>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</si>
  <si>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</si>
  <si>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</si>
  <si>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</si>
  <si>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</si>
  <si>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</si>
  <si>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</si>
  <si>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</si>
  <si>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</si>
  <si>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</si>
  <si>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</si>
  <si>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</si>
  <si>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</si>
  <si>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</si>
  <si>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</si>
  <si>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</si>
  <si>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</si>
  <si>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</si>
  <si>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</si>
  <si>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</si>
  <si>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</si>
  <si>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</si>
  <si>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</si>
  <si>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</si>
  <si>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</si>
  <si>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>ADVANTAGE AIR</t>
  </si>
  <si>
    <t xml:space="preserve"> +/- 5um</t>
  </si>
  <si>
    <t>BLACK TINT</t>
  </si>
  <si>
    <t>30.09.2021</t>
  </si>
  <si>
    <t>UD456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</si>
</sst>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PBR950180035PT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44434</v>
      </c>
      <c r="K1" s="119"/>
      <c r="L1" s="120"/>
      <c r="M1" s="35"/>
      <c r="N1" s="18" t="s">
        <v>55</v>
      </c>
      <c r="O1" s="108" t="str">
        <f>B1</f>
        <v>PBR950180035PT</v>
      </c>
      <c r="P1" s="108"/>
      <c r="Q1" s="109"/>
      <c r="R1" s="18" t="s">
        <v>56</v>
      </c>
      <c r="S1" s="108" t="str">
        <f>F1</f>
        <v>ADVANTAGE AIR</v>
      </c>
      <c r="T1" s="108"/>
      <c r="U1" s="109"/>
      <c r="V1" s="18" t="s">
        <v>180</v>
      </c>
      <c r="W1" s="119">
        <f ca="1">J1</f>
        <v>44434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UD456</v>
      </c>
      <c r="C2" s="108"/>
      <c r="D2" s="109"/>
      <c r="E2" s="18" t="s">
        <v>57</v>
      </c>
      <c r="F2" s="71">
        <v>941212</v>
      </c>
      <c r="G2" s="71"/>
      <c r="H2" s="72"/>
      <c r="I2" s="18" t="s">
        <v>58</v>
      </c>
      <c r="J2" s="131" t="s">
        <v>199</v>
      </c>
      <c r="K2" s="71"/>
      <c r="L2" s="72"/>
      <c r="M2" s="35"/>
      <c r="N2" s="18" t="s">
        <v>99</v>
      </c>
      <c r="O2" s="108" t="str">
        <f>IF(B2="","",B2)</f>
        <v>UD456</v>
      </c>
      <c r="P2" s="108"/>
      <c r="Q2" s="109"/>
      <c r="R2" s="18" t="s">
        <v>57</v>
      </c>
      <c r="S2" s="108">
        <f>IF(F2="","",F2)</f>
        <v>941212</v>
      </c>
      <c r="T2" s="108"/>
      <c r="U2" s="109"/>
      <c r="V2" s="18" t="s">
        <v>58</v>
      </c>
      <c r="W2" s="121" t="str">
        <f>J2</f>
        <v>30.09.2021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PERF INLINE - USE REMILL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157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5</v>
      </c>
      <c r="P7" s="72"/>
      <c r="Q7" s="18" t="str">
        <f>IF(ISNUMBER(SEARCH("roll",O8,1)),"Per Roll","Per Carton")</f>
        <v>Per Roll</v>
      </c>
      <c r="R7" s="71">
        <v>180</v>
      </c>
      <c r="S7" s="72"/>
      <c r="T7" s="18" t="str">
        <f>IF(ISNUMBER(SEARCH("bag",O8,1)),"Total Bags","Total Sheets")</f>
        <v>Total Bags</v>
      </c>
      <c r="U7" s="108">
        <f>R7*O7</f>
        <v>900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950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35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950</v>
      </c>
      <c r="S9" s="25" t="s">
        <v>77</v>
      </c>
      <c r="T9" s="36">
        <v>1800</v>
      </c>
      <c r="U9" s="25" t="s">
        <v>77</v>
      </c>
      <c r="V9" s="36">
        <v>35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5</v>
      </c>
      <c r="C10" s="72"/>
      <c r="D10" s="56" t="s">
        <v>133</v>
      </c>
      <c r="E10" s="146">
        <f>IF(ISNUMBER(SEARCH("sheet",O8,1)),((R9*T9*H8/540000)*U7/2000*1.3),((R9*T9*H8/540000)*U7/1000*1.08))</f>
        <v>107.73</v>
      </c>
      <c r="F10" s="147"/>
      <c r="G10" s="18" t="s">
        <v>52</v>
      </c>
      <c r="H10" s="150">
        <f>IF(ISNUMBER(SEARCH("sheet",O8,1)),(U7*T9/2000*1.08),(U7*T9/1000*1.08))</f>
        <v>1749.6000000000001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 t="s">
        <v>200</v>
      </c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21.545999999999999</v>
      </c>
      <c r="F11" s="149"/>
      <c r="G11" s="18" t="s">
        <v>14</v>
      </c>
      <c r="H11" s="148">
        <f>H10/B10</f>
        <v>349.92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PURPLE TINT</v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PT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44465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44455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198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A41D914-43A8-4BB1-8BAD-5CFB6056058E}"/>
</file>

<file path=customXml/itemProps2.xml><?xml version="1.0" encoding="utf-8"?>
<ds:datastoreItem xmlns:ds="http://schemas.openxmlformats.org/officeDocument/2006/customXml" ds:itemID="{7CCE0D5F-AB21-4D29-B767-BAB1D9C1C9A4}"/>
</file>

<file path=customXml/itemProps3.xml><?xml version="1.0" encoding="utf-8"?>
<ds:datastoreItem xmlns:ds="http://schemas.openxmlformats.org/officeDocument/2006/customXml" ds:itemID="{7ABF601E-02B6-49B7-98D5-CCD427BC9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2021-08-26T00:59:40Z</cp:lastPrinted>
  <dcterms:created xsi:type="dcterms:W3CDTF">2019-11-27T23:28:06Z</dcterms:created>
  <dcterms:modified xsi:type="dcterms:W3CDTF">2021-08-26T01:00:33Z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