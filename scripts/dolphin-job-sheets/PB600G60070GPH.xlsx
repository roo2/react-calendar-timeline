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51CFC1EF-B94F-4E2F-A82F-08438D0DB3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<sst xmlns="http://schemas.openxmlformats.org/spreadsheetml/2006/main" count="308" uniqueCount="204">
  <si>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</si>
  <si>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</si>
  <si>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</si>
  <si>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</si>
  <si>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</si>
  <si>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</si>
  <si>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</si>
  <si>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</si>
  <si>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</si>
  <si>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</si>
  <si>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</si>
  <si>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</si>
  <si>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</si>
  <si>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</si>
  <si>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</si>
  <si>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</si>
  <si>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</si>
  <si>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</si>
  <si>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</si>
  <si>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</si>
  <si>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</si>
  <si>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</si>
  <si>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</si>
  <si>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</si>
  <si>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</si>
  <si>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</si>
  <si>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</si>
  <si>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</si>
  <si>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</si>
  <si>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</si>
  <si>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</si>
  <si>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</si>
  <si>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</si>
  <si>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</si>
  <si>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</si>
  <si>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</si>
  <si>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</si>
  <si>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</si>
  <si>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</si>
  <si>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</si>
  <si>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</si>
  <si>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</si>
  <si>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</si>
  <si>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</si>
  <si>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</si>
  <si>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</si>
  <si>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</si>
  <si>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</si>
  <si>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</si>
  <si>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</si>
  <si>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</si>
  <si>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</si>
  <si>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</si>
  <si>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</si>
  <si>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</si>
  <si>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</si>
  <si>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</si>
  <si>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</si>
  <si>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</si>
  <si>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</si>
  <si>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</si>
  <si>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</si>
  <si>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</si>
  <si>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</si>
  <si>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</si>
  <si>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</si>
  <si>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</si>
  <si>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</si>
  <si>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</si>
  <si>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</si>
  <si>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</si>
  <si>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</si>
  <si>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</si>
  <si>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</si>
  <si>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</si>
  <si>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</si>
  <si>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</si>
  <si>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</si>
  <si>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</si>
  <si>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</si>
  <si>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</si>
  <si>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</si>
  <si>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</si>
  <si>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</si>
  <si>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</si>
  <si>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</si>
  <si>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</si>
  <si>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</si>
  <si>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</si>
  <si>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</si>
  <si>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</si>
  <si>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</si>
  <si>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</si>
  <si>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</si>
  <si>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</si>
  <si>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</si>
  <si>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</si>
  <si>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</si>
  <si>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</si>
  <si>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</si>
  <si>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</si>
  <si>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</si>
  <si>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</si>
  <si>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</si>
  <si>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</si>
  <si>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</si>
  <si>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</si>
  <si>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</si>
  <si>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</si>
  <si>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</si>
  <si>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</si>
  <si>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</si>
  <si>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</si>
  <si>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</si>
  <si>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</si>
  <si>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</si>
  <si>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</si>
  <si>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</si>
  <si>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</si>
  <si>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</si>
  <si>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</si>
  <si>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</si>
  <si>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</si>
  <si>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</si>
  <si>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</si>
  <si>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</si>
  <si>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</si>
  <si>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</si>
  <si>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</si>
  <si>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</si>
  <si>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</si>
  <si>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</si>
  <si>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</si>
  <si>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</si>
  <si>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</si>
  <si>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</si>
  <si>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</si>
  <si>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</si>
  <si>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</si>
  <si>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</si>
  <si>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</si>
  <si>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</si>
  <si>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</si>
  <si>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</si>
  <si>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</si>
  <si>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</si>
  <si>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</si>
  <si>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</si>
  <si>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</si>
  <si>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</si>
  <si>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</si>
  <si>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</si>
  <si>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</si>
  <si>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</si>
  <si>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</si>
  <si>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</si>
  <si>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</si>
  <si>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</si>
  <si>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</si>
  <si>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</si>
  <si>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</si>
  <si>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</si>
  <si>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</si>
  <si>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</si>
  <si>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</si>
  <si>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</si>
  <si>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</si>
  <si>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</si>
  <si>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</si>
  <si>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</si>
  <si>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</si>
  <si>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</si>
  <si>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</si>
  <si>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</si>
  <si>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</si>
  <si>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</si>
  <si>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</si>
  <si>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</si>
  <si>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</si>
  <si>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</si>
  <si>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</si>
  <si>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</si>
  <si>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</si>
  <si>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</si>
  <si>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</si>
  <si>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</si>
  <si>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</si>
  <si>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</si>
  <si>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</si>
  <si>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</si>
  <si>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</si>
  <si>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</si>
  <si>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</si>
  <si>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</si>
  <si>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</si>
  <si>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+/- 10mm</t>
  </si>
  <si>
    <t>LIMAX</t>
  </si>
  <si>
    <t>TUFFTEX</t>
  </si>
  <si>
    <t xml:space="preserve">NEW CUSTOMER - NEW ITEM PLEASE DOUBLE CHECK PRINT AND HANDLE -                    DIE CUT HANDLE - </t>
  </si>
  <si>
    <t>(500+100)</t>
  </si>
  <si>
    <t>"TUFFTEX" NEW PLATE - SEE ROHAN</t>
  </si>
  <si>
    <t>GREY</t>
  </si>
  <si>
    <t xml:space="preserve">DIE CUT HANDLE - SEE ROHAN FOR HANDLE PLACEMENT - 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</si>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</sst>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16" fillId="5" borderId="2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0" fontId="2" fillId="8" borderId="0" xfId="0" applyFont="1" applyFill="1" applyAlignment="1">
      <alignment horizontal="left"/>
    </xf>
    <xf numFmtId="0" fontId="18" fillId="8" borderId="2" xfId="0" applyFont="1" applyFill="1" applyBorder="1" applyAlignment="1" applyProtection="1">
      <alignment horizontal="center" vertical="center"/>
      <protection locked="0"/>
    </xf>
    <xf numFmtId="0" fontId="18" fillId="8" borderId="5" xfId="0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top" wrapText="1"/>
      <protection locked="0"/>
    </xf>
    <xf numFmtId="0" fontId="19" fillId="0" borderId="3" xfId="0" applyFont="1" applyBorder="1" applyAlignment="1" applyProtection="1">
      <alignment horizontal="center" vertical="top" wrapText="1"/>
      <protection locked="0"/>
    </xf>
    <xf numFmtId="0" fontId="19" fillId="0" borderId="8" xfId="0" applyFont="1" applyBorder="1" applyAlignment="1" applyProtection="1">
      <alignment horizontal="center" vertical="top" wrapText="1"/>
      <protection locked="0"/>
    </xf>
    <xf numFmtId="0" fontId="19" fillId="0" borderId="9" xfId="0" applyFont="1" applyBorder="1" applyAlignment="1" applyProtection="1">
      <alignment horizontal="center" vertical="top" wrapText="1"/>
      <protection locked="0"/>
    </xf>
    <xf numFmtId="0" fontId="19" fillId="0" borderId="0" xfId="0" applyFont="1" applyBorder="1" applyAlignment="1" applyProtection="1">
      <alignment horizontal="center" vertical="top" wrapText="1"/>
      <protection locked="0"/>
    </xf>
    <xf numFmtId="0" fontId="19" fillId="0" borderId="10" xfId="0" applyFont="1" applyBorder="1" applyAlignment="1" applyProtection="1">
      <alignment horizontal="center" vertical="top" wrapText="1"/>
      <protection locked="0"/>
    </xf>
    <xf numFmtId="0" fontId="19" fillId="0" borderId="11" xfId="0" applyFont="1" applyBorder="1" applyAlignment="1" applyProtection="1">
      <alignment horizontal="center" vertical="top" wrapText="1"/>
      <protection locked="0"/>
    </xf>
    <xf numFmtId="0" fontId="19" fillId="0" borderId="1" xfId="0" applyFont="1" applyBorder="1" applyAlignment="1" applyProtection="1">
      <alignment horizontal="center" vertical="top" wrapText="1"/>
      <protection locked="0"/>
    </xf>
    <xf numFmtId="0" fontId="19" fillId="0" borderId="12" xfId="0" applyFont="1" applyBorder="1" applyAlignment="1" applyProtection="1">
      <alignment horizontal="center" vertical="top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W25" sqref="W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PB600G600700P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44460</v>
      </c>
      <c r="K1" s="95"/>
      <c r="L1" s="96"/>
      <c r="M1" s="34"/>
      <c r="N1" s="12" t="s">
        <v>56</v>
      </c>
      <c r="O1" s="122" t="str">
        <f>B1</f>
        <v>PB600G600700P</v>
      </c>
      <c r="P1" s="122"/>
      <c r="Q1" s="123"/>
      <c r="R1" s="12" t="s">
        <v>57</v>
      </c>
      <c r="S1" s="122" t="str">
        <f>F1</f>
        <v>TUFFTEX</v>
      </c>
      <c r="T1" s="122"/>
      <c r="U1" s="123"/>
      <c r="V1" s="12" t="s">
        <v>181</v>
      </c>
      <c r="W1" s="95">
        <f ca="1">J1</f>
        <v>44460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941411</v>
      </c>
      <c r="G2" s="98"/>
      <c r="H2" s="99"/>
      <c r="I2" s="12" t="s">
        <v>59</v>
      </c>
      <c r="J2" s="97">
        <v>44490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941411</v>
      </c>
      <c r="T2" s="122"/>
      <c r="U2" s="123"/>
      <c r="V2" s="12" t="s">
        <v>59</v>
      </c>
      <c r="W2" s="135">
        <f>J2</f>
        <v>44490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NEW CUSTOMER - NEW ITEM PLEASE DOUBLE CHECK PRINT AND HANDLE -                    DIE CUT HANDLE - 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25">
      <c r="A7" s="12" t="s">
        <v>49</v>
      </c>
      <c r="B7" s="164" t="s">
        <v>201</v>
      </c>
      <c r="C7" s="164"/>
      <c r="D7" s="164"/>
      <c r="E7" s="164"/>
      <c r="F7" s="164"/>
      <c r="G7" s="164"/>
      <c r="H7" s="164"/>
      <c r="I7" s="165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9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2250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600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(500+100)</v>
      </c>
      <c r="F8" s="101"/>
      <c r="G8" s="15" t="s">
        <v>52</v>
      </c>
      <c r="H8" s="100">
        <f>(IF(V9&lt;30,"30",V9))</f>
        <v>70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600</v>
      </c>
      <c r="S9" s="20" t="s">
        <v>78</v>
      </c>
      <c r="T9" s="35">
        <v>600</v>
      </c>
      <c r="U9" s="20" t="s">
        <v>78</v>
      </c>
      <c r="V9" s="35">
        <v>70</v>
      </c>
      <c r="W9" s="19"/>
      <c r="X9" s="151" t="s">
        <v>199</v>
      </c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113.4</v>
      </c>
      <c r="F10" s="113"/>
      <c r="G10" s="12" t="s">
        <v>53</v>
      </c>
      <c r="H10" s="116">
        <f>IF(ISNUMBER(SEARCH("sheet",O8,1)),(U7*T9/2000*1.08),(U7*T9/1000*1.08))</f>
        <v>1458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28.35</v>
      </c>
      <c r="F11" s="115"/>
      <c r="G11" s="12" t="s">
        <v>15</v>
      </c>
      <c r="H11" s="114">
        <f>H10/B10</f>
        <v>364.5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153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4">
      <c r="A14" s="15" t="s">
        <v>60</v>
      </c>
      <c r="B14" s="161" t="s">
        <v>200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2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0"/>
      <c r="Y16" s="94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54"/>
      <c r="J17" s="155"/>
      <c r="K17" s="154"/>
      <c r="L17" s="155"/>
      <c r="M17" s="34"/>
      <c r="N17" s="12" t="s">
        <v>26</v>
      </c>
      <c r="O17" s="98" t="s">
        <v>37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0"/>
      <c r="Y17" s="94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54"/>
      <c r="J18" s="155"/>
      <c r="K18" s="154"/>
      <c r="L18" s="155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0"/>
      <c r="Y18" s="94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54"/>
      <c r="J19" s="155"/>
      <c r="K19" s="154"/>
      <c r="L19" s="155"/>
      <c r="M19" s="34"/>
      <c r="N19" s="166" t="s">
        <v>202</v>
      </c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8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54"/>
      <c r="J20" s="155"/>
      <c r="K20" s="154"/>
      <c r="L20" s="155"/>
      <c r="M20" s="34"/>
      <c r="N20" s="169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1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54"/>
      <c r="J21" s="155"/>
      <c r="K21" s="154"/>
      <c r="L21" s="155"/>
      <c r="M21" s="34"/>
      <c r="N21" s="169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1"/>
    </row>
    <row r="22" spans="1:25" ht="20.100000000000001" customHeight="1" x14ac:dyDescent="0.35">
      <c r="A22" s="85" t="str">
        <f>(IF(B7="NATURAL","",B7))</f>
        <v>GREY</v>
      </c>
      <c r="B22" s="85"/>
      <c r="C22" s="88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9"/>
      <c r="E22" s="175" t="s">
        <v>203</v>
      </c>
      <c r="F22" s="176"/>
      <c r="G22" s="56" t="s">
        <v>86</v>
      </c>
      <c r="H22" s="37"/>
      <c r="I22" s="154"/>
      <c r="J22" s="155"/>
      <c r="K22" s="154"/>
      <c r="L22" s="155"/>
      <c r="M22" s="34"/>
      <c r="N22" s="172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4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153"/>
      <c r="F23" s="94"/>
      <c r="G23" s="56" t="s">
        <v>87</v>
      </c>
      <c r="H23" s="37"/>
      <c r="I23" s="154"/>
      <c r="J23" s="155"/>
      <c r="K23" s="154"/>
      <c r="L23" s="155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154"/>
      <c r="F24" s="155"/>
      <c r="G24" s="56" t="s">
        <v>88</v>
      </c>
      <c r="H24" s="37"/>
      <c r="I24" s="154"/>
      <c r="J24" s="155"/>
      <c r="K24" s="154"/>
      <c r="L24" s="155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/>
      <c r="R25" s="10"/>
      <c r="S25" s="10"/>
      <c r="T25" s="10"/>
      <c r="U25" s="10"/>
      <c r="V25" s="10"/>
      <c r="W25" s="10"/>
      <c r="X25" s="38" t="s">
        <v>127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9" t="s">
        <v>132</v>
      </c>
      <c r="H26" s="159"/>
      <c r="I26" s="159" t="s">
        <v>131</v>
      </c>
      <c r="J26" s="159"/>
      <c r="K26" s="28" t="s">
        <v>94</v>
      </c>
      <c r="L26" s="28" t="s">
        <v>95</v>
      </c>
      <c r="M26" s="34"/>
      <c r="N26" s="156" t="s">
        <v>137</v>
      </c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8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Sheet2!$N$18:$N$22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Sheet2!$N$25:$N$29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1" zoomScaleNormal="100" workbookViewId="0">
      <selection activeCell="I54" sqref="I5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44490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44481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3" t="s">
        <v>201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5" t="s">
        <v>25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174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 t="s">
        <v>165</v>
      </c>
      <c r="O19" s="1"/>
      <c r="P19" s="1"/>
      <c r="Q19" s="1"/>
      <c r="R19" s="1"/>
      <c r="S19" s="1"/>
      <c r="T19" s="1"/>
      <c r="U19" s="1"/>
      <c r="V19" s="1"/>
    </row>
    <row r="20" spans="1:23" x14ac:dyDescent="0.25">
      <c r="A20" s="64" t="s">
        <v>154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193</v>
      </c>
      <c r="T20" s="1"/>
      <c r="V20" s="1"/>
    </row>
    <row r="21" spans="1:23" x14ac:dyDescent="0.25">
      <c r="A21" s="64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</row>
    <row r="22" spans="1:23" x14ac:dyDescent="0.25">
      <c r="A22" s="64" t="s">
        <v>157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7"/>
      <c r="N22" s="62" t="s">
        <v>167</v>
      </c>
      <c r="T22" s="1"/>
      <c r="V22" s="1"/>
      <c r="W22" s="2"/>
    </row>
    <row r="23" spans="1:23" x14ac:dyDescent="0.25">
      <c r="A23" s="64" t="s">
        <v>158</v>
      </c>
      <c r="B23" s="62"/>
      <c r="C23" s="62"/>
      <c r="D23" s="62"/>
      <c r="E23" s="5"/>
      <c r="F23" s="62"/>
      <c r="G23" s="5"/>
      <c r="H23" s="62"/>
      <c r="I23" s="5"/>
      <c r="J23" s="62"/>
      <c r="K23" s="62"/>
      <c r="L23" s="62"/>
      <c r="M23" s="67"/>
      <c r="N23" s="67"/>
      <c r="T23" s="1"/>
      <c r="V23" s="1"/>
      <c r="W23" s="2"/>
    </row>
    <row r="24" spans="1:23" x14ac:dyDescent="0.25">
      <c r="A24" s="64" t="s">
        <v>159</v>
      </c>
      <c r="B24" s="62"/>
      <c r="C24" s="62"/>
      <c r="D24" s="62"/>
      <c r="E24" s="5"/>
      <c r="F24" s="62"/>
      <c r="G24" s="5"/>
      <c r="H24" s="62"/>
      <c r="I24" s="62"/>
      <c r="J24" s="62"/>
      <c r="K24" s="62"/>
      <c r="L24" s="62"/>
      <c r="M24" s="67"/>
      <c r="N24" s="65" t="s">
        <v>141</v>
      </c>
      <c r="T24" s="1"/>
      <c r="V24" s="1"/>
      <c r="W24" s="2"/>
    </row>
    <row r="25" spans="1:23" x14ac:dyDescent="0.25">
      <c r="A25" s="64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44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161</v>
      </c>
      <c r="B26" s="62"/>
      <c r="C26" s="62"/>
      <c r="D26" s="62"/>
      <c r="E26" s="5"/>
      <c r="F26" s="62"/>
      <c r="G26" s="62"/>
      <c r="H26" s="62"/>
      <c r="I26" s="62"/>
      <c r="J26" s="62"/>
      <c r="K26" s="62"/>
      <c r="L26" s="62"/>
      <c r="M26" s="62"/>
      <c r="N26" s="62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162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187</v>
      </c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140</v>
      </c>
      <c r="U29" s="1"/>
      <c r="V29" s="1"/>
    </row>
    <row r="30" spans="1:23" x14ac:dyDescent="0.25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7"/>
      <c r="U30" s="1"/>
      <c r="V30" s="1"/>
    </row>
    <row r="31" spans="1:23" x14ac:dyDescent="0.25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6" t="s">
        <v>28</v>
      </c>
      <c r="U31" s="1"/>
      <c r="V31" s="1"/>
    </row>
    <row r="32" spans="1:23" x14ac:dyDescent="0.25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 t="s">
        <v>168</v>
      </c>
      <c r="U32" s="1"/>
      <c r="V32" s="1"/>
    </row>
    <row r="33" spans="1:22" x14ac:dyDescent="0.25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110</v>
      </c>
      <c r="U33" s="1"/>
      <c r="V33" s="1"/>
    </row>
    <row r="34" spans="1:22" x14ac:dyDescent="0.25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130</v>
      </c>
      <c r="U34" s="1"/>
      <c r="V34" s="1"/>
    </row>
    <row r="35" spans="1:22" x14ac:dyDescent="0.25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150</v>
      </c>
      <c r="U35" s="1"/>
      <c r="V35" s="1"/>
    </row>
    <row r="36" spans="1:22" x14ac:dyDescent="0.25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>
        <v>180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170</v>
      </c>
      <c r="U38" s="1"/>
      <c r="V38" s="1"/>
    </row>
    <row r="39" spans="1:22" x14ac:dyDescent="0.25">
      <c r="A39" s="5" t="s">
        <v>45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5" t="s">
        <v>38</v>
      </c>
      <c r="U39" s="1"/>
      <c r="V39" s="1"/>
    </row>
    <row r="40" spans="1:22" x14ac:dyDescent="0.25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22" x14ac:dyDescent="0.25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6" t="s">
        <v>26</v>
      </c>
    </row>
    <row r="42" spans="1:22" x14ac:dyDescent="0.25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35</v>
      </c>
    </row>
    <row r="43" spans="1:22" x14ac:dyDescent="0.25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37</v>
      </c>
    </row>
    <row r="44" spans="1:22" x14ac:dyDescent="0.25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 t="s">
        <v>171</v>
      </c>
    </row>
    <row r="45" spans="1:22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"/>
    </row>
    <row r="46" spans="1:22" x14ac:dyDescent="0.25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6" t="s">
        <v>101</v>
      </c>
    </row>
    <row r="47" spans="1:22" x14ac:dyDescent="0.25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38</v>
      </c>
    </row>
    <row r="48" spans="1:22" x14ac:dyDescent="0.25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32</v>
      </c>
    </row>
    <row r="49" spans="1:20" x14ac:dyDescent="0.25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172</v>
      </c>
    </row>
    <row r="50" spans="1:20" x14ac:dyDescent="0.25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183</v>
      </c>
    </row>
    <row r="51" spans="1:20" x14ac:dyDescent="0.25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5" t="s">
        <v>185</v>
      </c>
    </row>
    <row r="52" spans="1:20" x14ac:dyDescent="0.25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5" t="s">
        <v>173</v>
      </c>
    </row>
    <row r="54" spans="1:20" x14ac:dyDescent="0.25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31</v>
      </c>
    </row>
    <row r="55" spans="1:20" x14ac:dyDescent="0.25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2" t="s">
        <v>23</v>
      </c>
    </row>
    <row r="56" spans="1:20" x14ac:dyDescent="0.25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20" x14ac:dyDescent="0.25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6" t="s">
        <v>27</v>
      </c>
    </row>
    <row r="58" spans="1:20" x14ac:dyDescent="0.25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36</v>
      </c>
      <c r="O58" s="1"/>
      <c r="P58" s="1"/>
      <c r="Q58" s="1"/>
      <c r="R58" s="1"/>
      <c r="S58" s="1"/>
      <c r="T58" s="1"/>
    </row>
    <row r="59" spans="1:20" x14ac:dyDescent="0.25">
      <c r="A59" s="64" t="s">
        <v>155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2" t="s">
        <v>33</v>
      </c>
    </row>
    <row r="60" spans="1:20" x14ac:dyDescent="0.25">
      <c r="A60" s="64" t="s">
        <v>148</v>
      </c>
    </row>
    <row r="61" spans="1:20" x14ac:dyDescent="0.25">
      <c r="A61" s="64" t="s">
        <v>149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3F87977-E40C-4CFE-AC75-A9FBF9828C46}"/>
</file>

<file path=customXml/itemProps2.xml><?xml version="1.0" encoding="utf-8"?>
<ds:datastoreItem xmlns:ds="http://schemas.openxmlformats.org/officeDocument/2006/customXml" ds:itemID="{7F4A2E77-AB45-48DA-A12F-0086FDF8D2B9}"/>
</file>

<file path=customXml/itemProps3.xml><?xml version="1.0" encoding="utf-8"?>
<ds:datastoreItem xmlns:ds="http://schemas.openxmlformats.org/officeDocument/2006/customXml" ds:itemID="{A400F1B4-B08D-48AB-8A0B-704A59556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2021-09-21T01:04:52Z</cp:lastPrinted>
  <dcterms:created xsi:type="dcterms:W3CDTF">2019-11-27T23:28:06Z</dcterms:created>
  <dcterms:modified xsi:type="dcterms:W3CDTF">2021-09-21T01:05:04Z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