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2AB6BAD-0840-44D1-9590-4961732FE8A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<sst xmlns="http://schemas.openxmlformats.org/spreadsheetml/2006/main" count="304" uniqueCount="199">
  <si>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</si>
  <si>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</si>
  <si>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</si>
  <si>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</si>
  <si>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</si>
  <si>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</si>
  <si>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</si>
  <si>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</si>
  <si>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</si>
  <si>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</si>
  <si>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</si>
  <si>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</si>
  <si>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</si>
  <si>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</si>
  <si>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</si>
  <si>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</si>
  <si>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</si>
  <si>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</si>
  <si>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</si>
  <si>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</si>
  <si>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</si>
  <si>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</si>
  <si>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</si>
  <si>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</si>
  <si>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</si>
  <si>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</si>
  <si>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</si>
  <si>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</si>
  <si>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</si>
  <si>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</si>
  <si>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</si>
  <si>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</si>
  <si>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</si>
  <si>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</si>
  <si>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</si>
  <si>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</si>
  <si>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</si>
  <si>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</si>
  <si>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</si>
  <si>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</si>
  <si>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</si>
  <si>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</si>
  <si>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</si>
  <si>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</si>
  <si>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</si>
  <si>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</si>
  <si>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</si>
  <si>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</si>
  <si>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</si>
  <si>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</si>
  <si>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</si>
  <si>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</si>
  <si>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</si>
  <si>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</si>
  <si>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</si>
  <si>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</si>
  <si>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</si>
  <si>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</si>
  <si>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</si>
  <si>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</si>
  <si>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</si>
  <si>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</si>
  <si>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</si>
  <si>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</si>
  <si>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</si>
  <si>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</si>
  <si>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</si>
  <si>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</si>
  <si>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</si>
  <si>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</si>
  <si>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</si>
  <si>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</si>
  <si>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</si>
  <si>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</si>
  <si>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</si>
  <si>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</si>
  <si>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</si>
  <si>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</si>
  <si>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</si>
  <si>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</si>
  <si>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</si>
  <si>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</si>
  <si>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</si>
  <si>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</si>
  <si>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</si>
  <si>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</si>
  <si>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</si>
  <si>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</si>
  <si>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</si>
  <si>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</si>
  <si>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</si>
  <si>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</si>
  <si>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</si>
  <si>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</si>
  <si>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</si>
  <si>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</si>
  <si>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</si>
  <si>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</si>
  <si>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</si>
  <si>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</si>
  <si>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</si>
  <si>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</si>
  <si>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</si>
  <si>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</si>
  <si>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</si>
  <si>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</si>
  <si>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</si>
  <si>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</si>
  <si>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</si>
  <si>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</si>
  <si>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</si>
  <si>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</si>
  <si>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</si>
  <si>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</si>
  <si>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</si>
  <si>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</si>
  <si>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</si>
  <si>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</si>
  <si>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</si>
  <si>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</si>
  <si>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</si>
  <si>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</si>
  <si>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</si>
  <si>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</si>
  <si>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</si>
  <si>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</si>
  <si>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</si>
  <si>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</si>
  <si>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</si>
  <si>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</si>
  <si>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</si>
  <si>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</si>
  <si>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</si>
  <si>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</si>
  <si>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</si>
  <si>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</si>
  <si>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</si>
  <si>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</si>
  <si>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</si>
  <si>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</si>
  <si>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</si>
  <si>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</si>
  <si>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</si>
  <si>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</si>
  <si>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</si>
  <si>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</si>
  <si>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</si>
  <si>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</si>
  <si>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</si>
  <si>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</si>
  <si>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</si>
  <si>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</si>
  <si>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</si>
  <si>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</si>
  <si>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</si>
  <si>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</si>
  <si>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</si>
  <si>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</si>
  <si>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</si>
  <si>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</si>
  <si>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</si>
  <si>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</si>
  <si>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</si>
  <si>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</si>
  <si>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</si>
  <si>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</si>
  <si>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</si>
  <si>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</si>
  <si>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</si>
  <si>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</si>
  <si>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</si>
  <si>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</si>
  <si>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</si>
  <si>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</si>
  <si>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</si>
  <si>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</si>
  <si>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</si>
  <si>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</si>
  <si>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</si>
  <si>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</si>
  <si>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</si>
  <si>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</si>
  <si>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</si>
  <si>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</si>
  <si>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</si>
  <si>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</si>
  <si>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</si>
  <si>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</si>
  <si>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</si>
  <si>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</si>
  <si>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</si>
  <si>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</si>
  <si>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</si>
  <si>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</si>
  <si>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</si>
  <si>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</si>
  <si>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RUN @ 190UM</t>
  </si>
  <si>
    <r>
      <t xml:space="preserve">NEW ITEM - NEW CUSTOMER - MUST BE SPOT  WIDTH - CHECK SEALS FREQUENTLY </t>
    </r>
    <r>
      <rPr>
        <b/>
        <u/>
        <sz val="22"/>
        <color rgb="FFFF0000"/>
        <rFont val="Calibri"/>
        <family val="2"/>
        <scheme val="minor"/>
      </rPr>
      <t>NOT OVER 190UM AT ALL</t>
    </r>
  </si>
  <si>
    <t xml:space="preserve">SEASTOCK PTY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</si>
</sst>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5" fillId="0" borderId="5" xfId="0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F2" sqref="F2:H2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PBR10002000200</v>
      </c>
      <c r="C1" s="123"/>
      <c r="D1" s="124"/>
      <c r="E1" s="12" t="s">
        <v>57</v>
      </c>
      <c r="F1" s="125" t="s">
        <v>198</v>
      </c>
      <c r="G1" s="125"/>
      <c r="H1" s="126"/>
      <c r="I1" s="13" t="s">
        <v>181</v>
      </c>
      <c r="J1" s="96">
        <f ca="1">TODAY()</f>
        <v>44798</v>
      </c>
      <c r="K1" s="96"/>
      <c r="L1" s="97"/>
      <c r="M1" s="34"/>
      <c r="N1" s="12" t="s">
        <v>56</v>
      </c>
      <c r="O1" s="123" t="str">
        <f>B1</f>
        <v>PBR10002000200</v>
      </c>
      <c r="P1" s="123"/>
      <c r="Q1" s="124"/>
      <c r="R1" s="12" t="s">
        <v>57</v>
      </c>
      <c r="S1" s="123" t="str">
        <f>F1</f>
        <v xml:space="preserve">SEASTOCK PTY </v>
      </c>
      <c r="T1" s="123"/>
      <c r="U1" s="124"/>
      <c r="V1" s="12" t="s">
        <v>181</v>
      </c>
      <c r="W1" s="96">
        <f ca="1">J1</f>
        <v>44798</v>
      </c>
      <c r="X1" s="96"/>
      <c r="Y1" s="9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944046</v>
      </c>
      <c r="G2" s="99"/>
      <c r="H2" s="100"/>
      <c r="I2" s="12" t="s">
        <v>59</v>
      </c>
      <c r="J2" s="98">
        <v>44829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944046</v>
      </c>
      <c r="T2" s="123"/>
      <c r="U2" s="124"/>
      <c r="V2" s="12" t="s">
        <v>59</v>
      </c>
      <c r="W2" s="127">
        <f>J2</f>
        <v>44829</v>
      </c>
      <c r="X2" s="123"/>
      <c r="Y2" s="124"/>
    </row>
    <row r="3" spans="1:28" ht="20.149999999999999" customHeight="1" x14ac:dyDescent="0.75">
      <c r="A3" s="152" t="s">
        <v>197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4"/>
      <c r="M3" s="34"/>
      <c r="N3" s="152" t="str">
        <f>A3</f>
        <v>NEW ITEM - NEW CUSTOMER - MUST BE SPOT  WIDTH - CHECK SEALS FREQUENTLY NOT OVER 190UM AT ALL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/>
    </row>
    <row r="4" spans="1:28" ht="20.149999999999999" customHeight="1" x14ac:dyDescent="0.75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7"/>
      <c r="M4" s="34"/>
      <c r="N4" s="155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7"/>
    </row>
    <row r="5" spans="1:28" ht="20.149999999999999" customHeight="1" x14ac:dyDescent="0.7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60"/>
      <c r="M5" s="34"/>
      <c r="N5" s="158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</row>
    <row r="6" spans="1:28" ht="20.149999999999999" customHeight="1" x14ac:dyDescent="0.7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49999999999999" customHeight="1" x14ac:dyDescent="0.9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Rolls</v>
      </c>
      <c r="O7" s="99">
        <v>10</v>
      </c>
      <c r="P7" s="100"/>
      <c r="Q7" s="12" t="str">
        <f>IF(ISNUMBER(SEARCH("roll",O8,1)),"Per Roll","Per Carton")</f>
        <v>Per Roll</v>
      </c>
      <c r="R7" s="99">
        <v>25</v>
      </c>
      <c r="S7" s="100"/>
      <c r="T7" s="12" t="str">
        <f>IF(ISNUMBER(SEARCH("bag",O8,1)),"Total Bags","Total Sheets")</f>
        <v>Total Bags</v>
      </c>
      <c r="U7" s="123">
        <f>R7*O7</f>
        <v>250</v>
      </c>
      <c r="V7" s="124"/>
      <c r="W7" s="12" t="s">
        <v>102</v>
      </c>
      <c r="X7" s="99" t="s">
        <v>23</v>
      </c>
      <c r="Y7" s="100"/>
      <c r="AB7" s="14"/>
    </row>
    <row r="8" spans="1:28" ht="20.149999999999999" customHeight="1" x14ac:dyDescent="0.8">
      <c r="A8" s="15" t="s">
        <v>16</v>
      </c>
      <c r="B8" s="101">
        <f>R9</f>
        <v>1000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200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0" t="s">
        <v>165</v>
      </c>
      <c r="P8" s="13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8" ht="20.149999999999999" customHeight="1" x14ac:dyDescent="0.9">
      <c r="A9" s="18" t="s">
        <v>48</v>
      </c>
      <c r="B9" s="111" t="s">
        <v>194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196</v>
      </c>
      <c r="I9" s="112"/>
      <c r="J9" s="12" t="s">
        <v>55</v>
      </c>
      <c r="K9" s="99" t="s">
        <v>30</v>
      </c>
      <c r="L9" s="100"/>
      <c r="M9" s="34"/>
      <c r="N9" s="19"/>
      <c r="O9" s="132" t="str">
        <f>IF(O8="Poly Bag","PB",IF(O8="Poly Bag Roll","PBR",IF(O8="Centrefold Roll","CFR",IF(O8="Sheet","S",IF(O8="Sheet Roll","SR")))))</f>
        <v>PBR</v>
      </c>
      <c r="P9" s="133"/>
      <c r="Q9" s="19"/>
      <c r="R9" s="35">
        <v>1000</v>
      </c>
      <c r="S9" s="20" t="s">
        <v>78</v>
      </c>
      <c r="T9" s="35">
        <v>2000</v>
      </c>
      <c r="U9" s="20" t="s">
        <v>78</v>
      </c>
      <c r="V9" s="35">
        <v>200</v>
      </c>
      <c r="W9" s="19"/>
      <c r="X9" s="143"/>
      <c r="Y9" s="144"/>
    </row>
    <row r="10" spans="1:28" ht="20.149999999999999" customHeight="1" x14ac:dyDescent="0.8">
      <c r="A10" s="12" t="s">
        <v>51</v>
      </c>
      <c r="B10" s="99">
        <v>10</v>
      </c>
      <c r="C10" s="100"/>
      <c r="D10" s="54" t="s">
        <v>134</v>
      </c>
      <c r="E10" s="113">
        <f>IF(ISNUMBER(SEARCH("sheet",O8,1)),((R9*T9*H8/540000)*U7/2000*1.3),((R9*T9*H8/540000)*U7/1000*1.08))</f>
        <v>200.00000000000003</v>
      </c>
      <c r="F10" s="114"/>
      <c r="G10" s="12" t="s">
        <v>53</v>
      </c>
      <c r="H10" s="117">
        <f>IF(ISNUMBER(SEARCH("sheet",O8,1)),(U7*T9/2000*1.08),(U7*T9/1000*1.08))</f>
        <v>540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0" t="s">
        <v>44</v>
      </c>
      <c r="P10" s="131"/>
      <c r="Q10" s="16" t="s">
        <v>50</v>
      </c>
      <c r="R10" s="128" t="str">
        <f>IF(K11="NONE","None",IF(K11="INLINE","Yes",IF(K11="OUT OF LINE","Yes")))</f>
        <v>None</v>
      </c>
      <c r="S10" s="128"/>
      <c r="T10" s="16" t="s">
        <v>100</v>
      </c>
      <c r="U10" s="135"/>
      <c r="V10" s="135"/>
      <c r="W10" s="135"/>
      <c r="X10" s="135"/>
      <c r="Y10" s="136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20.000000000000004</v>
      </c>
      <c r="F11" s="116"/>
      <c r="G11" s="12" t="s">
        <v>15</v>
      </c>
      <c r="H11" s="115">
        <f>H10/B10</f>
        <v>54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37"/>
      <c r="V11" s="137"/>
      <c r="W11" s="137"/>
      <c r="X11" s="137"/>
      <c r="Y11" s="138"/>
    </row>
    <row r="12" spans="1:28" ht="20.149999999999999" customHeight="1" x14ac:dyDescent="0.7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3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49999999999999" customHeight="1" x14ac:dyDescent="0.8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3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49999999999999" customHeight="1" x14ac:dyDescent="0.7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49999999999999" customHeight="1" x14ac:dyDescent="0.8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1"/>
      <c r="Y16" s="95"/>
    </row>
    <row r="17" spans="1:25" ht="20.149999999999999" customHeight="1" x14ac:dyDescent="0.8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70"/>
      <c r="I17" s="149"/>
      <c r="J17" s="150"/>
      <c r="K17" s="149"/>
      <c r="L17" s="150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Rolls</v>
      </c>
      <c r="U17" s="99" t="s">
        <v>31</v>
      </c>
      <c r="V17" s="100"/>
      <c r="W17" s="12" t="str">
        <f>IF(ISNUMBER(SEARCH("roll",O8,1)),"Total Rolls","Total Ctns")</f>
        <v>Total Rolls</v>
      </c>
      <c r="X17" s="151"/>
      <c r="Y17" s="95"/>
    </row>
    <row r="18" spans="1:25" ht="20.149999999999999" customHeight="1" x14ac:dyDescent="0.8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70"/>
      <c r="I18" s="149"/>
      <c r="J18" s="150"/>
      <c r="K18" s="149"/>
      <c r="L18" s="150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1"/>
      <c r="Y18" s="95"/>
    </row>
    <row r="19" spans="1:25" ht="20.149999999999999" customHeight="1" x14ac:dyDescent="0.7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70"/>
      <c r="I19" s="149"/>
      <c r="J19" s="150"/>
      <c r="K19" s="149"/>
      <c r="L19" s="150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49999999999999" customHeight="1" x14ac:dyDescent="0.7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70"/>
      <c r="I20" s="149"/>
      <c r="J20" s="150"/>
      <c r="K20" s="149"/>
      <c r="L20" s="150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49999999999999" customHeight="1" x14ac:dyDescent="0.7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49"/>
      <c r="J21" s="150"/>
      <c r="K21" s="149"/>
      <c r="L21" s="150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49999999999999" customHeight="1" x14ac:dyDescent="0.7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149"/>
      <c r="J22" s="150"/>
      <c r="K22" s="149"/>
      <c r="L22" s="150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49999999999999" customHeight="1" x14ac:dyDescent="0.7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49"/>
      <c r="J23" s="150"/>
      <c r="K23" s="149"/>
      <c r="L23" s="150"/>
      <c r="M23" s="34"/>
      <c r="N23" s="13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49"/>
      <c r="J24" s="150"/>
      <c r="K24" s="149"/>
      <c r="L24" s="15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39" t="s">
        <v>99</v>
      </c>
      <c r="B29" s="140"/>
      <c r="C29" s="140"/>
      <c r="D29" s="140"/>
      <c r="E29" s="140"/>
      <c r="F29" s="141"/>
      <c r="G29" s="141"/>
      <c r="H29" s="141"/>
      <c r="I29" s="141"/>
      <c r="J29" s="141"/>
      <c r="K29" s="140"/>
      <c r="L29" s="14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scale="8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C7BAB22-8CB2-4C3D-B4D4-D36FC36DB498}"/>
</file>

<file path=customXml/itemProps2.xml><?xml version="1.0" encoding="utf-8"?>
<ds:datastoreItem xmlns:ds="http://schemas.openxmlformats.org/officeDocument/2006/customXml" ds:itemID="{B6872A88-6434-47CD-9E1C-ABFA62222DB3}"/>
</file>

<file path=customXml/itemProps3.xml><?xml version="1.0" encoding="utf-8"?>
<ds:datastoreItem xmlns:ds="http://schemas.openxmlformats.org/officeDocument/2006/customXml" ds:itemID="{6FFB9009-A09E-4924-8E07-C314BCFCD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2022-08-25T03:35:56Z</cp:lastPrinted>
  <dcterms:created xsi:type="dcterms:W3CDTF">2019-11-27T23:28:06Z</dcterms:created>
  <dcterms:modified xsi:type="dcterms:W3CDTF">2022-08-25T03:36:18Z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