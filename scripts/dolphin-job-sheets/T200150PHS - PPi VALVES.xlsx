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AECA458-8AA9-4F47-9876-A9B15114D6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<sst xmlns="http://schemas.openxmlformats.org/spreadsheetml/2006/main" count="229" uniqueCount="171">
  <si>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</si>
  <si>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</si>
  <si>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</si>
  <si>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</si>
  <si>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</si>
  <si>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</si>
  <si>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</si>
  <si>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</si>
  <si>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</si>
  <si>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</si>
  <si>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</si>
  <si>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</si>
  <si>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</si>
  <si>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</si>
  <si>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</si>
  <si>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</si>
  <si>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</si>
  <si>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</si>
  <si>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</si>
  <si>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</si>
  <si>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</si>
  <si>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</si>
  <si>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</si>
  <si>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</si>
  <si>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</si>
  <si>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</si>
  <si>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</si>
  <si>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</si>
  <si>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</si>
  <si>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</si>
  <si>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</si>
  <si>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</si>
  <si>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</si>
  <si>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</si>
  <si>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</si>
  <si>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</si>
  <si>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</si>
  <si>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</si>
  <si>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</si>
  <si>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</si>
  <si>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</si>
  <si>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</si>
  <si>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</si>
  <si>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</si>
  <si>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</si>
  <si>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</si>
  <si>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</si>
  <si>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</si>
  <si>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</si>
  <si>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</si>
  <si>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</si>
  <si>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</si>
  <si>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</si>
  <si>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</si>
  <si>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</si>
  <si>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</si>
  <si>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</si>
  <si>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</si>
  <si>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</si>
  <si>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</si>
  <si>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</si>
  <si>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</si>
  <si>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</si>
  <si>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</si>
  <si>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</si>
  <si>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</si>
  <si>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</si>
  <si>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</si>
  <si>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</si>
  <si>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</si>
  <si>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</si>
  <si>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</si>
  <si>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</si>
  <si>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</si>
  <si>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</si>
  <si>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</si>
  <si>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</si>
  <si>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</si>
  <si>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</si>
  <si>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</si>
  <si>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</si>
  <si>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</si>
  <si>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</si>
  <si>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</si>
  <si>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</si>
  <si>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</si>
  <si>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</si>
  <si>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</si>
  <si>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</si>
  <si>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</si>
  <si>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</si>
  <si>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</si>
  <si>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</si>
  <si>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</si>
  <si>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</si>
  <si>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</si>
  <si>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</si>
  <si>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</si>
  <si>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</si>
  <si>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</si>
  <si>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</si>
  <si>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</si>
  <si>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</si>
  <si>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</si>
  <si>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</si>
  <si>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</si>
  <si>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</si>
  <si>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</si>
  <si>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</si>
  <si>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</si>
  <si>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</si>
  <si>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</si>
  <si>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</si>
  <si>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</si>
  <si>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</si>
  <si>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</si>
  <si>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</si>
  <si>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</si>
  <si>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</si>
  <si>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</si>
  <si>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</si>
  <si>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</si>
  <si>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</si>
  <si>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</si>
  <si>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</si>
  <si>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</si>
  <si>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</si>
  <si>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</si>
  <si>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</si>
  <si>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</si>
  <si>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</si>
  <si>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</si>
  <si>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</si>
  <si>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</si>
  <si>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</si>
  <si>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</si>
  <si>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</si>
  <si>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</si>
  <si>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</si>
  <si>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</si>
  <si>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</si>
  <si>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</si>
  <si>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</si>
  <si>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</si>
  <si>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</si>
  <si>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</si>
  <si>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</si>
  <si>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</si>
  <si>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</si>
  <si>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</si>
  <si>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</si>
  <si>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</si>
  <si>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</si>
  <si>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</si>
  <si>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</si>
  <si>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</si>
  <si>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</si>
  <si>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</si>
  <si>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</si>
  <si>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</si>
  <si>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</si>
  <si>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</si>
  <si>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</si>
  <si>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</si>
  <si>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</si>
  <si>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Ppi  VALVES</t>
  </si>
  <si>
    <t>GREY AND BLUE</t>
  </si>
  <si>
    <t xml:space="preserve">Ppi VALVES"2C/1S - SEE ATTACHED </t>
  </si>
  <si>
    <r>
      <t xml:space="preserve">NEW CUSTOMER - PLEASE ENSURE NEAT ROLLS -                                                                     </t>
    </r>
    <r>
      <rPr>
        <b/>
        <sz val="22"/>
        <color rgb="FFFF0000"/>
        <rFont val="Calibri"/>
        <family val="2"/>
        <scheme val="minor"/>
      </rPr>
      <t>MUST BE HEAT SHRINK MIX</t>
    </r>
  </si>
  <si>
    <t>#3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</si>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</sst>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quotePrefix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 wrapText="1"/>
      <protection locked="0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14" fillId="5" borderId="8" xfId="0" applyFont="1" applyFill="1" applyBorder="1" applyAlignment="1" applyProtection="1">
      <alignment horizontal="center" vertical="center" wrapText="1"/>
      <protection locked="0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horizontal="center" vertical="center" wrapText="1"/>
      <protection locked="0"/>
    </xf>
    <xf numFmtId="0" fontId="14" fillId="5" borderId="10" xfId="0" applyFont="1" applyFill="1" applyBorder="1" applyAlignment="1" applyProtection="1">
      <alignment horizontal="center" vertical="center" wrapText="1"/>
      <protection locked="0"/>
    </xf>
    <xf numFmtId="0" fontId="14" fillId="5" borderId="1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T200150PFALSE</v>
      </c>
      <c r="C1" s="101"/>
      <c r="D1" s="102"/>
      <c r="E1" s="10" t="s">
        <v>55</v>
      </c>
      <c r="F1" s="45" t="s">
        <v>165</v>
      </c>
      <c r="G1" s="45"/>
      <c r="H1" s="46"/>
      <c r="I1" s="10" t="s">
        <v>147</v>
      </c>
      <c r="J1" s="112">
        <f ca="1">TODAY()</f>
        <v>45575</v>
      </c>
      <c r="K1" s="112"/>
      <c r="L1" s="113"/>
    </row>
    <row r="2" spans="1:14" ht="20.100000000000001" customHeight="1" x14ac:dyDescent="0.25">
      <c r="A2" s="10" t="s">
        <v>94</v>
      </c>
      <c r="B2" s="92" t="str">
        <f>IF(B7="Tube",(ROUNDUP(E11,0)&amp;"KG"),(ROUNDUP(H11,0)&amp;"M"))</f>
        <v>10KG</v>
      </c>
      <c r="C2" s="92"/>
      <c r="D2" s="93"/>
      <c r="E2" s="10" t="s">
        <v>56</v>
      </c>
      <c r="F2" s="45">
        <v>948590</v>
      </c>
      <c r="G2" s="45"/>
      <c r="H2" s="46"/>
      <c r="I2" s="10" t="s">
        <v>57</v>
      </c>
      <c r="J2" s="114">
        <v>45565</v>
      </c>
      <c r="K2" s="45"/>
      <c r="L2" s="46"/>
    </row>
    <row r="3" spans="1:14" ht="20.100000000000001" customHeight="1" x14ac:dyDescent="0.25">
      <c r="A3" s="103" t="s">
        <v>168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6" t="s">
        <v>145</v>
      </c>
      <c r="K7" s="96"/>
      <c r="L7" s="77"/>
    </row>
    <row r="8" spans="1:14" ht="20.100000000000001" customHeight="1" x14ac:dyDescent="0.25">
      <c r="A8" s="11" t="s">
        <v>14</v>
      </c>
      <c r="B8" s="67">
        <v>200</v>
      </c>
      <c r="C8" s="68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7">
        <v>150</v>
      </c>
      <c r="I8" s="68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2" t="s">
        <v>46</v>
      </c>
      <c r="B9" s="84" t="s">
        <v>164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163</v>
      </c>
      <c r="I9" s="85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3</v>
      </c>
      <c r="C10" s="46"/>
      <c r="D10" s="35" t="s">
        <v>104</v>
      </c>
      <c r="E10" s="88">
        <f>E11*B10</f>
        <v>30</v>
      </c>
      <c r="F10" s="89"/>
      <c r="G10" s="10" t="s">
        <v>51</v>
      </c>
      <c r="H10" s="92">
        <f>H11*B10</f>
        <v>540</v>
      </c>
      <c r="I10" s="93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10</v>
      </c>
      <c r="F11" s="91"/>
      <c r="G11" s="41" t="s">
        <v>13</v>
      </c>
      <c r="H11" s="94">
        <f>E11*540000/B8/H8</f>
        <v>180</v>
      </c>
      <c r="I11" s="95"/>
      <c r="J11" s="41" t="s">
        <v>48</v>
      </c>
      <c r="K11" s="99" t="s">
        <v>64</v>
      </c>
      <c r="L11" s="100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69</v>
      </c>
      <c r="C13" s="45"/>
      <c r="D13" s="46"/>
      <c r="E13" s="13" t="s">
        <v>60</v>
      </c>
      <c r="F13" s="45" t="s">
        <v>65</v>
      </c>
      <c r="G13" s="45"/>
      <c r="H13" s="46"/>
      <c r="I13" s="10" t="s">
        <v>61</v>
      </c>
      <c r="J13" s="45" t="s">
        <v>166</v>
      </c>
      <c r="K13" s="45"/>
      <c r="L13" s="46"/>
    </row>
    <row r="14" spans="1:14" ht="20.100000000000001" customHeight="1" x14ac:dyDescent="0.3">
      <c r="A14" s="11" t="s">
        <v>58</v>
      </c>
      <c r="B14" s="71" t="s">
        <v>167</v>
      </c>
      <c r="C14" s="44"/>
      <c r="D14" s="44"/>
      <c r="E14" s="44"/>
      <c r="F14" s="44"/>
      <c r="G14" s="44"/>
      <c r="H14" s="44"/>
      <c r="I14" s="44"/>
      <c r="J14" s="44"/>
      <c r="K14" s="44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1">
        <f>B10</f>
        <v>3</v>
      </c>
      <c r="G16" s="101"/>
      <c r="H16" s="102"/>
      <c r="I16" s="10" t="s">
        <v>74</v>
      </c>
      <c r="J16" s="45"/>
      <c r="K16" s="45"/>
      <c r="L16" s="46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8" t="s">
        <v>6</v>
      </c>
      <c r="B20" s="78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8" t="s">
        <v>7</v>
      </c>
      <c r="B21" s="78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8" t="s">
        <v>8</v>
      </c>
      <c r="B22" s="78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8" t="s">
        <v>149</v>
      </c>
      <c r="B23" s="78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8" t="str">
        <f>(IF(E7="NATURAL","",E7))</f>
        <v/>
      </c>
      <c r="B24" s="78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8" t="s">
        <v>170</v>
      </c>
      <c r="B25" s="78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9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169</v>
      </c>
      <c r="C28" s="6"/>
      <c r="D28" s="121">
        <v>23</v>
      </c>
      <c r="E28" s="122">
        <v>1.8</v>
      </c>
      <c r="F28" s="6"/>
      <c r="G28" s="115"/>
      <c r="H28" s="115"/>
      <c r="I28" s="115"/>
      <c r="J28" s="11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Sheet2!$A$61:$A$76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6"/>
  <sheetViews>
    <sheetView topLeftCell="A40" workbookViewId="0">
      <selection activeCell="A64" sqref="A6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45596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6" t="s">
        <v>166</v>
      </c>
      <c r="O62" s="1"/>
      <c r="Q62" s="1"/>
      <c r="R62" s="1"/>
      <c r="S62" s="1"/>
    </row>
    <row r="63" spans="1:20" x14ac:dyDescent="0.25">
      <c r="A63" s="39" t="s">
        <v>144</v>
      </c>
      <c r="O63" s="1"/>
      <c r="Q63" s="1"/>
      <c r="R63" s="1"/>
      <c r="S63" s="1"/>
    </row>
    <row r="64" spans="1:20" x14ac:dyDescent="0.25">
      <c r="A64" s="40" t="s">
        <v>123</v>
      </c>
      <c r="O64" s="1"/>
      <c r="Q64" s="1"/>
      <c r="R64" s="1"/>
      <c r="S64" s="1"/>
      <c r="T64" s="1"/>
    </row>
    <row r="65" spans="1:20" x14ac:dyDescent="0.25">
      <c r="A65" s="40" t="s">
        <v>116</v>
      </c>
      <c r="O65" s="1"/>
      <c r="Q65" s="1"/>
      <c r="R65" s="1"/>
      <c r="S65" s="1"/>
      <c r="T65" s="1"/>
    </row>
    <row r="66" spans="1:20" x14ac:dyDescent="0.25">
      <c r="A66" s="40" t="s">
        <v>117</v>
      </c>
      <c r="N66" s="3"/>
      <c r="O66" s="1"/>
      <c r="P66" s="1"/>
      <c r="Q66" s="1"/>
      <c r="R66" s="1"/>
      <c r="S66" s="1"/>
      <c r="T66" s="1"/>
    </row>
    <row r="67" spans="1:20" x14ac:dyDescent="0.25">
      <c r="A67" s="40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120</v>
      </c>
      <c r="N69" s="4"/>
      <c r="O69" s="1"/>
      <c r="P69" s="1"/>
      <c r="Q69" s="1"/>
      <c r="R69" s="1"/>
      <c r="S69" s="1"/>
      <c r="T69" s="1"/>
    </row>
    <row r="70" spans="1:20" x14ac:dyDescent="0.25">
      <c r="A70" s="40" t="s">
        <v>121</v>
      </c>
      <c r="N70" s="4"/>
    </row>
    <row r="71" spans="1:20" x14ac:dyDescent="0.25">
      <c r="A71" s="40" t="s">
        <v>142</v>
      </c>
    </row>
    <row r="72" spans="1:20" x14ac:dyDescent="0.25">
      <c r="A72" s="40" t="s">
        <v>122</v>
      </c>
    </row>
    <row r="73" spans="1:20" x14ac:dyDescent="0.25">
      <c r="A73" s="40" t="s">
        <v>120</v>
      </c>
    </row>
    <row r="74" spans="1:20" x14ac:dyDescent="0.25">
      <c r="A74" s="40" t="s">
        <v>121</v>
      </c>
    </row>
    <row r="75" spans="1:20" x14ac:dyDescent="0.25">
      <c r="A75" s="40" t="s">
        <v>142</v>
      </c>
    </row>
    <row r="76" spans="1:20" x14ac:dyDescent="0.25">
      <c r="A76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FD140AD-4B5B-400A-9CCC-AC36B96D537E}"/>
</file>

<file path=customXml/itemProps2.xml><?xml version="1.0" encoding="utf-8"?>
<ds:datastoreItem xmlns:ds="http://schemas.openxmlformats.org/officeDocument/2006/customXml" ds:itemID="{2D6D80A0-D434-41BA-A448-10E8D7D7B412}"/>
</file>

<file path=customXml/itemProps3.xml><?xml version="1.0" encoding="utf-8"?>
<ds:datastoreItem xmlns:ds="http://schemas.openxmlformats.org/officeDocument/2006/customXml" ds:itemID="{FCC914EC-0AFF-4F2D-97CE-98CA801F8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2024-09-09T03:30:50Z</cp:lastPrinted>
  <dcterms:created xsi:type="dcterms:W3CDTF">2019-11-27T23:28:06Z</dcterms:created>
  <dcterms:modified xsi:type="dcterms:W3CDTF">2024-10-10T05:19:15Z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