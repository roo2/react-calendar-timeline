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B6FA2069-A480-4871-88F2-8A45B19F25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<sst xmlns="http://schemas.openxmlformats.org/spreadsheetml/2006/main" count="302" uniqueCount="200">
  <si>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</si>
  <si>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</si>
  <si>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</si>
  <si>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</si>
  <si>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</si>
  <si>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</si>
  <si>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</si>
  <si>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</si>
  <si>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</si>
  <si>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</si>
  <si>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</si>
  <si>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</si>
  <si>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</si>
  <si>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</si>
  <si>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</si>
  <si>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</si>
  <si>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</si>
  <si>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</si>
  <si>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</si>
  <si>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</si>
  <si>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</si>
  <si>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</si>
  <si>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</si>
  <si>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</si>
  <si>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</si>
  <si>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</si>
  <si>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</si>
  <si>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</si>
  <si>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</si>
  <si>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</si>
  <si>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</si>
  <si>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</si>
  <si>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</si>
  <si>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</si>
  <si>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</si>
  <si>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</si>
  <si>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</si>
  <si>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</si>
  <si>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</si>
  <si>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</si>
  <si>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</si>
  <si>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</si>
  <si>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</si>
  <si>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</si>
  <si>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</si>
  <si>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</si>
  <si>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</si>
  <si>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</si>
  <si>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</si>
  <si>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</si>
  <si>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</si>
  <si>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</si>
  <si>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</si>
  <si>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</si>
  <si>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</si>
  <si>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</si>
  <si>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</si>
  <si>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</si>
  <si>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</si>
  <si>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</si>
  <si>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</si>
  <si>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</si>
  <si>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</si>
  <si>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</si>
  <si>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</si>
  <si>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</si>
  <si>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</si>
  <si>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</si>
  <si>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</si>
  <si>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</si>
  <si>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</si>
  <si>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</si>
  <si>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</si>
  <si>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</si>
  <si>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</si>
  <si>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</si>
  <si>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</si>
  <si>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</si>
  <si>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</si>
  <si>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</si>
  <si>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</si>
  <si>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</si>
  <si>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</si>
  <si>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</si>
  <si>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</si>
  <si>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</si>
  <si>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</si>
  <si>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</si>
  <si>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</si>
  <si>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</si>
  <si>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</si>
  <si>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</si>
  <si>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</si>
  <si>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</si>
  <si>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</si>
  <si>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</si>
  <si>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</si>
  <si>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</si>
  <si>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</si>
  <si>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</si>
  <si>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</si>
  <si>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</si>
  <si>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</si>
  <si>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</si>
  <si>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</si>
  <si>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</si>
  <si>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</si>
  <si>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</si>
  <si>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</si>
  <si>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</si>
  <si>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</si>
  <si>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</si>
  <si>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</si>
  <si>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</si>
  <si>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</si>
  <si>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</si>
  <si>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</si>
  <si>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</si>
  <si>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</si>
  <si>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</si>
  <si>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</si>
  <si>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</si>
  <si>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</si>
  <si>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</si>
  <si>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</si>
  <si>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</si>
  <si>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</si>
  <si>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</si>
  <si>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</si>
  <si>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</si>
  <si>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</si>
  <si>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</si>
  <si>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</si>
  <si>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</si>
  <si>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</si>
  <si>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</si>
  <si>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</si>
  <si>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</si>
  <si>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</si>
  <si>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</si>
  <si>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</si>
  <si>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</si>
  <si>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</si>
  <si>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</si>
  <si>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</si>
  <si>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</si>
  <si>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</si>
  <si>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</si>
  <si>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</si>
  <si>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</si>
  <si>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</si>
  <si>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</si>
  <si>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</si>
  <si>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</si>
  <si>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</si>
  <si>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</si>
  <si>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</si>
  <si>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</si>
  <si>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</si>
  <si>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</si>
  <si>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</si>
  <si>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</si>
  <si>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</si>
  <si>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</si>
  <si>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</si>
  <si>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</si>
  <si>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</si>
  <si>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</si>
  <si>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</si>
  <si>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</si>
  <si>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</si>
  <si>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</si>
  <si>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</si>
  <si>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</si>
  <si>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</si>
  <si>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</si>
  <si>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</si>
  <si>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</si>
  <si>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</si>
  <si>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</si>
  <si>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</si>
  <si>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</si>
  <si>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</si>
  <si>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</si>
  <si>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</si>
  <si>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</si>
  <si>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</si>
  <si>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</si>
  <si>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</si>
  <si>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</si>
  <si>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</si>
  <si>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</si>
  <si>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</si>
  <si>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</si>
  <si>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</si>
  <si>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>NEW ITEM - PERF INLINE</t>
  </si>
  <si>
    <t>KSK MARINE</t>
  </si>
  <si>
    <t xml:space="preserve"> +/- 5mm</t>
  </si>
  <si>
    <t xml:space="preserve"> +/- 5um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</si>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</sst>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PBR20040050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44131</v>
      </c>
      <c r="K1" s="146"/>
      <c r="L1" s="147"/>
      <c r="M1" s="35"/>
      <c r="N1" s="18" t="s">
        <v>55</v>
      </c>
      <c r="O1" s="125" t="str">
        <f>B1</f>
        <v>PBR20040050</v>
      </c>
      <c r="P1" s="125"/>
      <c r="Q1" s="126"/>
      <c r="R1" s="18" t="s">
        <v>56</v>
      </c>
      <c r="S1" s="125" t="str">
        <f>F1</f>
        <v>KSK MARINE</v>
      </c>
      <c r="T1" s="125"/>
      <c r="U1" s="126"/>
      <c r="V1" s="18" t="s">
        <v>180</v>
      </c>
      <c r="W1" s="146">
        <f ca="1">J1</f>
        <v>44131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938454</v>
      </c>
      <c r="G2" s="104"/>
      <c r="H2" s="105"/>
      <c r="I2" s="18" t="s">
        <v>58</v>
      </c>
      <c r="J2" s="103">
        <v>44118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938454</v>
      </c>
      <c r="T2" s="125"/>
      <c r="U2" s="126"/>
      <c r="V2" s="18" t="s">
        <v>58</v>
      </c>
      <c r="W2" s="148">
        <f>J2</f>
        <v>44118</v>
      </c>
      <c r="X2" s="125"/>
      <c r="Y2" s="126"/>
    </row>
    <row r="3" spans="1:25" ht="20.100000000000001" customHeight="1" x14ac:dyDescent="0.25">
      <c r="A3" s="137" t="s">
        <v>195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9</v>
      </c>
      <c r="P7" s="105"/>
      <c r="Q7" s="18" t="str">
        <f>IF(ISNUMBER(SEARCH("roll",O8,1)),"Per Roll","Per Carton")</f>
        <v>Per Roll</v>
      </c>
      <c r="R7" s="104">
        <v>1350</v>
      </c>
      <c r="S7" s="105"/>
      <c r="T7" s="18" t="str">
        <f>IF(ISNUMBER(SEARCH("bag",O8,1)),"Total Bags","Total Sheets")</f>
        <v>Total Bags</v>
      </c>
      <c r="U7" s="125">
        <f>R7*O7</f>
        <v>12150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200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50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197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198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200</v>
      </c>
      <c r="S9" s="25" t="s">
        <v>77</v>
      </c>
      <c r="T9" s="36">
        <v>400</v>
      </c>
      <c r="U9" s="25" t="s">
        <v>77</v>
      </c>
      <c r="V9" s="36">
        <v>50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9</v>
      </c>
      <c r="C10" s="105"/>
      <c r="D10" s="56" t="s">
        <v>133</v>
      </c>
      <c r="E10" s="127">
        <f>IF(ISNUMBER(SEARCH("sheet",O8,1)),((R9*T9*H8/540000)*U7/2000*1.3),((R9*T9*H8/540000)*U7/1000*1.08))</f>
        <v>97.2</v>
      </c>
      <c r="F10" s="128"/>
      <c r="G10" s="18" t="s">
        <v>52</v>
      </c>
      <c r="H10" s="131">
        <f>IF(ISNUMBER(SEARCH("sheet",O8,1)),(U7*T9/2000*1.08),(U7*T9/1000*1.08))</f>
        <v>5248.8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10.8</v>
      </c>
      <c r="F11" s="130"/>
      <c r="G11" s="18" t="s">
        <v>14</v>
      </c>
      <c r="H11" s="129">
        <f>H10/B10</f>
        <v>583.20000000000005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9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199</v>
      </c>
      <c r="P25" s="41"/>
      <c r="Q25" s="10">
        <v>32</v>
      </c>
      <c r="R25" s="10">
        <v>9</v>
      </c>
      <c r="S25" s="10"/>
      <c r="T25" s="10">
        <v>8</v>
      </c>
      <c r="U25" s="10"/>
      <c r="V25" s="10">
        <v>3</v>
      </c>
      <c r="W25" s="10">
        <v>145</v>
      </c>
      <c r="X25" s="10">
        <v>145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44162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44152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36A34CA-25E6-4906-A22E-CFF475A695F2}"/>
</file>

<file path=customXml/itemProps2.xml><?xml version="1.0" encoding="utf-8"?>
<ds:datastoreItem xmlns:ds="http://schemas.openxmlformats.org/officeDocument/2006/customXml" ds:itemID="{8C361155-2F17-4DF0-B488-A9FF253550B3}"/>
</file>

<file path=customXml/itemProps3.xml><?xml version="1.0" encoding="utf-8"?>
<ds:datastoreItem xmlns:ds="http://schemas.openxmlformats.org/officeDocument/2006/customXml" ds:itemID="{9905667C-5ADF-47F9-BA07-3AB45E0A1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2020-09-23T01:59:55Z</cp:lastPrinted>
  <dcterms:created xsi:type="dcterms:W3CDTF">2019-11-27T23:28:06Z</dcterms:created>
  <dcterms:modified xsi:type="dcterms:W3CDTF">2020-10-26T22:14:24Z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