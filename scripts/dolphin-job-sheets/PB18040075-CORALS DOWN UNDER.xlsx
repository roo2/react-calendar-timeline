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3DF25CA-B257-451C-84D0-6376BA7BEDD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" i="1" l="1"/>
  <c r="D8" i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<sst xmlns="http://schemas.openxmlformats.org/spreadsheetml/2006/main" count="307" uniqueCount="202">
  <si>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</si>
  <si>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</si>
  <si>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</si>
  <si>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</si>
  <si>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</si>
  <si>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</si>
  <si>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</si>
  <si>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</si>
  <si>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</si>
  <si>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</si>
  <si>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</si>
  <si>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</si>
  <si>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</si>
  <si>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</si>
  <si>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</si>
  <si>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</si>
  <si>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</si>
  <si>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</si>
  <si>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</si>
  <si>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</si>
  <si>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</si>
  <si>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</si>
  <si>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</si>
  <si>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</si>
  <si>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</si>
  <si>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</si>
  <si>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</si>
  <si>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</si>
  <si>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</si>
  <si>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</si>
  <si>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</si>
  <si>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</si>
  <si>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</si>
  <si>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</si>
  <si>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</si>
  <si>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</si>
  <si>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</si>
  <si>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</si>
  <si>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</si>
  <si>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</si>
  <si>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</si>
  <si>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</si>
  <si>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</si>
  <si>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</si>
  <si>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</si>
  <si>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</si>
  <si>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</si>
  <si>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</si>
  <si>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</si>
  <si>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</si>
  <si>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</si>
  <si>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</si>
  <si>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</si>
  <si>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</si>
  <si>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</si>
  <si>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</si>
  <si>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</si>
  <si>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</si>
  <si>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</si>
  <si>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</si>
  <si>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</si>
  <si>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</si>
  <si>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</si>
  <si>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</si>
  <si>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</si>
  <si>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</si>
  <si>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</si>
  <si>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</si>
  <si>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</si>
  <si>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</si>
  <si>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</si>
  <si>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</si>
  <si>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</si>
  <si>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</si>
  <si>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</si>
  <si>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</si>
  <si>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</si>
  <si>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</si>
  <si>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</si>
  <si>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</si>
  <si>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</si>
  <si>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</si>
  <si>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</si>
  <si>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</si>
  <si>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</si>
  <si>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</si>
  <si>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</si>
  <si>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</si>
  <si>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</si>
  <si>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</si>
  <si>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</si>
  <si>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</si>
  <si>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</si>
  <si>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</si>
  <si>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</si>
  <si>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</si>
  <si>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</si>
  <si>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</si>
  <si>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</si>
  <si>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</si>
  <si>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</si>
  <si>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</si>
  <si>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</si>
  <si>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</si>
  <si>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</si>
  <si>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</si>
  <si>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</si>
  <si>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</si>
  <si>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</si>
  <si>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</si>
  <si>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</si>
  <si>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</si>
  <si>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</si>
  <si>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</si>
  <si>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</si>
  <si>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</si>
  <si>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</si>
  <si>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</si>
  <si>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</si>
  <si>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</si>
  <si>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</si>
  <si>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</si>
  <si>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</si>
  <si>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</si>
  <si>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</si>
  <si>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</si>
  <si>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</si>
  <si>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</si>
  <si>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</si>
  <si>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</si>
  <si>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</si>
  <si>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</si>
  <si>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</si>
  <si>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</si>
  <si>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</si>
  <si>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</si>
  <si>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</si>
  <si>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</si>
  <si>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</si>
  <si>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</si>
  <si>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</si>
  <si>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</si>
  <si>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</si>
  <si>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</si>
  <si>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</si>
  <si>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</si>
  <si>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</si>
  <si>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</si>
  <si>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</si>
  <si>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</si>
  <si>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</si>
  <si>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</si>
  <si>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</si>
  <si>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</si>
  <si>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</si>
  <si>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</si>
  <si>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</si>
  <si>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</si>
  <si>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</si>
  <si>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</si>
  <si>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</si>
  <si>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</si>
  <si>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</si>
  <si>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</si>
  <si>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</si>
  <si>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</si>
  <si>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</si>
  <si>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</si>
  <si>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</si>
  <si>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</si>
  <si>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</si>
  <si>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</si>
  <si>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</si>
  <si>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</si>
  <si>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</si>
  <si>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</si>
  <si>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</si>
  <si>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</si>
  <si>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</si>
  <si>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</si>
  <si>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</si>
  <si>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</si>
  <si>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</si>
  <si>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</si>
  <si>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</si>
  <si>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</si>
  <si>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</si>
  <si>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</si>
  <si>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</si>
  <si>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</si>
  <si>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</si>
  <si>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</si>
  <si>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</si>
  <si>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</si>
  <si>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</si>
  <si>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</si>
  <si>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>LIMAX</t>
  </si>
  <si>
    <t>CORALS DOWN UNDER</t>
  </si>
  <si>
    <t>08.03.2021</t>
  </si>
  <si>
    <t>#3 POUCH</t>
  </si>
  <si>
    <t>PB18040075</t>
  </si>
  <si>
    <t xml:space="preserve"> +/-5mm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</si>
</sst>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9" fillId="5" borderId="4" xfId="0" applyFont="1" applyFill="1" applyBorder="1" applyProtection="1"/>
    <xf numFmtId="0" fontId="10" fillId="0" borderId="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Alignment="1" applyProtection="1">
      <alignment horizontal="center"/>
      <protection locked="0"/>
    </xf>
    <xf numFmtId="0" fontId="19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8" fillId="9" borderId="7" xfId="0" applyFont="1" applyFill="1" applyBorder="1" applyAlignment="1" applyProtection="1">
      <alignment horizontal="center" vertical="center" wrapText="1"/>
      <protection locked="0"/>
    </xf>
    <xf numFmtId="0" fontId="18" fillId="9" borderId="3" xfId="0" applyFont="1" applyFill="1" applyBorder="1" applyAlignment="1" applyProtection="1">
      <alignment horizontal="center" vertical="center" wrapText="1"/>
      <protection locked="0"/>
    </xf>
    <xf numFmtId="0" fontId="18" fillId="9" borderId="8" xfId="0" applyFont="1" applyFill="1" applyBorder="1" applyAlignment="1" applyProtection="1">
      <alignment horizontal="center" vertical="center" wrapText="1"/>
      <protection locked="0"/>
    </xf>
    <xf numFmtId="0" fontId="18" fillId="9" borderId="9" xfId="0" applyFont="1" applyFill="1" applyBorder="1" applyAlignment="1" applyProtection="1">
      <alignment horizontal="center" vertical="center" wrapText="1"/>
      <protection locked="0"/>
    </xf>
    <xf numFmtId="0" fontId="18" fillId="9" borderId="0" xfId="0" applyFont="1" applyFill="1" applyBorder="1" applyAlignment="1" applyProtection="1">
      <alignment horizontal="center" vertical="center" wrapText="1"/>
      <protection locked="0"/>
    </xf>
    <xf numFmtId="0" fontId="18" fillId="9" borderId="10" xfId="0" applyFont="1" applyFill="1" applyBorder="1" applyAlignment="1" applyProtection="1">
      <alignment horizontal="center" vertical="center" wrapText="1"/>
      <protection locked="0"/>
    </xf>
    <xf numFmtId="0" fontId="18" fillId="9" borderId="11" xfId="0" applyFont="1" applyFill="1" applyBorder="1" applyAlignment="1" applyProtection="1">
      <alignment horizontal="center" vertical="center" wrapText="1"/>
      <protection locked="0"/>
    </xf>
    <xf numFmtId="0" fontId="18" fillId="9" borderId="1" xfId="0" applyFont="1" applyFill="1" applyBorder="1" applyAlignment="1" applyProtection="1">
      <alignment horizontal="center" vertical="center" wrapText="1"/>
      <protection locked="0"/>
    </xf>
    <xf numFmtId="0" fontId="18" fillId="9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20" fillId="8" borderId="2" xfId="0" applyFont="1" applyFill="1" applyBorder="1" applyAlignment="1" applyProtection="1">
      <alignment horizontal="center"/>
    </xf>
    <xf numFmtId="0" fontId="20" fillId="8" borderId="5" xfId="0" applyFont="1" applyFill="1" applyBorder="1" applyAlignment="1" applyProtection="1">
      <alignment horizontal="center"/>
    </xf>
    <xf numFmtId="0" fontId="21" fillId="8" borderId="3" xfId="0" applyFont="1" applyFill="1" applyBorder="1" applyAlignment="1" applyProtection="1">
      <alignment horizontal="center" vertical="center"/>
      <protection locked="0"/>
    </xf>
    <xf numFmtId="0" fontId="21" fillId="8" borderId="8" xfId="0" applyFont="1" applyFill="1" applyBorder="1" applyAlignment="1" applyProtection="1">
      <alignment horizontal="center" vertical="center"/>
      <protection locked="0"/>
    </xf>
    <xf numFmtId="0" fontId="21" fillId="8" borderId="1" xfId="0" applyFont="1" applyFill="1" applyBorder="1" applyAlignment="1" applyProtection="1">
      <alignment horizontal="center" vertical="center"/>
      <protection locked="0"/>
    </xf>
    <xf numFmtId="0" fontId="21" fillId="8" borderId="12" xfId="0" applyFont="1" applyFill="1" applyBorder="1" applyAlignment="1" applyProtection="1">
      <alignment horizontal="center" vertical="center"/>
      <protection locked="0"/>
    </xf>
    <xf numFmtId="2" fontId="22" fillId="5" borderId="2" xfId="0" applyNumberFormat="1" applyFont="1" applyFill="1" applyBorder="1" applyAlignment="1" applyProtection="1">
      <alignment horizontal="center"/>
      <protection locked="0"/>
    </xf>
    <xf numFmtId="2" fontId="22" fillId="5" borderId="5" xfId="0" applyNumberFormat="1" applyFont="1" applyFill="1" applyBorder="1" applyAlignment="1" applyProtection="1">
      <alignment horizontal="center"/>
      <protection locked="0"/>
    </xf>
    <xf numFmtId="0" fontId="3" fillId="5" borderId="4" xfId="0" applyFont="1" applyFill="1" applyBorder="1" applyAlignment="1" applyProtection="1"/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">
        <v>200</v>
      </c>
      <c r="C1" s="124"/>
      <c r="D1" s="125"/>
      <c r="E1" s="12" t="s">
        <v>57</v>
      </c>
      <c r="F1" s="135" t="s">
        <v>197</v>
      </c>
      <c r="G1" s="136"/>
      <c r="H1" s="137"/>
      <c r="I1" s="13" t="s">
        <v>181</v>
      </c>
      <c r="J1" s="96">
        <f ca="1">TODAY()</f>
        <v>44277</v>
      </c>
      <c r="K1" s="96"/>
      <c r="L1" s="97"/>
      <c r="M1" s="33"/>
      <c r="N1" s="12" t="s">
        <v>56</v>
      </c>
      <c r="O1" s="124" t="str">
        <f>B1</f>
        <v>PB18040075</v>
      </c>
      <c r="P1" s="124"/>
      <c r="Q1" s="125"/>
      <c r="R1" s="12" t="s">
        <v>57</v>
      </c>
      <c r="S1" s="124" t="str">
        <f>F1</f>
        <v>CORALS DOWN UNDER</v>
      </c>
      <c r="T1" s="124"/>
      <c r="U1" s="125"/>
      <c r="V1" s="12" t="s">
        <v>181</v>
      </c>
      <c r="W1" s="96">
        <f ca="1">J1</f>
        <v>44277</v>
      </c>
      <c r="X1" s="96"/>
      <c r="Y1" s="97"/>
    </row>
    <row r="2" spans="1:28" ht="20.100000000000001" customHeight="1" x14ac:dyDescent="0.25">
      <c r="A2" s="12" t="s">
        <v>100</v>
      </c>
      <c r="B2" s="176" t="s">
        <v>199</v>
      </c>
      <c r="C2" s="176"/>
      <c r="D2" s="177"/>
      <c r="E2" s="12" t="s">
        <v>58</v>
      </c>
      <c r="F2" s="98">
        <v>939562</v>
      </c>
      <c r="G2" s="98"/>
      <c r="H2" s="99"/>
      <c r="I2" s="12" t="s">
        <v>59</v>
      </c>
      <c r="J2" s="182" t="s">
        <v>198</v>
      </c>
      <c r="K2" s="182"/>
      <c r="L2" s="183"/>
      <c r="M2" s="33"/>
      <c r="N2" s="12" t="s">
        <v>100</v>
      </c>
      <c r="O2" s="176" t="str">
        <f>IF(B2="","",B2)</f>
        <v>#3 POUCH</v>
      </c>
      <c r="P2" s="176"/>
      <c r="Q2" s="177"/>
      <c r="R2" s="12" t="s">
        <v>58</v>
      </c>
      <c r="S2" s="124">
        <f>IF(F2="","",F2)</f>
        <v>939562</v>
      </c>
      <c r="T2" s="124"/>
      <c r="U2" s="125"/>
      <c r="V2" s="12" t="s">
        <v>59</v>
      </c>
      <c r="W2" s="147" t="str">
        <f>J2</f>
        <v>08.03.2021</v>
      </c>
      <c r="X2" s="124"/>
      <c r="Y2" s="125"/>
    </row>
    <row r="3" spans="1:28" ht="20.100000000000001" customHeight="1" x14ac:dyDescent="0.25">
      <c r="A3" s="126" t="s">
        <v>195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3"/>
      <c r="N3" s="138" t="str">
        <f>A3</f>
        <v>MUST HAVE WATER TIGHT SEALS - PLEASE CHECK FREQUENTLY</v>
      </c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40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3"/>
      <c r="N4" s="141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3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3"/>
      <c r="N5" s="144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6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3"/>
      <c r="N6" s="123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21" t="s">
        <v>163</v>
      </c>
      <c r="C7" s="121"/>
      <c r="D7" s="121"/>
      <c r="E7" s="121"/>
      <c r="F7" s="121"/>
      <c r="G7" s="121"/>
      <c r="H7" s="121"/>
      <c r="I7" s="122"/>
      <c r="J7" s="87" t="s">
        <v>179</v>
      </c>
      <c r="K7" s="87"/>
      <c r="L7" s="85"/>
      <c r="M7" s="33"/>
      <c r="N7" s="12" t="str">
        <f>IF(ISNUMBER(SEARCH("roll",O8,1)),"No. Rolls","No. Cartons")</f>
        <v>No. Cartons</v>
      </c>
      <c r="O7" s="98">
        <v>20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4">
        <f>R7*O7</f>
        <v>10000</v>
      </c>
      <c r="V7" s="125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180</v>
      </c>
      <c r="C8" s="101"/>
      <c r="D8" s="31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V9</f>
        <v>75</v>
      </c>
      <c r="I8" s="101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3"/>
      <c r="N8" s="16" t="s">
        <v>54</v>
      </c>
      <c r="O8" s="150" t="s">
        <v>164</v>
      </c>
      <c r="P8" s="15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1" t="str">
        <f>IF(ISNUMBER(SEARCH("bag",O8,1)),"Gusset","Centrefold")</f>
        <v>Gusset</v>
      </c>
      <c r="X8" s="148" t="str">
        <f>IF(AND(W8="Gusset",X9=""), "None",IF(AND(W8="Centrefold",X9=""),"None",IF(W8="Gusset","G",IF(W8="Centrefold","CF"))))</f>
        <v>None</v>
      </c>
      <c r="Y8" s="149"/>
    </row>
    <row r="9" spans="1:28" ht="20.100000000000001" customHeight="1" x14ac:dyDescent="0.3">
      <c r="A9" s="69" t="s">
        <v>48</v>
      </c>
      <c r="B9" s="112" t="s">
        <v>201</v>
      </c>
      <c r="C9" s="113"/>
      <c r="D9" s="120" t="str">
        <f>IF(K10="Middle","RUN 2 UP",IF(AND(O8="Centrefold Roll",B8=380),"RUN 2 UP",""))</f>
        <v/>
      </c>
      <c r="E9" s="121"/>
      <c r="F9" s="122"/>
      <c r="G9" s="184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3"/>
      <c r="N9" s="18"/>
      <c r="O9" s="152" t="str">
        <f>IF(O8="Poly Bag","PB",IF(O8="Poly Bag Roll","PBR",IF(O8="Centrefold Roll","CFR",IF(O8="Sheet","S",IF(O8="Sheet Roll","SR")))))</f>
        <v>PB</v>
      </c>
      <c r="P9" s="153"/>
      <c r="Q9" s="18"/>
      <c r="R9" s="70">
        <v>180</v>
      </c>
      <c r="S9" s="19" t="s">
        <v>78</v>
      </c>
      <c r="T9" s="70">
        <v>400</v>
      </c>
      <c r="U9" s="19" t="s">
        <v>78</v>
      </c>
      <c r="V9" s="34">
        <v>75</v>
      </c>
      <c r="W9" s="18"/>
      <c r="X9" s="159"/>
      <c r="Y9" s="160"/>
    </row>
    <row r="10" spans="1:28" ht="20.100000000000001" customHeight="1" x14ac:dyDescent="0.25">
      <c r="A10" s="12" t="s">
        <v>51</v>
      </c>
      <c r="B10" s="98">
        <v>6</v>
      </c>
      <c r="C10" s="99"/>
      <c r="D10" s="53" t="s">
        <v>134</v>
      </c>
      <c r="E10" s="114">
        <f>IF(ISNUMBER(SEARCH("sheet",O8,1)),((R9*T9*H8/540000)*U7/2000*1.3),((R9*T9*H8/540000)*U7/1000*1.08))</f>
        <v>108</v>
      </c>
      <c r="F10" s="115"/>
      <c r="G10" s="12" t="s">
        <v>53</v>
      </c>
      <c r="H10" s="118">
        <f>IF(ISNUMBER(SEARCH("sheet",O8,1)),(U7*T9/2000*1.08),(U7*T9/1000*1.08))</f>
        <v>4320</v>
      </c>
      <c r="I10" s="119"/>
      <c r="J10" s="12" t="s">
        <v>41</v>
      </c>
      <c r="K10" s="98" t="s">
        <v>44</v>
      </c>
      <c r="L10" s="99"/>
      <c r="M10" s="33"/>
      <c r="N10" s="20" t="s">
        <v>141</v>
      </c>
      <c r="O10" s="150" t="s">
        <v>44</v>
      </c>
      <c r="P10" s="151"/>
      <c r="Q10" s="16" t="s">
        <v>50</v>
      </c>
      <c r="R10" s="148" t="str">
        <f>IF(K11="NONE","None",IF(K11="INLINE","Yes",IF(K11="OUT OF LINE","Yes")))</f>
        <v>None</v>
      </c>
      <c r="S10" s="148"/>
      <c r="T10" s="16" t="s">
        <v>100</v>
      </c>
      <c r="U10" s="178" t="s">
        <v>199</v>
      </c>
      <c r="V10" s="178"/>
      <c r="W10" s="178"/>
      <c r="X10" s="178"/>
      <c r="Y10" s="179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16">
        <f>E10/B10</f>
        <v>18</v>
      </c>
      <c r="F11" s="117"/>
      <c r="G11" s="12" t="s">
        <v>15</v>
      </c>
      <c r="H11" s="116">
        <f>H10/B10</f>
        <v>720</v>
      </c>
      <c r="I11" s="117"/>
      <c r="J11" s="12" t="s">
        <v>50</v>
      </c>
      <c r="K11" s="98" t="s">
        <v>44</v>
      </c>
      <c r="L11" s="99"/>
      <c r="M11" s="33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80"/>
      <c r="V11" s="180"/>
      <c r="W11" s="180"/>
      <c r="X11" s="180"/>
      <c r="Y11" s="181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3"/>
      <c r="N12" s="154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1" t="s">
        <v>61</v>
      </c>
      <c r="F13" s="98" t="s">
        <v>44</v>
      </c>
      <c r="G13" s="98"/>
      <c r="H13" s="99"/>
      <c r="I13" s="22" t="s">
        <v>62</v>
      </c>
      <c r="J13" s="98" t="s">
        <v>44</v>
      </c>
      <c r="K13" s="98"/>
      <c r="L13" s="99"/>
      <c r="M13" s="33"/>
      <c r="N13" s="12" t="s">
        <v>72</v>
      </c>
      <c r="O13" s="35" t="s">
        <v>77</v>
      </c>
      <c r="P13" s="12" t="s">
        <v>73</v>
      </c>
      <c r="Q13" s="23">
        <f>O7</f>
        <v>20</v>
      </c>
      <c r="R13" s="12" t="s">
        <v>74</v>
      </c>
      <c r="S13" s="35" t="s">
        <v>23</v>
      </c>
      <c r="T13" s="12" t="s">
        <v>178</v>
      </c>
      <c r="U13" s="23" t="str">
        <f>IF(S13="No","",(ROUNDUP(U7/W13/24,0)))</f>
        <v/>
      </c>
      <c r="V13" s="12" t="s">
        <v>75</v>
      </c>
      <c r="W13" s="68" t="str">
        <f>IF(AND((O17="LOOSE"),(NOT(O18="BUNDLE"))),"",IF(AND((O17="LINED"),(NOT(O18="BUNDLE"))),"",(IF(R7&lt;=500,"50",IF(R7&gt;500,"100")))))</f>
        <v>50</v>
      </c>
      <c r="X13" s="12" t="s">
        <v>76</v>
      </c>
      <c r="Y13" s="36"/>
    </row>
    <row r="14" spans="1:28" ht="20.100000000000001" customHeight="1" x14ac:dyDescent="0.3">
      <c r="A14" s="15" t="s">
        <v>60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  <c r="M14" s="33"/>
      <c r="N14" s="154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3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3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3"/>
      <c r="N16" s="12" t="s">
        <v>28</v>
      </c>
      <c r="O16" s="98">
        <v>150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5"/>
      <c r="Y16" s="166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5" t="s">
        <v>81</v>
      </c>
      <c r="H17" s="36"/>
      <c r="I17" s="94"/>
      <c r="J17" s="95"/>
      <c r="K17" s="94"/>
      <c r="L17" s="95"/>
      <c r="M17" s="33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65"/>
      <c r="Y17" s="166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5" t="s">
        <v>82</v>
      </c>
      <c r="H18" s="36"/>
      <c r="I18" s="94"/>
      <c r="J18" s="95"/>
      <c r="K18" s="94"/>
      <c r="L18" s="95"/>
      <c r="M18" s="33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4" t="s">
        <v>27</v>
      </c>
      <c r="U18" s="98" t="s">
        <v>36</v>
      </c>
      <c r="V18" s="99"/>
      <c r="W18" s="12" t="s">
        <v>109</v>
      </c>
      <c r="X18" s="165"/>
      <c r="Y18" s="166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5" t="s">
        <v>83</v>
      </c>
      <c r="H19" s="36"/>
      <c r="I19" s="94"/>
      <c r="J19" s="95"/>
      <c r="K19" s="94"/>
      <c r="L19" s="95"/>
      <c r="M19" s="33"/>
      <c r="N19" s="167" t="s">
        <v>116</v>
      </c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9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5" t="s">
        <v>84</v>
      </c>
      <c r="H20" s="36"/>
      <c r="I20" s="94"/>
      <c r="J20" s="95"/>
      <c r="K20" s="94"/>
      <c r="L20" s="95"/>
      <c r="M20" s="33"/>
      <c r="N20" s="170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2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5" t="s">
        <v>85</v>
      </c>
      <c r="H21" s="36"/>
      <c r="I21" s="94"/>
      <c r="J21" s="95"/>
      <c r="K21" s="94"/>
      <c r="L21" s="95"/>
      <c r="M21" s="33"/>
      <c r="N21" s="170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2"/>
    </row>
    <row r="22" spans="1:25" ht="20.100000000000001" customHeight="1" x14ac:dyDescent="0.2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5" t="s">
        <v>86</v>
      </c>
      <c r="H22" s="36"/>
      <c r="I22" s="94"/>
      <c r="J22" s="95"/>
      <c r="K22" s="94"/>
      <c r="L22" s="95"/>
      <c r="M22" s="33"/>
      <c r="N22" s="173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5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5" t="s">
        <v>87</v>
      </c>
      <c r="H23" s="36"/>
      <c r="I23" s="94"/>
      <c r="J23" s="95"/>
      <c r="K23" s="94"/>
      <c r="L23" s="95"/>
      <c r="M23" s="33"/>
      <c r="N23" s="154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5" t="s">
        <v>88</v>
      </c>
      <c r="H24" s="36"/>
      <c r="I24" s="94"/>
      <c r="J24" s="95"/>
      <c r="K24" s="94"/>
      <c r="L24" s="95"/>
      <c r="M24" s="33"/>
      <c r="N24" s="37"/>
      <c r="O24" s="25" t="s">
        <v>119</v>
      </c>
      <c r="P24" s="25" t="s">
        <v>129</v>
      </c>
      <c r="Q24" s="25" t="s">
        <v>120</v>
      </c>
      <c r="R24" s="25" t="s">
        <v>121</v>
      </c>
      <c r="S24" s="25" t="s">
        <v>122</v>
      </c>
      <c r="T24" s="25" t="s">
        <v>123</v>
      </c>
      <c r="U24" s="25" t="s">
        <v>124</v>
      </c>
      <c r="V24" s="25" t="s">
        <v>125</v>
      </c>
      <c r="W24" s="25" t="s">
        <v>126</v>
      </c>
      <c r="X24" s="25" t="s">
        <v>127</v>
      </c>
      <c r="Y24" s="25" t="s">
        <v>176</v>
      </c>
    </row>
    <row r="25" spans="1:25" ht="20.100000000000001" customHeight="1" x14ac:dyDescent="0.25">
      <c r="A25" s="123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3"/>
      <c r="N25" s="25" t="s">
        <v>96</v>
      </c>
      <c r="O25" s="10" t="s">
        <v>196</v>
      </c>
      <c r="P25" s="38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6"/>
      <c r="B26" s="25" t="s">
        <v>180</v>
      </c>
      <c r="C26" s="25" t="s">
        <v>92</v>
      </c>
      <c r="D26" s="27" t="s">
        <v>90</v>
      </c>
      <c r="E26" s="27" t="s">
        <v>91</v>
      </c>
      <c r="F26" s="27" t="s">
        <v>93</v>
      </c>
      <c r="G26" s="164" t="s">
        <v>132</v>
      </c>
      <c r="H26" s="164"/>
      <c r="I26" s="164" t="s">
        <v>131</v>
      </c>
      <c r="J26" s="164"/>
      <c r="K26" s="27" t="s">
        <v>94</v>
      </c>
      <c r="L26" s="27" t="s">
        <v>95</v>
      </c>
      <c r="M26" s="33"/>
      <c r="N26" s="161" t="s">
        <v>137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25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3"/>
      <c r="N27" s="54" t="s">
        <v>182</v>
      </c>
      <c r="O27" s="54" t="s">
        <v>21</v>
      </c>
      <c r="P27" s="54" t="s">
        <v>17</v>
      </c>
      <c r="Q27" s="54" t="s">
        <v>14</v>
      </c>
      <c r="R27" s="54" t="s">
        <v>128</v>
      </c>
      <c r="S27" s="54" t="s">
        <v>129</v>
      </c>
      <c r="T27" s="54" t="s">
        <v>112</v>
      </c>
      <c r="U27" s="28" t="s">
        <v>130</v>
      </c>
      <c r="V27" s="28" t="s">
        <v>116</v>
      </c>
      <c r="W27" s="54" t="s">
        <v>190</v>
      </c>
      <c r="X27" s="54" t="s">
        <v>191</v>
      </c>
      <c r="Y27" s="54" t="s">
        <v>22</v>
      </c>
    </row>
    <row r="28" spans="1:25" ht="20.100000000000001" customHeight="1" x14ac:dyDescent="0.25">
      <c r="A28" s="25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3"/>
      <c r="N28" s="56">
        <v>1</v>
      </c>
      <c r="O28" s="6"/>
      <c r="P28" s="6"/>
      <c r="Q28" s="6"/>
      <c r="R28" s="6"/>
      <c r="S28" s="6"/>
      <c r="T28" s="37"/>
      <c r="U28" s="6"/>
      <c r="V28" s="6"/>
      <c r="W28" s="6"/>
      <c r="X28" s="6"/>
      <c r="Y28" s="6"/>
    </row>
    <row r="29" spans="1:25" ht="20.100000000000001" customHeight="1" x14ac:dyDescent="0.25">
      <c r="A29" s="155" t="s">
        <v>99</v>
      </c>
      <c r="B29" s="156"/>
      <c r="C29" s="156"/>
      <c r="D29" s="156"/>
      <c r="E29" s="156"/>
      <c r="F29" s="157"/>
      <c r="G29" s="157"/>
      <c r="H29" s="157"/>
      <c r="I29" s="157"/>
      <c r="J29" s="157"/>
      <c r="K29" s="156"/>
      <c r="L29" s="158"/>
      <c r="M29" s="33"/>
      <c r="N29" s="56">
        <v>2</v>
      </c>
      <c r="O29" s="6"/>
      <c r="P29" s="6"/>
      <c r="Q29" s="6"/>
      <c r="R29" s="6"/>
      <c r="S29" s="6"/>
      <c r="T29" s="37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39"/>
      <c r="C30" s="36"/>
      <c r="D30" s="13" t="s">
        <v>92</v>
      </c>
      <c r="E30" s="40"/>
      <c r="F30" s="36"/>
      <c r="G30" s="30" t="s">
        <v>98</v>
      </c>
      <c r="H30" s="41"/>
      <c r="I30" s="41"/>
      <c r="J30" s="42"/>
      <c r="K30" s="41"/>
      <c r="L30" s="43"/>
      <c r="M30" s="33"/>
      <c r="N30" s="56">
        <v>3</v>
      </c>
      <c r="O30" s="6"/>
      <c r="P30" s="6"/>
      <c r="Q30" s="6"/>
      <c r="R30" s="6"/>
      <c r="S30" s="6"/>
      <c r="T30" s="37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39"/>
      <c r="C31" s="36"/>
      <c r="D31" s="13" t="s">
        <v>112</v>
      </c>
      <c r="E31" s="40"/>
      <c r="F31" s="44"/>
      <c r="G31" s="13" t="s">
        <v>98</v>
      </c>
      <c r="H31" s="40"/>
      <c r="I31" s="40"/>
      <c r="J31" s="40"/>
      <c r="K31" s="40"/>
      <c r="L31" s="36"/>
      <c r="M31" s="33"/>
      <c r="N31" s="56">
        <v>4</v>
      </c>
      <c r="O31" s="6"/>
      <c r="P31" s="6"/>
      <c r="Q31" s="6"/>
      <c r="R31" s="6"/>
      <c r="S31" s="6"/>
      <c r="T31" s="37"/>
      <c r="U31" s="6"/>
      <c r="V31" s="6"/>
      <c r="W31" s="6"/>
      <c r="X31" s="6"/>
      <c r="Y31" s="6"/>
    </row>
    <row r="32" spans="1:25" ht="20.100000000000001" customHeight="1" x14ac:dyDescent="0.25">
      <c r="A32" s="31" t="s">
        <v>113</v>
      </c>
      <c r="B32" s="45"/>
      <c r="C32" s="43"/>
      <c r="D32" s="31" t="s">
        <v>89</v>
      </c>
      <c r="E32" s="41"/>
      <c r="F32" s="43"/>
      <c r="G32" s="31" t="s">
        <v>111</v>
      </c>
      <c r="H32" s="41"/>
      <c r="I32" s="41"/>
      <c r="J32" s="41"/>
      <c r="K32" s="41"/>
      <c r="L32" s="43"/>
      <c r="M32" s="33"/>
      <c r="N32" s="57">
        <v>5</v>
      </c>
      <c r="O32" s="48"/>
      <c r="P32" s="48"/>
      <c r="Q32" s="48"/>
      <c r="R32" s="48"/>
      <c r="S32" s="48"/>
      <c r="T32" s="49"/>
      <c r="U32" s="48"/>
      <c r="V32" s="48"/>
      <c r="W32" s="48"/>
      <c r="X32" s="48"/>
      <c r="Y32" s="48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3"/>
      <c r="N33" s="56">
        <v>6</v>
      </c>
      <c r="O33" s="6"/>
      <c r="P33" s="6"/>
      <c r="Q33" s="6"/>
      <c r="R33" s="6"/>
      <c r="S33" s="6"/>
      <c r="T33" s="37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3"/>
      <c r="N34" s="56">
        <v>7</v>
      </c>
      <c r="O34" s="6"/>
      <c r="P34" s="6"/>
      <c r="Q34" s="6"/>
      <c r="R34" s="6"/>
      <c r="S34" s="6"/>
      <c r="T34" s="37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3"/>
      <c r="N35" s="56">
        <v>8</v>
      </c>
      <c r="O35" s="6"/>
      <c r="P35" s="6"/>
      <c r="Q35" s="6"/>
      <c r="R35" s="6"/>
      <c r="S35" s="6"/>
      <c r="T35" s="37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3"/>
      <c r="N36" s="56">
        <v>9</v>
      </c>
      <c r="O36" s="6"/>
      <c r="P36" s="6"/>
      <c r="Q36" s="6"/>
      <c r="R36" s="6"/>
      <c r="S36" s="6"/>
      <c r="T36" s="37"/>
      <c r="U36" s="6"/>
      <c r="V36" s="6"/>
      <c r="W36" s="6"/>
      <c r="X36" s="6"/>
      <c r="Y36" s="6"/>
    </row>
    <row r="37" spans="1:25" ht="20.100000000000001" customHeight="1" x14ac:dyDescent="0.25">
      <c r="A37" s="28" t="s">
        <v>14</v>
      </c>
      <c r="B37" s="1" t="s">
        <v>21</v>
      </c>
      <c r="C37" s="28" t="s">
        <v>135</v>
      </c>
      <c r="D37" s="28" t="s">
        <v>15</v>
      </c>
      <c r="E37" s="28" t="s">
        <v>16</v>
      </c>
      <c r="F37" s="28" t="s">
        <v>52</v>
      </c>
      <c r="G37" s="32" t="s">
        <v>17</v>
      </c>
      <c r="H37" s="32" t="s">
        <v>18</v>
      </c>
      <c r="I37" s="29" t="s">
        <v>29</v>
      </c>
      <c r="J37" s="28" t="s">
        <v>19</v>
      </c>
      <c r="K37" s="28" t="s">
        <v>20</v>
      </c>
      <c r="L37" s="28" t="s">
        <v>22</v>
      </c>
      <c r="M37" s="33"/>
      <c r="N37" s="57">
        <v>10</v>
      </c>
      <c r="O37" s="48"/>
      <c r="P37" s="48"/>
      <c r="Q37" s="48"/>
      <c r="R37" s="48"/>
      <c r="S37" s="48"/>
      <c r="T37" s="49"/>
      <c r="U37" s="48"/>
      <c r="V37" s="48"/>
      <c r="W37" s="48"/>
      <c r="X37" s="48"/>
      <c r="Y37" s="48"/>
    </row>
    <row r="38" spans="1:25" ht="20.100000000000001" customHeight="1" x14ac:dyDescent="0.25">
      <c r="A38" s="25">
        <v>1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3"/>
      <c r="N38" s="56">
        <v>11</v>
      </c>
      <c r="O38" s="6"/>
      <c r="P38" s="6"/>
      <c r="Q38" s="6"/>
      <c r="R38" s="6"/>
      <c r="S38" s="6"/>
      <c r="T38" s="37"/>
      <c r="U38" s="6"/>
      <c r="V38" s="6"/>
      <c r="W38" s="6"/>
      <c r="X38" s="6"/>
      <c r="Y38" s="6"/>
    </row>
    <row r="39" spans="1:25" ht="20.100000000000001" customHeight="1" x14ac:dyDescent="0.25">
      <c r="A39" s="25">
        <v>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3"/>
      <c r="N39" s="56">
        <v>12</v>
      </c>
      <c r="O39" s="6"/>
      <c r="P39" s="6"/>
      <c r="Q39" s="6"/>
      <c r="R39" s="6"/>
      <c r="S39" s="6"/>
      <c r="T39" s="37"/>
      <c r="U39" s="6"/>
      <c r="V39" s="6"/>
      <c r="W39" s="6"/>
      <c r="X39" s="6"/>
      <c r="Y39" s="6"/>
    </row>
    <row r="40" spans="1:25" ht="20.100000000000001" customHeight="1" x14ac:dyDescent="0.25">
      <c r="A40" s="25">
        <v>3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3"/>
      <c r="N40" s="56">
        <v>13</v>
      </c>
      <c r="O40" s="6"/>
      <c r="P40" s="6"/>
      <c r="Q40" s="6"/>
      <c r="R40" s="6"/>
      <c r="S40" s="6"/>
      <c r="T40" s="37"/>
      <c r="U40" s="6"/>
      <c r="V40" s="6"/>
      <c r="W40" s="6"/>
      <c r="X40" s="6"/>
      <c r="Y40" s="6"/>
    </row>
    <row r="41" spans="1:25" ht="20.100000000000001" customHeight="1" x14ac:dyDescent="0.25">
      <c r="A41" s="25">
        <v>4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3"/>
      <c r="N41" s="56">
        <v>14</v>
      </c>
      <c r="O41" s="6"/>
      <c r="P41" s="6"/>
      <c r="Q41" s="6"/>
      <c r="R41" s="6"/>
      <c r="S41" s="6"/>
      <c r="T41" s="37"/>
      <c r="U41" s="6"/>
      <c r="V41" s="6"/>
      <c r="W41" s="6"/>
      <c r="X41" s="6"/>
      <c r="Y41" s="6"/>
    </row>
    <row r="42" spans="1:25" ht="20.100000000000001" customHeight="1" x14ac:dyDescent="0.25">
      <c r="A42" s="51">
        <v>5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33"/>
      <c r="N42" s="57">
        <v>15</v>
      </c>
      <c r="O42" s="48"/>
      <c r="P42" s="48"/>
      <c r="Q42" s="48"/>
      <c r="R42" s="48"/>
      <c r="S42" s="48"/>
      <c r="T42" s="49"/>
      <c r="U42" s="48"/>
      <c r="V42" s="48"/>
      <c r="W42" s="48"/>
      <c r="X42" s="48"/>
      <c r="Y42" s="48"/>
    </row>
    <row r="43" spans="1:25" ht="20.100000000000001" customHeight="1" x14ac:dyDescent="0.25">
      <c r="N43" s="58"/>
    </row>
    <row r="44" spans="1:25" ht="20.100000000000001" customHeight="1" x14ac:dyDescent="0.25">
      <c r="A44" s="28" t="s">
        <v>14</v>
      </c>
      <c r="B44" s="46" t="s">
        <v>21</v>
      </c>
      <c r="C44" s="28" t="s">
        <v>135</v>
      </c>
      <c r="D44" s="28" t="s">
        <v>15</v>
      </c>
      <c r="E44" s="28" t="s">
        <v>16</v>
      </c>
      <c r="F44" s="28" t="s">
        <v>52</v>
      </c>
      <c r="G44" s="32" t="s">
        <v>17</v>
      </c>
      <c r="H44" s="32" t="s">
        <v>18</v>
      </c>
      <c r="I44" s="28" t="s">
        <v>29</v>
      </c>
      <c r="J44" s="28" t="s">
        <v>19</v>
      </c>
      <c r="K44" s="28" t="s">
        <v>20</v>
      </c>
      <c r="L44" s="28" t="s">
        <v>22</v>
      </c>
      <c r="N44" s="54" t="s">
        <v>182</v>
      </c>
      <c r="O44" s="54" t="s">
        <v>21</v>
      </c>
      <c r="P44" s="54" t="s">
        <v>17</v>
      </c>
      <c r="Q44" s="54" t="s">
        <v>14</v>
      </c>
      <c r="R44" s="54" t="s">
        <v>128</v>
      </c>
      <c r="S44" s="54" t="s">
        <v>129</v>
      </c>
      <c r="T44" s="54" t="s">
        <v>112</v>
      </c>
      <c r="U44" s="28" t="s">
        <v>130</v>
      </c>
      <c r="V44" s="28" t="s">
        <v>116</v>
      </c>
      <c r="W44" s="54" t="s">
        <v>190</v>
      </c>
      <c r="X44" s="54" t="s">
        <v>191</v>
      </c>
      <c r="Y44" s="54" t="s">
        <v>22</v>
      </c>
    </row>
    <row r="45" spans="1:25" ht="20.100000000000001" customHeight="1" x14ac:dyDescent="0.25">
      <c r="A45" s="25">
        <v>6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N45" s="56">
        <v>16</v>
      </c>
      <c r="O45" s="6"/>
      <c r="P45" s="6"/>
      <c r="Q45" s="6"/>
      <c r="R45" s="6"/>
      <c r="S45" s="6"/>
      <c r="T45" s="37"/>
      <c r="U45" s="6"/>
      <c r="V45" s="6"/>
      <c r="W45" s="6"/>
      <c r="X45" s="6"/>
      <c r="Y45" s="6"/>
    </row>
    <row r="46" spans="1:25" ht="20.100000000000001" customHeight="1" x14ac:dyDescent="0.25">
      <c r="A46" s="25">
        <v>7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N46" s="56">
        <v>17</v>
      </c>
      <c r="O46" s="6"/>
      <c r="P46" s="6"/>
      <c r="Q46" s="6"/>
      <c r="R46" s="6"/>
      <c r="S46" s="6"/>
      <c r="T46" s="37"/>
      <c r="U46" s="6"/>
      <c r="V46" s="6"/>
      <c r="W46" s="6"/>
      <c r="X46" s="6"/>
      <c r="Y46" s="6"/>
    </row>
    <row r="47" spans="1:25" ht="20.100000000000001" customHeight="1" x14ac:dyDescent="0.25">
      <c r="A47" s="25">
        <v>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N47" s="56">
        <v>18</v>
      </c>
      <c r="O47" s="6"/>
      <c r="P47" s="6"/>
      <c r="Q47" s="6"/>
      <c r="R47" s="6"/>
      <c r="S47" s="6"/>
      <c r="T47" s="37"/>
      <c r="U47" s="6"/>
      <c r="V47" s="6"/>
      <c r="W47" s="6"/>
      <c r="X47" s="6"/>
      <c r="Y47" s="6"/>
    </row>
    <row r="48" spans="1:25" ht="20.100000000000001" customHeight="1" x14ac:dyDescent="0.25">
      <c r="A48" s="25">
        <v>9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N48" s="56">
        <v>19</v>
      </c>
      <c r="O48" s="6"/>
      <c r="P48" s="6"/>
      <c r="Q48" s="6"/>
      <c r="R48" s="6"/>
      <c r="S48" s="6"/>
      <c r="T48" s="37"/>
      <c r="U48" s="6"/>
      <c r="V48" s="6"/>
      <c r="W48" s="6"/>
      <c r="X48" s="6"/>
      <c r="Y48" s="6"/>
    </row>
    <row r="49" spans="1:25" ht="20.100000000000001" customHeight="1" x14ac:dyDescent="0.25">
      <c r="A49" s="51">
        <v>10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N49" s="57">
        <v>20</v>
      </c>
      <c r="O49" s="48"/>
      <c r="P49" s="48"/>
      <c r="Q49" s="48"/>
      <c r="R49" s="48"/>
      <c r="S49" s="48"/>
      <c r="T49" s="49"/>
      <c r="U49" s="48"/>
      <c r="V49" s="48"/>
      <c r="W49" s="48"/>
      <c r="X49" s="48"/>
      <c r="Y49" s="48"/>
    </row>
    <row r="50" spans="1:25" ht="20.100000000000001" customHeight="1" x14ac:dyDescent="0.25">
      <c r="A50" s="46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6">
        <v>21</v>
      </c>
      <c r="O50" s="6"/>
      <c r="P50" s="6"/>
      <c r="Q50" s="6"/>
      <c r="R50" s="6"/>
      <c r="S50" s="6"/>
      <c r="T50" s="37"/>
      <c r="U50" s="6"/>
      <c r="V50" s="6"/>
      <c r="W50" s="6"/>
      <c r="X50" s="6"/>
      <c r="Y50" s="6"/>
    </row>
    <row r="51" spans="1:25" ht="20.100000000000001" customHeight="1" x14ac:dyDescent="0.25">
      <c r="A51" s="46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6">
        <v>22</v>
      </c>
      <c r="O51" s="6"/>
      <c r="P51" s="6"/>
      <c r="Q51" s="6"/>
      <c r="R51" s="6"/>
      <c r="S51" s="6"/>
      <c r="T51" s="37"/>
      <c r="U51" s="6"/>
      <c r="V51" s="6"/>
      <c r="W51" s="6"/>
      <c r="X51" s="6"/>
      <c r="Y51" s="6"/>
    </row>
    <row r="52" spans="1:25" ht="20.100000000000001" customHeight="1" x14ac:dyDescent="0.25">
      <c r="A52" s="46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6">
        <v>23</v>
      </c>
      <c r="O52" s="6"/>
      <c r="P52" s="6"/>
      <c r="Q52" s="6"/>
      <c r="R52" s="6"/>
      <c r="S52" s="6"/>
      <c r="T52" s="37"/>
      <c r="U52" s="6"/>
      <c r="V52" s="6"/>
      <c r="W52" s="6"/>
      <c r="X52" s="6"/>
      <c r="Y52" s="6"/>
    </row>
    <row r="53" spans="1:25" ht="20.100000000000001" customHeight="1" x14ac:dyDescent="0.25">
      <c r="A53" s="46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6">
        <v>24</v>
      </c>
      <c r="O53" s="6"/>
      <c r="P53" s="6"/>
      <c r="Q53" s="6"/>
      <c r="R53" s="6"/>
      <c r="S53" s="6"/>
      <c r="T53" s="37"/>
      <c r="U53" s="6"/>
      <c r="V53" s="6"/>
      <c r="W53" s="6"/>
      <c r="X53" s="6"/>
      <c r="Y53" s="6"/>
    </row>
    <row r="54" spans="1:25" ht="20.100000000000001" customHeight="1" x14ac:dyDescent="0.25">
      <c r="A54" s="52">
        <v>15</v>
      </c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N54" s="57">
        <v>25</v>
      </c>
      <c r="O54" s="48"/>
      <c r="P54" s="48"/>
      <c r="Q54" s="48"/>
      <c r="R54" s="48"/>
      <c r="S54" s="48"/>
      <c r="T54" s="49"/>
      <c r="U54" s="48"/>
      <c r="V54" s="48"/>
      <c r="W54" s="48"/>
      <c r="X54" s="48"/>
      <c r="Y54" s="48"/>
    </row>
    <row r="55" spans="1:25" ht="20.100000000000001" customHeight="1" x14ac:dyDescent="0.25">
      <c r="A55" s="46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6">
        <v>26</v>
      </c>
      <c r="O55" s="6"/>
      <c r="P55" s="6"/>
      <c r="Q55" s="6"/>
      <c r="R55" s="6"/>
      <c r="S55" s="6"/>
      <c r="T55" s="37"/>
      <c r="U55" s="6"/>
      <c r="V55" s="6"/>
      <c r="W55" s="6"/>
      <c r="X55" s="6"/>
      <c r="Y55" s="6"/>
    </row>
    <row r="56" spans="1:25" ht="20.100000000000001" customHeight="1" x14ac:dyDescent="0.25">
      <c r="A56" s="46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6">
        <v>27</v>
      </c>
      <c r="O56" s="6"/>
      <c r="P56" s="6"/>
      <c r="Q56" s="6"/>
      <c r="R56" s="6"/>
      <c r="S56" s="6"/>
      <c r="T56" s="37"/>
      <c r="U56" s="6"/>
      <c r="V56" s="6"/>
      <c r="W56" s="6"/>
      <c r="X56" s="6"/>
      <c r="Y56" s="6"/>
    </row>
    <row r="57" spans="1:25" ht="20.100000000000001" customHeight="1" x14ac:dyDescent="0.25">
      <c r="A57" s="46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6">
        <v>28</v>
      </c>
      <c r="O57" s="6"/>
      <c r="P57" s="6"/>
      <c r="Q57" s="6"/>
      <c r="R57" s="6"/>
      <c r="S57" s="6"/>
      <c r="T57" s="37"/>
      <c r="U57" s="6"/>
      <c r="V57" s="6"/>
      <c r="W57" s="6"/>
      <c r="X57" s="6"/>
      <c r="Y57" s="6"/>
    </row>
    <row r="58" spans="1:25" ht="20.100000000000001" customHeight="1" x14ac:dyDescent="0.25">
      <c r="A58" s="46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6">
        <v>29</v>
      </c>
      <c r="O58" s="6"/>
      <c r="P58" s="6"/>
      <c r="Q58" s="6"/>
      <c r="R58" s="6"/>
      <c r="S58" s="6"/>
      <c r="T58" s="37"/>
      <c r="U58" s="6"/>
      <c r="V58" s="6"/>
      <c r="W58" s="6"/>
      <c r="X58" s="6"/>
      <c r="Y58" s="6"/>
    </row>
    <row r="59" spans="1:25" ht="20.100000000000001" customHeight="1" x14ac:dyDescent="0.25">
      <c r="A59" s="52">
        <v>20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N59" s="57">
        <v>30</v>
      </c>
      <c r="O59" s="48"/>
      <c r="P59" s="48"/>
      <c r="Q59" s="48"/>
      <c r="R59" s="48"/>
      <c r="S59" s="48"/>
      <c r="T59" s="49"/>
      <c r="U59" s="48"/>
      <c r="V59" s="48"/>
      <c r="W59" s="48"/>
      <c r="X59" s="48"/>
      <c r="Y59" s="48"/>
    </row>
    <row r="60" spans="1:25" ht="20.100000000000001" customHeight="1" x14ac:dyDescent="0.25">
      <c r="A60" s="46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9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46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9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46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9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46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9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52">
        <v>25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N64" s="60">
        <v>35</v>
      </c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spans="1:25" ht="20.100000000000001" customHeight="1" x14ac:dyDescent="0.25">
      <c r="A65" s="46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9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46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9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46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9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46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9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52">
        <v>30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N69" s="60">
        <v>40</v>
      </c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spans="1:25" ht="20.100000000000001" customHeight="1" x14ac:dyDescent="0.25">
      <c r="A70" s="46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9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46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9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46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9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46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9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52">
        <v>35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N74" s="60">
        <v>45</v>
      </c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spans="1:25" ht="20.100000000000001" customHeight="1" x14ac:dyDescent="0.25">
      <c r="A75" s="46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9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46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9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46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9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46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9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52">
        <v>40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N79" s="60">
        <v>50</v>
      </c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ht="20.100000000000001" customHeight="1" x14ac:dyDescent="0.25">
      <c r="A80" s="46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9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46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9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46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9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46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9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52">
        <v>45</v>
      </c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N84" s="60">
        <v>55</v>
      </c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 ht="20.100000000000001" customHeight="1" x14ac:dyDescent="0.25">
      <c r="A85" s="46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9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1" t="s">
        <v>39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7">
        <f ca="1">DATE(YEAR(Sheet1!J1),MONTH(Sheet1!J1)+1,DAY(Sheet1!J1))</f>
        <v>44308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7">
        <f ca="1">DATE(YEAR(Sheet1!J1),MONTH(Sheet1!J1),DAY(Sheet1!J1)+21)</f>
        <v>44298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2" t="s">
        <v>163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2" t="s">
        <v>177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3" t="s">
        <v>155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3" t="s">
        <v>148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3" t="s">
        <v>149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3" t="s">
        <v>150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3" t="s">
        <v>151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3" t="s">
        <v>152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3" t="s">
        <v>153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3" t="s">
        <v>174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3" t="s">
        <v>154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6"/>
      <c r="N19" s="61" t="s">
        <v>193</v>
      </c>
      <c r="T19" s="1"/>
      <c r="V19" s="1"/>
    </row>
    <row r="20" spans="1:23" x14ac:dyDescent="0.25">
      <c r="A20" s="63" t="s">
        <v>156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6"/>
      <c r="N20" s="61" t="s">
        <v>166</v>
      </c>
      <c r="T20" s="1"/>
      <c r="V20" s="1"/>
    </row>
    <row r="21" spans="1:23" x14ac:dyDescent="0.25">
      <c r="A21" s="63" t="s">
        <v>157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6"/>
      <c r="N21" s="61" t="s">
        <v>167</v>
      </c>
      <c r="T21" s="1"/>
      <c r="V21" s="1"/>
      <c r="W21" s="2"/>
    </row>
    <row r="22" spans="1:23" x14ac:dyDescent="0.25">
      <c r="A22" s="63" t="s">
        <v>158</v>
      </c>
      <c r="B22" s="61"/>
      <c r="C22" s="61"/>
      <c r="D22" s="61"/>
      <c r="E22" s="5"/>
      <c r="F22" s="61"/>
      <c r="G22" s="5"/>
      <c r="H22" s="61"/>
      <c r="I22" s="5"/>
      <c r="J22" s="61"/>
      <c r="K22" s="61"/>
      <c r="L22" s="61"/>
      <c r="M22" s="66"/>
      <c r="N22" s="66"/>
      <c r="T22" s="1"/>
      <c r="V22" s="1"/>
      <c r="W22" s="2"/>
    </row>
    <row r="23" spans="1:23" x14ac:dyDescent="0.25">
      <c r="A23" s="63" t="s">
        <v>159</v>
      </c>
      <c r="B23" s="61"/>
      <c r="C23" s="61"/>
      <c r="D23" s="61"/>
      <c r="E23" s="5"/>
      <c r="F23" s="61"/>
      <c r="G23" s="5"/>
      <c r="H23" s="61"/>
      <c r="I23" s="61"/>
      <c r="J23" s="61"/>
      <c r="K23" s="61"/>
      <c r="L23" s="61"/>
      <c r="M23" s="66"/>
      <c r="N23" s="64" t="s">
        <v>141</v>
      </c>
      <c r="T23" s="1"/>
      <c r="V23" s="1"/>
      <c r="W23" s="2"/>
    </row>
    <row r="24" spans="1:23" x14ac:dyDescent="0.25">
      <c r="A24" s="63" t="s">
        <v>160</v>
      </c>
      <c r="B24" s="61"/>
      <c r="C24" s="61"/>
      <c r="D24" s="61"/>
      <c r="E24" s="5"/>
      <c r="F24" s="61"/>
      <c r="G24" s="61"/>
      <c r="H24" s="61"/>
      <c r="I24" s="61"/>
      <c r="J24" s="61"/>
      <c r="K24" s="61"/>
      <c r="L24" s="61"/>
      <c r="M24" s="61"/>
      <c r="N24" s="6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3" t="s">
        <v>161</v>
      </c>
      <c r="B25" s="61"/>
      <c r="C25" s="61"/>
      <c r="D25" s="61"/>
      <c r="E25" s="5"/>
      <c r="F25" s="61"/>
      <c r="G25" s="61"/>
      <c r="H25" s="61"/>
      <c r="I25" s="61"/>
      <c r="J25" s="61"/>
      <c r="K25" s="61"/>
      <c r="L25" s="61"/>
      <c r="M25" s="61"/>
      <c r="N25" s="6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3" t="s">
        <v>162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3" t="s">
        <v>175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3" t="s">
        <v>184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 t="s">
        <v>140</v>
      </c>
      <c r="U28" s="1"/>
      <c r="V28" s="1"/>
    </row>
    <row r="29" spans="1:23" x14ac:dyDescent="0.25">
      <c r="A29" s="5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6"/>
      <c r="U29" s="1"/>
      <c r="V29" s="1"/>
    </row>
    <row r="30" spans="1:23" x14ac:dyDescent="0.25">
      <c r="A30" s="65" t="s">
        <v>46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5" t="s">
        <v>28</v>
      </c>
      <c r="U30" s="1"/>
      <c r="V30" s="1"/>
    </row>
    <row r="31" spans="1:23" x14ac:dyDescent="0.25">
      <c r="A31" s="5" t="s">
        <v>30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5" t="s">
        <v>168</v>
      </c>
      <c r="U31" s="1"/>
      <c r="V31" s="1"/>
    </row>
    <row r="32" spans="1:23" x14ac:dyDescent="0.25">
      <c r="A32" s="5" t="s">
        <v>34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5">
        <v>110</v>
      </c>
      <c r="U32" s="1"/>
      <c r="V32" s="1"/>
    </row>
    <row r="33" spans="1:22" x14ac:dyDescent="0.25">
      <c r="A33" s="5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5">
        <v>130</v>
      </c>
      <c r="U33" s="1"/>
      <c r="V33" s="1"/>
    </row>
    <row r="34" spans="1:22" x14ac:dyDescent="0.25">
      <c r="A34" s="65" t="s">
        <v>47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5">
        <v>150</v>
      </c>
      <c r="U34" s="1"/>
      <c r="V34" s="1"/>
    </row>
    <row r="35" spans="1:22" x14ac:dyDescent="0.25">
      <c r="A35" s="5" t="s">
        <v>44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5">
        <v>180</v>
      </c>
      <c r="U35" s="1"/>
      <c r="V35" s="1"/>
    </row>
    <row r="36" spans="1:22" x14ac:dyDescent="0.25">
      <c r="A36" s="5" t="s">
        <v>42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5" t="s">
        <v>169</v>
      </c>
      <c r="U36" s="1"/>
      <c r="V36" s="1"/>
    </row>
    <row r="37" spans="1:22" x14ac:dyDescent="0.25">
      <c r="A37" s="5" t="s">
        <v>43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5" t="s">
        <v>170</v>
      </c>
      <c r="U37" s="1"/>
      <c r="V37" s="1"/>
    </row>
    <row r="38" spans="1:22" x14ac:dyDescent="0.25">
      <c r="A38" s="5" t="s">
        <v>45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5" t="s">
        <v>38</v>
      </c>
      <c r="U38" s="1"/>
      <c r="V38" s="1"/>
    </row>
    <row r="39" spans="1:22" x14ac:dyDescent="0.25">
      <c r="A39" s="61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</row>
    <row r="40" spans="1:22" x14ac:dyDescent="0.25">
      <c r="A40" s="65" t="s">
        <v>63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5" t="s">
        <v>26</v>
      </c>
    </row>
    <row r="41" spans="1:22" x14ac:dyDescent="0.25">
      <c r="A41" s="5" t="s">
        <v>44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5" t="s">
        <v>35</v>
      </c>
    </row>
    <row r="42" spans="1:22" x14ac:dyDescent="0.25">
      <c r="A42" s="5" t="s">
        <v>65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5" t="s">
        <v>37</v>
      </c>
    </row>
    <row r="43" spans="1:22" x14ac:dyDescent="0.25">
      <c r="A43" s="5" t="s">
        <v>64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5" t="s">
        <v>171</v>
      </c>
    </row>
    <row r="44" spans="1:22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5"/>
    </row>
    <row r="45" spans="1:22" x14ac:dyDescent="0.25">
      <c r="A45" s="65" t="s">
        <v>68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5" t="s">
        <v>101</v>
      </c>
    </row>
    <row r="46" spans="1:22" x14ac:dyDescent="0.25">
      <c r="A46" s="5" t="s">
        <v>44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5" t="s">
        <v>38</v>
      </c>
    </row>
    <row r="47" spans="1:22" x14ac:dyDescent="0.25">
      <c r="A47" s="5" t="s">
        <v>70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5" t="s">
        <v>32</v>
      </c>
    </row>
    <row r="48" spans="1:22" x14ac:dyDescent="0.25">
      <c r="A48" s="5" t="s">
        <v>69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5" t="s">
        <v>172</v>
      </c>
    </row>
    <row r="49" spans="1:20" x14ac:dyDescent="0.25">
      <c r="A49" s="61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5" t="s">
        <v>183</v>
      </c>
    </row>
    <row r="50" spans="1:20" x14ac:dyDescent="0.25">
      <c r="A50" s="65" t="s">
        <v>61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5" t="s">
        <v>185</v>
      </c>
    </row>
    <row r="51" spans="1:20" x14ac:dyDescent="0.25">
      <c r="A51" s="5" t="s">
        <v>44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</row>
    <row r="52" spans="1:20" x14ac:dyDescent="0.25">
      <c r="A52" s="5" t="s">
        <v>66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4" t="s">
        <v>173</v>
      </c>
    </row>
    <row r="53" spans="1:20" x14ac:dyDescent="0.25">
      <c r="A53" s="5" t="s">
        <v>67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1" t="s">
        <v>31</v>
      </c>
    </row>
    <row r="54" spans="1:20" x14ac:dyDescent="0.25">
      <c r="A54" s="61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1" t="s">
        <v>23</v>
      </c>
    </row>
    <row r="55" spans="1:20" x14ac:dyDescent="0.25">
      <c r="A55" s="64" t="s">
        <v>62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</row>
    <row r="56" spans="1:20" x14ac:dyDescent="0.25">
      <c r="A56" s="61" t="s">
        <v>44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5" t="s">
        <v>27</v>
      </c>
    </row>
    <row r="57" spans="1:20" x14ac:dyDescent="0.25">
      <c r="A57" s="62" t="s">
        <v>177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1" t="s">
        <v>36</v>
      </c>
      <c r="O57" s="1"/>
      <c r="P57" s="1"/>
      <c r="Q57" s="1"/>
      <c r="R57" s="1"/>
      <c r="S57" s="1"/>
      <c r="T57" s="1"/>
    </row>
    <row r="58" spans="1:20" x14ac:dyDescent="0.25">
      <c r="A58" s="63" t="s">
        <v>155</v>
      </c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1" t="s">
        <v>33</v>
      </c>
    </row>
    <row r="59" spans="1:20" x14ac:dyDescent="0.25">
      <c r="A59" s="63" t="s">
        <v>148</v>
      </c>
    </row>
    <row r="60" spans="1:20" x14ac:dyDescent="0.25">
      <c r="A60" s="63" t="s">
        <v>149</v>
      </c>
      <c r="O60" s="1"/>
      <c r="Q60" s="1"/>
      <c r="R60" s="3"/>
      <c r="S60" s="1"/>
    </row>
    <row r="61" spans="1:20" x14ac:dyDescent="0.25">
      <c r="A61" s="63" t="s">
        <v>150</v>
      </c>
      <c r="O61" s="1"/>
      <c r="Q61" s="1"/>
      <c r="R61" s="1"/>
      <c r="S61" s="1"/>
    </row>
    <row r="62" spans="1:20" x14ac:dyDescent="0.25">
      <c r="A62" s="63" t="s">
        <v>151</v>
      </c>
      <c r="O62" s="1"/>
      <c r="Q62" s="1"/>
      <c r="R62" s="1"/>
      <c r="S62" s="1"/>
    </row>
    <row r="63" spans="1:20" x14ac:dyDescent="0.25">
      <c r="A63" s="63" t="s">
        <v>152</v>
      </c>
      <c r="O63" s="1"/>
      <c r="Q63" s="1"/>
      <c r="R63" s="1"/>
      <c r="S63" s="1"/>
      <c r="T63" s="1"/>
    </row>
    <row r="64" spans="1:20" x14ac:dyDescent="0.25">
      <c r="A64" s="63" t="s">
        <v>153</v>
      </c>
      <c r="O64" s="1"/>
      <c r="Q64" s="1"/>
      <c r="R64" s="1"/>
      <c r="S64" s="1"/>
      <c r="T64" s="1"/>
    </row>
    <row r="65" spans="1:20" x14ac:dyDescent="0.25">
      <c r="A65" s="6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C2D66F-EF93-44DC-A562-9684A4040D5A}"/>
</file>

<file path=customXml/itemProps2.xml><?xml version="1.0" encoding="utf-8"?>
<ds:datastoreItem xmlns:ds="http://schemas.openxmlformats.org/officeDocument/2006/customXml" ds:itemID="{D4D9157D-3888-44D3-B55F-D0C073FF28DF}"/>
</file>

<file path=customXml/itemProps3.xml><?xml version="1.0" encoding="utf-8"?>
<ds:datastoreItem xmlns:ds="http://schemas.openxmlformats.org/officeDocument/2006/customXml" ds:itemID="{D8DB096A-4508-4F0F-8B65-7F4453764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Molly</cp:lastModifiedBy>
  <cp:lastPrinted>2021-03-16T02:19:43Z</cp:lastPrinted>
  <dcterms:created xsi:type="dcterms:W3CDTF">2019-11-27T23:28:06Z</dcterms:created>
  <dcterms:modified xsi:type="dcterms:W3CDTF">2021-03-21T21:54:05Z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