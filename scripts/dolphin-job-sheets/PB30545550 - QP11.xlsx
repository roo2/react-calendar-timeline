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B75D4E1-3F1B-471B-B735-9A29038CBE6E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<sst xmlns="http://schemas.openxmlformats.org/spreadsheetml/2006/main" count="308" uniqueCount="204">
  <si>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</si>
  <si>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</si>
  <si>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</si>
  <si>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</si>
  <si>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</si>
  <si>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</si>
  <si>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</si>
  <si>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</si>
  <si>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</si>
  <si>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</si>
  <si>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</si>
  <si>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</si>
  <si>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</si>
  <si>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</si>
  <si>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</si>
  <si>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</si>
  <si>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</si>
  <si>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</si>
  <si>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</si>
  <si>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</si>
  <si>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</si>
  <si>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</si>
  <si>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</si>
  <si>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</si>
  <si>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</si>
  <si>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</si>
  <si>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</si>
  <si>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</si>
  <si>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</si>
  <si>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</si>
  <si>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</si>
  <si>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</si>
  <si>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</si>
  <si>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</si>
  <si>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</si>
  <si>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</si>
  <si>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</si>
  <si>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</si>
  <si>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</si>
  <si>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</si>
  <si>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</si>
  <si>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</si>
  <si>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</si>
  <si>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</si>
  <si>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</si>
  <si>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</si>
  <si>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</si>
  <si>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</si>
  <si>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</si>
  <si>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</si>
  <si>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</si>
  <si>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</si>
  <si>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</si>
  <si>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</si>
  <si>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</si>
  <si>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</si>
  <si>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</si>
  <si>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</si>
  <si>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</si>
  <si>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</si>
  <si>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</si>
  <si>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</si>
  <si>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</si>
  <si>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</si>
  <si>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</si>
  <si>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</si>
  <si>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</si>
  <si>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</si>
  <si>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</si>
  <si>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</si>
  <si>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</si>
  <si>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</si>
  <si>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</si>
  <si>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</si>
  <si>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</si>
  <si>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</si>
  <si>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</si>
  <si>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</si>
  <si>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</si>
  <si>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</si>
  <si>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</si>
  <si>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</si>
  <si>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</si>
  <si>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</si>
  <si>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</si>
  <si>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</si>
  <si>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</si>
  <si>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</si>
  <si>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</si>
  <si>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</si>
  <si>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</si>
  <si>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</si>
  <si>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</si>
  <si>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</si>
  <si>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</si>
  <si>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</si>
  <si>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</si>
  <si>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</si>
  <si>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</si>
  <si>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</si>
  <si>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</si>
  <si>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</si>
  <si>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</si>
  <si>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</si>
  <si>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</si>
  <si>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</si>
  <si>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</si>
  <si>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</si>
  <si>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</si>
  <si>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</si>
  <si>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</si>
  <si>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</si>
  <si>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</si>
  <si>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</si>
  <si>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</si>
  <si>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</si>
  <si>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</si>
  <si>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</si>
  <si>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</si>
  <si>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</si>
  <si>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</si>
  <si>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</si>
  <si>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</si>
  <si>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</si>
  <si>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</si>
  <si>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</si>
  <si>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</si>
  <si>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</si>
  <si>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</si>
  <si>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</si>
  <si>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</si>
  <si>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</si>
  <si>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</si>
  <si>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</si>
  <si>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</si>
  <si>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</si>
  <si>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</si>
  <si>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</si>
  <si>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</si>
  <si>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</si>
  <si>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</si>
  <si>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</si>
  <si>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</si>
  <si>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</si>
  <si>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</si>
  <si>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</si>
  <si>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</si>
  <si>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</si>
  <si>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</si>
  <si>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</si>
  <si>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</si>
  <si>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</si>
  <si>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</si>
  <si>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</si>
  <si>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</si>
  <si>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</si>
  <si>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</si>
  <si>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</si>
  <si>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</si>
  <si>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</si>
  <si>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</si>
  <si>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</si>
  <si>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</si>
  <si>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</si>
  <si>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</si>
  <si>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</si>
  <si>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</si>
  <si>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</si>
  <si>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</si>
  <si>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</si>
  <si>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</si>
  <si>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</si>
  <si>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</si>
  <si>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</si>
  <si>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</si>
  <si>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</si>
  <si>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</si>
  <si>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</si>
  <si>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</si>
  <si>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</si>
  <si>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</si>
  <si>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</si>
  <si>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</si>
  <si>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</si>
  <si>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</si>
  <si>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</si>
  <si>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</si>
  <si>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</si>
  <si>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</si>
  <si>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</si>
  <si>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</si>
  <si>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</si>
  <si>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</si>
  <si>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</si>
  <si>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</si>
  <si>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QLD HEALTH</t>
  </si>
  <si>
    <t>QP11</t>
  </si>
  <si>
    <t xml:space="preserve"> +/- 5um</t>
  </si>
  <si>
    <t>ANTIBLOCK</t>
  </si>
  <si>
    <t>%</t>
  </si>
  <si>
    <t>ANTISTATIC</t>
  </si>
  <si>
    <t>LIMAX</t>
  </si>
  <si>
    <t>L3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</si>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</sst>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08" t="str">
        <f>O9&amp;R9&amp;IF(X8="G","G","")&amp;IF(O8="Centrefold Roll","("&amp;E8&amp;")","")&amp;T9&amp;V9&amp;C22&amp;C23&amp;C24&amp;O11&amp;R11</f>
        <v>PB305455500AS</v>
      </c>
      <c r="C1" s="108"/>
      <c r="D1" s="109"/>
      <c r="E1" s="10" t="s">
        <v>57</v>
      </c>
      <c r="F1" s="62" t="s">
        <v>195</v>
      </c>
      <c r="G1" s="62"/>
      <c r="H1" s="63"/>
      <c r="I1" s="11" t="s">
        <v>181</v>
      </c>
      <c r="J1" s="119">
        <f ca="1">TODAY()</f>
        <v>45881</v>
      </c>
      <c r="K1" s="119"/>
      <c r="L1" s="120"/>
      <c r="M1" s="28"/>
      <c r="N1" s="10" t="s">
        <v>56</v>
      </c>
      <c r="O1" s="108" t="str">
        <f>B1</f>
        <v>PB305455500AS</v>
      </c>
      <c r="P1" s="108"/>
      <c r="Q1" s="109"/>
      <c r="R1" s="10" t="s">
        <v>57</v>
      </c>
      <c r="S1" s="108" t="str">
        <f>F1</f>
        <v>QLD HEALTH</v>
      </c>
      <c r="T1" s="108"/>
      <c r="U1" s="109"/>
      <c r="V1" s="10" t="s">
        <v>181</v>
      </c>
      <c r="W1" s="119">
        <f ca="1">J1</f>
        <v>45881</v>
      </c>
      <c r="X1" s="119"/>
      <c r="Y1" s="120"/>
    </row>
    <row r="2" spans="1:25" ht="20.149999999999999" customHeight="1" x14ac:dyDescent="0.8">
      <c r="A2" s="10" t="s">
        <v>100</v>
      </c>
      <c r="B2" s="108" t="str">
        <f>IF(U10="","",U10)</f>
        <v>QP11</v>
      </c>
      <c r="C2" s="108"/>
      <c r="D2" s="109"/>
      <c r="E2" s="10" t="s">
        <v>58</v>
      </c>
      <c r="F2" s="62">
        <v>950254</v>
      </c>
      <c r="G2" s="62"/>
      <c r="H2" s="63"/>
      <c r="I2" s="10" t="s">
        <v>59</v>
      </c>
      <c r="J2" s="122" t="s">
        <v>192</v>
      </c>
      <c r="K2" s="62"/>
      <c r="L2" s="63"/>
      <c r="M2" s="28"/>
      <c r="N2" s="10" t="s">
        <v>100</v>
      </c>
      <c r="O2" s="108" t="str">
        <f>IF(B2="","",B2)</f>
        <v>QP11</v>
      </c>
      <c r="P2" s="108"/>
      <c r="Q2" s="109"/>
      <c r="R2" s="10" t="s">
        <v>58</v>
      </c>
      <c r="S2" s="108">
        <f>IF(F2="","",F2)</f>
        <v>950254</v>
      </c>
      <c r="T2" s="108"/>
      <c r="U2" s="109"/>
      <c r="V2" s="10" t="s">
        <v>59</v>
      </c>
      <c r="W2" s="121" t="str">
        <f>J2</f>
        <v>ASAP</v>
      </c>
      <c r="X2" s="108"/>
      <c r="Y2" s="109"/>
    </row>
    <row r="3" spans="1:25" ht="20.149999999999999" customHeight="1" x14ac:dyDescent="0.75">
      <c r="A3" s="110" t="s">
        <v>203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 t="str">
        <f>A3</f>
        <v>F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0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25</v>
      </c>
      <c r="P7" s="63"/>
      <c r="Q7" s="10" t="str">
        <f>IF(ISNUMBER(SEARCH("roll",O8,1)),"Per Roll","Per Carton")</f>
        <v>Per Carton</v>
      </c>
      <c r="R7" s="62">
        <v>1000</v>
      </c>
      <c r="S7" s="63"/>
      <c r="T7" s="10" t="str">
        <f>IF(ISNUMBER(SEARCH("bag",O8,1)),"Total Bags","Total Sheets")</f>
        <v>Total Bags</v>
      </c>
      <c r="U7" s="108">
        <f>R7*O7</f>
        <v>25000</v>
      </c>
      <c r="V7" s="109"/>
      <c r="W7" s="10" t="s">
        <v>102</v>
      </c>
      <c r="X7" s="62" t="s">
        <v>31</v>
      </c>
      <c r="Y7" s="63"/>
    </row>
    <row r="8" spans="1:25" ht="20.149999999999999" customHeight="1" x14ac:dyDescent="0.8">
      <c r="A8" s="12" t="s">
        <v>16</v>
      </c>
      <c r="B8" s="96">
        <f>R9</f>
        <v>305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2" t="s">
        <v>52</v>
      </c>
      <c r="H8" s="96">
        <f>(IF(V9&lt;30,"30",V9))</f>
        <v>50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5" t="s">
        <v>48</v>
      </c>
      <c r="B9" s="125" t="s">
        <v>193</v>
      </c>
      <c r="C9" s="126"/>
      <c r="D9" s="133" t="str">
        <f>IF(K10="Middle","RUN 2 UP",IF(AND(O8="Centrefold Roll",B8=380),"RUN 2 UP",""))</f>
        <v/>
      </c>
      <c r="E9" s="100"/>
      <c r="F9" s="101"/>
      <c r="G9" s="15" t="s">
        <v>48</v>
      </c>
      <c r="H9" s="125" t="s">
        <v>197</v>
      </c>
      <c r="I9" s="126"/>
      <c r="J9" s="10" t="s">
        <v>55</v>
      </c>
      <c r="K9" s="62" t="s">
        <v>30</v>
      </c>
      <c r="L9" s="63"/>
      <c r="M9" s="28"/>
      <c r="N9" s="16"/>
      <c r="O9" s="102" t="str">
        <f>IF(O8="Poly Bag","PB",IF(O8="Poly Bag Roll","PBR",IF(O8="Centrefold Roll","CFR",IF(O8="Sheet","S",IF(O8="Sheet Roll","SR")))))</f>
        <v>PB</v>
      </c>
      <c r="P9" s="103"/>
      <c r="Q9" s="16"/>
      <c r="R9" s="29">
        <v>305</v>
      </c>
      <c r="S9" s="17" t="s">
        <v>78</v>
      </c>
      <c r="T9" s="29">
        <v>455</v>
      </c>
      <c r="U9" s="17" t="s">
        <v>78</v>
      </c>
      <c r="V9" s="29">
        <v>50</v>
      </c>
      <c r="W9" s="16"/>
      <c r="X9" s="88"/>
      <c r="Y9" s="89"/>
    </row>
    <row r="10" spans="1:25" ht="20.149999999999999" customHeight="1" x14ac:dyDescent="0.8">
      <c r="A10" s="10" t="s">
        <v>51</v>
      </c>
      <c r="B10" s="62">
        <v>12</v>
      </c>
      <c r="C10" s="63"/>
      <c r="D10" s="46" t="s">
        <v>134</v>
      </c>
      <c r="E10" s="127">
        <f>IF(ISNUMBER(SEARCH("sheet",O8,1)),((R9*T9*H8/540000)*U7/2000*1.3),((R9*T9*H8/540000)*U7/1000*1.08))</f>
        <v>346.9375</v>
      </c>
      <c r="F10" s="128"/>
      <c r="G10" s="10" t="s">
        <v>53</v>
      </c>
      <c r="H10" s="131">
        <f>IF(ISNUMBER(SEARCH("sheet",O8,1)),(U7*T9/2000*1.08),(U7*T9/1000*1.08))</f>
        <v>12285</v>
      </c>
      <c r="I10" s="132"/>
      <c r="J10" s="10" t="s">
        <v>41</v>
      </c>
      <c r="K10" s="62" t="s">
        <v>44</v>
      </c>
      <c r="L10" s="63"/>
      <c r="M10" s="28"/>
      <c r="N10" s="13" t="s">
        <v>141</v>
      </c>
      <c r="O10" s="98" t="s">
        <v>44</v>
      </c>
      <c r="P10" s="99"/>
      <c r="Q10" s="13" t="s">
        <v>50</v>
      </c>
      <c r="R10" s="94" t="str">
        <f>IF(K11="NONE","None",IF(K11="INLINE","Yes",IF(K11="OUT OF LINE","Yes")))</f>
        <v>None</v>
      </c>
      <c r="S10" s="94"/>
      <c r="T10" s="13" t="s">
        <v>100</v>
      </c>
      <c r="U10" s="104" t="s">
        <v>196</v>
      </c>
      <c r="V10" s="104"/>
      <c r="W10" s="104"/>
      <c r="X10" s="104"/>
      <c r="Y10" s="105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28.911458333333332</v>
      </c>
      <c r="F11" s="130"/>
      <c r="G11" s="10" t="s">
        <v>15</v>
      </c>
      <c r="H11" s="129">
        <f>H10/B10</f>
        <v>1023.75</v>
      </c>
      <c r="I11" s="130"/>
      <c r="J11" s="10" t="s">
        <v>50</v>
      </c>
      <c r="K11" s="62" t="s">
        <v>44</v>
      </c>
      <c r="L11" s="63"/>
      <c r="M11" s="28"/>
      <c r="N11" s="12"/>
      <c r="O11" s="96" t="str">
        <f>IF(O10="NONE","","V")</f>
        <v/>
      </c>
      <c r="P11" s="97"/>
      <c r="Q11" s="12"/>
      <c r="R11" s="96" t="str">
        <f>IF(R10="None","","P")</f>
        <v/>
      </c>
      <c r="S11" s="97"/>
      <c r="T11" s="12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25</v>
      </c>
      <c r="R13" s="10" t="s">
        <v>74</v>
      </c>
      <c r="S13" s="30" t="s">
        <v>138</v>
      </c>
      <c r="T13" s="10" t="s">
        <v>178</v>
      </c>
      <c r="U13" s="19">
        <f>IF(S13="No","",(ROUNDUP(U7/W13/24,0)))</f>
        <v>11</v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6" t="s">
        <v>4</v>
      </c>
      <c r="F16" s="146"/>
      <c r="G16" s="146" t="s">
        <v>5</v>
      </c>
      <c r="H16" s="146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130</v>
      </c>
      <c r="P16" s="63"/>
      <c r="Q16" s="10" t="s">
        <v>105</v>
      </c>
      <c r="R16" s="62" t="s">
        <v>23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23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7" t="s">
        <v>198</v>
      </c>
      <c r="B23" s="147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 t="s">
        <v>199</v>
      </c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8" t="s">
        <v>200</v>
      </c>
      <c r="B24" s="149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201</v>
      </c>
      <c r="P25" s="33"/>
      <c r="Q25" s="9">
        <v>28</v>
      </c>
      <c r="R25" s="9"/>
      <c r="S25" s="9"/>
      <c r="T25" s="9"/>
      <c r="U25" s="9"/>
      <c r="V25" s="9"/>
      <c r="W25" s="9">
        <v>16</v>
      </c>
      <c r="X25" s="9">
        <v>11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1" t="s">
        <v>96</v>
      </c>
      <c r="B27" s="7" t="s">
        <v>202</v>
      </c>
      <c r="C27" s="7"/>
      <c r="D27" s="9">
        <v>25.9</v>
      </c>
      <c r="E27" s="58">
        <v>3.8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134" t="s">
        <v>116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6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137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9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2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24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45912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45902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194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148</v>
      </c>
    </row>
    <row r="60" spans="1:20" x14ac:dyDescent="0.75">
      <c r="A60" s="54" t="s">
        <v>149</v>
      </c>
      <c r="O60" s="1"/>
      <c r="Q60" s="1"/>
      <c r="R60" s="3"/>
      <c r="S60" s="1"/>
    </row>
    <row r="61" spans="1:20" x14ac:dyDescent="0.75">
      <c r="A61" s="54" t="s">
        <v>150</v>
      </c>
      <c r="O61" s="1"/>
      <c r="Q61" s="1"/>
      <c r="R61" s="1"/>
      <c r="S61" s="1"/>
    </row>
    <row r="62" spans="1:20" x14ac:dyDescent="0.75">
      <c r="A62" s="54" t="s">
        <v>151</v>
      </c>
      <c r="O62" s="1"/>
      <c r="Q62" s="1"/>
      <c r="R62" s="1"/>
      <c r="S62" s="1"/>
    </row>
    <row r="63" spans="1:20" x14ac:dyDescent="0.75">
      <c r="A63" s="54" t="s">
        <v>152</v>
      </c>
      <c r="O63" s="1"/>
      <c r="Q63" s="1"/>
      <c r="R63" s="1"/>
      <c r="S63" s="1"/>
      <c r="T63" s="1"/>
    </row>
    <row r="64" spans="1:20" x14ac:dyDescent="0.75">
      <c r="A64" s="54" t="s">
        <v>153</v>
      </c>
      <c r="O64" s="1"/>
      <c r="Q64" s="1"/>
      <c r="R64" s="1"/>
      <c r="S64" s="1"/>
      <c r="T64" s="1"/>
    </row>
    <row r="65" spans="1:20" x14ac:dyDescent="0.7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41045B9-0769-4444-A997-5829E9CDA8CE}"/>
</file>

<file path=customXml/itemProps2.xml><?xml version="1.0" encoding="utf-8"?>
<ds:datastoreItem xmlns:ds="http://schemas.openxmlformats.org/officeDocument/2006/customXml" ds:itemID="{CE00AD41-887B-43AE-8E20-05725E9AB4D2}"/>
</file>

<file path=customXml/itemProps3.xml><?xml version="1.0" encoding="utf-8"?>
<ds:datastoreItem xmlns:ds="http://schemas.openxmlformats.org/officeDocument/2006/customXml" ds:itemID="{7C143DDD-B0C5-44B1-8FC8-36AE49553F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2025-07-16T00:50:20Z</cp:lastPrinted>
  <dcterms:created xsi:type="dcterms:W3CDTF">2019-11-27T23:28:06Z</dcterms:created>
  <dcterms:modified xsi:type="dcterms:W3CDTF">2025-08-18T02:37:36Z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