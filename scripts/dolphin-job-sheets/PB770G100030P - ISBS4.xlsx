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CC3DD43B-96C5-41B6-A2FE-E9EC57E9A8E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A22" i="1"/>
  <c r="W17" i="1"/>
  <c r="T17" i="1"/>
  <c r="W16" i="1"/>
  <c r="W13" i="1"/>
  <c r="U13" i="1"/>
  <c r="Q13" i="1"/>
  <c r="R11" i="1"/>
  <c r="O11" i="1"/>
  <c r="H11" i="1"/>
  <c r="E11" i="1"/>
  <c r="B11" i="1"/>
  <c r="A11" i="1"/>
  <c r="R10" i="1"/>
  <c r="H10" i="1"/>
  <c r="E10" i="1"/>
  <c r="O9" i="1"/>
  <c r="D9" i="1"/>
  <c r="X8" i="1"/>
  <c r="W8" i="1"/>
  <c r="K8" i="1"/>
  <c r="H8" i="1"/>
  <c r="E8" i="1"/>
  <c r="D8" i="1"/>
  <c r="B8" i="1"/>
  <c r="U7" i="1"/>
  <c r="T7" i="1"/>
  <c r="Q7" i="1"/>
  <c r="N7" i="1"/>
  <c r="N3" i="1"/>
  <c r="W2" i="1"/>
  <c r="S2" i="1"/>
  <c r="O2" i="1"/>
  <c r="B2" i="1"/>
  <c r="S1" i="1"/>
  <c r="O1" i="1"/>
  <c r="J1" i="1"/>
  <c r="B1" i="1"/>
  <c r="A5" i="2" l="1"/>
  <c r="A4" i="2"/>
  <c r="W1" i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<sst xmlns="http://schemas.openxmlformats.org/spreadsheetml/2006/main" count="307" uniqueCount="203">
  <si>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</si>
  <si>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</si>
  <si>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</si>
  <si>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</si>
  <si>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</si>
  <si>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</si>
  <si>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</si>
  <si>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</si>
  <si>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</si>
  <si>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</si>
  <si>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</si>
  <si>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</si>
  <si>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</si>
  <si>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</si>
  <si>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</si>
  <si>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</si>
  <si>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</si>
  <si>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</si>
  <si>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</si>
  <si>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</si>
  <si>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</si>
  <si>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</si>
  <si>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</si>
  <si>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</si>
  <si>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</si>
  <si>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</si>
  <si>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</si>
  <si>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</si>
  <si>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</si>
  <si>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</si>
  <si>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</si>
  <si>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</si>
  <si>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</si>
  <si>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</si>
  <si>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</si>
  <si>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</si>
  <si>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</si>
  <si>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</si>
  <si>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</si>
  <si>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</si>
  <si>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</si>
  <si>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</si>
  <si>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</si>
  <si>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</si>
  <si>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</si>
  <si>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</si>
  <si>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</si>
  <si>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</si>
  <si>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</si>
  <si>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</si>
  <si>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</si>
  <si>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</si>
  <si>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</si>
  <si>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</si>
  <si>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</si>
  <si>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</si>
  <si>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</si>
  <si>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</si>
  <si>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</si>
  <si>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</si>
  <si>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</si>
  <si>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</si>
  <si>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</si>
  <si>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</si>
  <si>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</si>
  <si>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</si>
  <si>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</si>
  <si>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</si>
  <si>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</si>
  <si>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</si>
  <si>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</si>
  <si>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</si>
  <si>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</si>
  <si>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</si>
  <si>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</si>
  <si>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</si>
  <si>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</si>
  <si>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</si>
  <si>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</si>
  <si>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</si>
  <si>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</si>
  <si>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</si>
  <si>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</si>
  <si>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</si>
  <si>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</si>
  <si>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</si>
  <si>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</si>
  <si>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</si>
  <si>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</si>
  <si>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</si>
  <si>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</si>
  <si>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</si>
  <si>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</si>
  <si>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</si>
  <si>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</si>
  <si>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</si>
  <si>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</si>
  <si>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</si>
  <si>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</si>
  <si>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</si>
  <si>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</si>
  <si>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</si>
  <si>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</si>
  <si>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</si>
  <si>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</si>
  <si>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</si>
  <si>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</si>
  <si>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</si>
  <si>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</si>
  <si>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</si>
  <si>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</si>
  <si>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</si>
  <si>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</si>
  <si>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</si>
  <si>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</si>
  <si>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</si>
  <si>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</si>
  <si>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</si>
  <si>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</si>
  <si>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</si>
  <si>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</si>
  <si>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</si>
  <si>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</si>
  <si>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</si>
  <si>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</si>
  <si>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</si>
  <si>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</si>
  <si>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</si>
  <si>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</si>
  <si>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</si>
  <si>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</si>
  <si>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</si>
  <si>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</si>
  <si>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</si>
  <si>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</si>
  <si>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</si>
  <si>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</si>
  <si>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</si>
  <si>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</si>
  <si>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</si>
  <si>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</si>
  <si>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</si>
  <si>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</si>
  <si>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</si>
  <si>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</si>
  <si>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</si>
  <si>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</si>
  <si>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</si>
  <si>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</si>
  <si>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</si>
  <si>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</si>
  <si>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</si>
  <si>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</si>
  <si>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</si>
  <si>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</si>
  <si>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</si>
  <si>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</si>
  <si>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</si>
  <si>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</si>
  <si>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</si>
  <si>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</si>
  <si>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</si>
  <si>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</si>
  <si>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</si>
  <si>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</si>
  <si>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</si>
  <si>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</si>
  <si>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</si>
  <si>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</si>
  <si>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</si>
  <si>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</si>
  <si>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</si>
  <si>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</si>
  <si>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</si>
  <si>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</si>
  <si>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</si>
  <si>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</si>
  <si>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</si>
  <si>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</si>
  <si>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</si>
  <si>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</si>
  <si>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</si>
  <si>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</si>
  <si>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</si>
  <si>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</si>
  <si>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</si>
  <si>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</si>
  <si>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</si>
  <si>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</si>
  <si>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</si>
  <si>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</si>
  <si>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</si>
  <si>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</si>
  <si>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</si>
  <si>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385+385</t>
  </si>
  <si>
    <t>DOCUMENT DYNAMIX</t>
  </si>
  <si>
    <t>REORDER CODE: ISBS450</t>
  </si>
  <si>
    <t>NOT OVER</t>
  </si>
  <si>
    <t xml:space="preserve"> +/- 10mm</t>
  </si>
  <si>
    <t>"DOCUMENT DYNAMIX ISBS4"</t>
  </si>
  <si>
    <t xml:space="preserve"> - RUN INLINE ON 55-65 EXTRUDER - MUST BE NEAT ROLLS</t>
  </si>
  <si>
    <t>ANTISTATIC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</si>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</sst>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PB770G100030AS0P</v>
      </c>
      <c r="C1" s="111"/>
      <c r="D1" s="112"/>
      <c r="E1" s="11" t="s">
        <v>57</v>
      </c>
      <c r="F1" s="87" t="s">
        <v>195</v>
      </c>
      <c r="G1" s="87"/>
      <c r="H1" s="88"/>
      <c r="I1" s="12" t="s">
        <v>181</v>
      </c>
      <c r="J1" s="84">
        <f ca="1">TODAY()</f>
        <v>45947</v>
      </c>
      <c r="K1" s="84"/>
      <c r="L1" s="85"/>
      <c r="M1" s="29"/>
      <c r="N1" s="11" t="s">
        <v>56</v>
      </c>
      <c r="O1" s="111" t="str">
        <f>B1</f>
        <v>PB770G100030AS0P</v>
      </c>
      <c r="P1" s="111"/>
      <c r="Q1" s="112"/>
      <c r="R1" s="11" t="s">
        <v>57</v>
      </c>
      <c r="S1" s="111" t="str">
        <f>F1</f>
        <v>DOCUMENT DYNAMIX</v>
      </c>
      <c r="T1" s="111"/>
      <c r="U1" s="112"/>
      <c r="V1" s="11" t="s">
        <v>181</v>
      </c>
      <c r="W1" s="84">
        <f ca="1">J1</f>
        <v>45947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REORDER CODE: ISBS450</v>
      </c>
      <c r="C2" s="111"/>
      <c r="D2" s="112"/>
      <c r="E2" s="11" t="s">
        <v>58</v>
      </c>
      <c r="F2" s="87">
        <v>950692</v>
      </c>
      <c r="G2" s="87"/>
      <c r="H2" s="88"/>
      <c r="I2" s="11" t="s">
        <v>59</v>
      </c>
      <c r="J2" s="86">
        <v>45967</v>
      </c>
      <c r="K2" s="87"/>
      <c r="L2" s="88"/>
      <c r="M2" s="29"/>
      <c r="N2" s="11" t="s">
        <v>100</v>
      </c>
      <c r="O2" s="111" t="str">
        <f>IF(B2="","",B2)</f>
        <v>REORDER CODE: ISBS450</v>
      </c>
      <c r="P2" s="111"/>
      <c r="Q2" s="112"/>
      <c r="R2" s="11" t="s">
        <v>58</v>
      </c>
      <c r="S2" s="111">
        <f>IF(F2="","",F2)</f>
        <v>950692</v>
      </c>
      <c r="T2" s="111"/>
      <c r="U2" s="112"/>
      <c r="V2" s="11" t="s">
        <v>59</v>
      </c>
      <c r="W2" s="122">
        <f>J2</f>
        <v>45967</v>
      </c>
      <c r="X2" s="111"/>
      <c r="Y2" s="112"/>
    </row>
    <row r="3" spans="1:25" ht="20.149999999999999" customHeight="1" x14ac:dyDescent="0.7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 - RUN INLINE ON 55-65 EXTRUDER - MUST BE NEAT ROLLS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55</v>
      </c>
      <c r="P7" s="88"/>
      <c r="Q7" s="11" t="str">
        <f>IF(ISNUMBER(SEARCH("roll",O8,1)),"Per Roll","Per Carton")</f>
        <v>Per Carton</v>
      </c>
      <c r="R7" s="87">
        <v>300</v>
      </c>
      <c r="S7" s="88"/>
      <c r="T7" s="11" t="str">
        <f>IF(ISNUMBER(SEARCH("bag",O8,1)),"Total Bags","Total Sheets")</f>
        <v>Total Bags</v>
      </c>
      <c r="U7" s="111">
        <f>R7*O7</f>
        <v>16500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770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385+385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G</v>
      </c>
      <c r="Y8" s="124"/>
    </row>
    <row r="9" spans="1:25" ht="20.149999999999999" customHeight="1" x14ac:dyDescent="0.9">
      <c r="A9" s="16" t="s">
        <v>48</v>
      </c>
      <c r="B9" s="99" t="s">
        <v>198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197</v>
      </c>
      <c r="I9" s="100"/>
      <c r="J9" s="11" t="s">
        <v>55</v>
      </c>
      <c r="K9" s="87" t="s">
        <v>34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770</v>
      </c>
      <c r="S9" s="18" t="s">
        <v>78</v>
      </c>
      <c r="T9" s="30">
        <v>1000</v>
      </c>
      <c r="U9" s="18" t="s">
        <v>78</v>
      </c>
      <c r="V9" s="30">
        <v>30</v>
      </c>
      <c r="W9" s="17"/>
      <c r="X9" s="136" t="s">
        <v>194</v>
      </c>
      <c r="Y9" s="137"/>
    </row>
    <row r="10" spans="1:25" ht="20.149999999999999" customHeight="1" x14ac:dyDescent="0.8">
      <c r="A10" s="11" t="s">
        <v>51</v>
      </c>
      <c r="B10" s="87">
        <v>20</v>
      </c>
      <c r="C10" s="88"/>
      <c r="D10" s="47" t="s">
        <v>134</v>
      </c>
      <c r="E10" s="101">
        <f>IF(ISNUMBER(SEARCH("sheet",O8,1)),((R9*T9*H8/540000)*U7/2000*1.3),((R9*T9*H8/540000)*U7/1000*1.08))</f>
        <v>762.30000000000007</v>
      </c>
      <c r="F10" s="102"/>
      <c r="G10" s="11" t="s">
        <v>53</v>
      </c>
      <c r="H10" s="105">
        <f>IF(ISNUMBER(SEARCH("sheet",O8,1)),(U7*T9/2000*1.08),(U7*T9/1000*1.08))</f>
        <v>17820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Yes</v>
      </c>
      <c r="S10" s="123"/>
      <c r="T10" s="14" t="s">
        <v>100</v>
      </c>
      <c r="U10" s="130" t="s">
        <v>196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38.115000000000002</v>
      </c>
      <c r="F11" s="104"/>
      <c r="G11" s="11" t="s">
        <v>15</v>
      </c>
      <c r="H11" s="103">
        <f>H10/B10</f>
        <v>891</v>
      </c>
      <c r="I11" s="104"/>
      <c r="J11" s="11" t="s">
        <v>50</v>
      </c>
      <c r="K11" s="87" t="s">
        <v>65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>P</v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70</v>
      </c>
      <c r="C13" s="87"/>
      <c r="D13" s="88"/>
      <c r="E13" s="19" t="s">
        <v>61</v>
      </c>
      <c r="F13" s="87" t="s">
        <v>66</v>
      </c>
      <c r="G13" s="87"/>
      <c r="H13" s="88"/>
      <c r="I13" s="11" t="s">
        <v>62</v>
      </c>
      <c r="J13" s="87" t="s">
        <v>153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55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14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 t="s">
        <v>199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201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202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45968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03756F9-25AE-4E6B-851D-7394CFBA89EE}"/>
</file>

<file path=customXml/itemProps2.xml><?xml version="1.0" encoding="utf-8"?>
<ds:datastoreItem xmlns:ds="http://schemas.openxmlformats.org/officeDocument/2006/customXml" ds:itemID="{3EB99AEE-B3AE-4AFD-872E-006906BAECA0}"/>
</file>

<file path=customXml/itemProps3.xml><?xml version="1.0" encoding="utf-8"?>
<ds:datastoreItem xmlns:ds="http://schemas.openxmlformats.org/officeDocument/2006/customXml" ds:itemID="{49A189FD-6395-43E8-9ECD-2A1335FD1D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2025-10-16T03:10:06Z</cp:lastPrinted>
  <dcterms:created xsi:type="dcterms:W3CDTF">2019-11-27T23:28:06Z</dcterms:created>
  <dcterms:modified xsi:type="dcterms:W3CDTF">2025-10-23T22:57:23Z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