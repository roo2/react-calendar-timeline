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A8B2EA77-E7AE-47A8-B968-2E2F0D0FEAD1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<sst xmlns="http://schemas.openxmlformats.org/spreadsheetml/2006/main" count="304" uniqueCount="199">
  <si>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</si>
  <si>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</si>
  <si>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</si>
  <si>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</si>
  <si>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</si>
  <si>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</si>
  <si>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</si>
  <si>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</si>
  <si>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</si>
  <si>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</si>
  <si>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</si>
  <si>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</si>
  <si>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</si>
  <si>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</si>
  <si>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</si>
  <si>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</si>
  <si>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</si>
  <si>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</si>
  <si>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</si>
  <si>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</si>
  <si>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</si>
  <si>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</si>
  <si>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</si>
  <si>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</si>
  <si>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</si>
  <si>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</si>
  <si>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</si>
  <si>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</si>
  <si>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</si>
  <si>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</si>
  <si>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</si>
  <si>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</si>
  <si>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</si>
  <si>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</si>
  <si>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</si>
  <si>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</si>
  <si>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</si>
  <si>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</si>
  <si>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</si>
  <si>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</si>
  <si>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</si>
  <si>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</si>
  <si>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</si>
  <si>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</si>
  <si>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</si>
  <si>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</si>
  <si>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</si>
  <si>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</si>
  <si>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</si>
  <si>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</si>
  <si>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</si>
  <si>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</si>
  <si>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</si>
  <si>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</si>
  <si>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</si>
  <si>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</si>
  <si>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</si>
  <si>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</si>
  <si>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</si>
  <si>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</si>
  <si>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</si>
  <si>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</si>
  <si>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</si>
  <si>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</si>
  <si>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</si>
  <si>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</si>
  <si>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</si>
  <si>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</si>
  <si>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</si>
  <si>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</si>
  <si>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</si>
  <si>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</si>
  <si>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</si>
  <si>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</si>
  <si>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</si>
  <si>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</si>
  <si>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</si>
  <si>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</si>
  <si>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</si>
  <si>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</si>
  <si>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</si>
  <si>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</si>
  <si>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</si>
  <si>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</si>
  <si>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</si>
  <si>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</si>
  <si>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</si>
  <si>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</si>
  <si>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</si>
  <si>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</si>
  <si>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</si>
  <si>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</si>
  <si>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</si>
  <si>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</si>
  <si>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</si>
  <si>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</si>
  <si>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</si>
  <si>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</si>
  <si>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</si>
  <si>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</si>
  <si>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</si>
  <si>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</si>
  <si>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</si>
  <si>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</si>
  <si>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</si>
  <si>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</si>
  <si>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</si>
  <si>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</si>
  <si>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</si>
  <si>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</si>
  <si>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</si>
  <si>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</si>
  <si>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</si>
  <si>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</si>
  <si>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</si>
  <si>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</si>
  <si>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</si>
  <si>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</si>
  <si>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</si>
  <si>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</si>
  <si>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</si>
  <si>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</si>
  <si>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</si>
  <si>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</si>
  <si>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</si>
  <si>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</si>
  <si>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</si>
  <si>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</si>
  <si>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</si>
  <si>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</si>
  <si>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</si>
  <si>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</si>
  <si>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</si>
  <si>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</si>
  <si>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</si>
  <si>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</si>
  <si>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</si>
  <si>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</si>
  <si>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</si>
  <si>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</si>
  <si>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</si>
  <si>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</si>
  <si>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</si>
  <si>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</si>
  <si>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</si>
  <si>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</si>
  <si>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</si>
  <si>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</si>
  <si>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</si>
  <si>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</si>
  <si>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</si>
  <si>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</si>
  <si>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</si>
  <si>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</si>
  <si>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</si>
  <si>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</si>
  <si>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</si>
  <si>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</si>
  <si>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</si>
  <si>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</si>
  <si>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</si>
  <si>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</si>
  <si>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</si>
  <si>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</si>
  <si>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</si>
  <si>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</si>
  <si>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</si>
  <si>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</si>
  <si>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</si>
  <si>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</si>
  <si>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</si>
  <si>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</si>
  <si>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</si>
  <si>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</si>
  <si>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</si>
  <si>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</si>
  <si>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</si>
  <si>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</si>
  <si>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</si>
  <si>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</si>
  <si>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</si>
  <si>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</si>
  <si>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</si>
  <si>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</si>
  <si>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</si>
  <si>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</si>
  <si>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</si>
  <si>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</si>
  <si>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</si>
  <si>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</si>
  <si>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</si>
  <si>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</si>
  <si>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</si>
  <si>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</si>
  <si>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</si>
  <si>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NOT OVER</t>
  </si>
  <si>
    <t>UV</t>
  </si>
  <si>
    <t>GRANDCHESTER</t>
  </si>
  <si>
    <t>MUST HAVE UV - USED FOR FIREWOOD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</si>
</sst>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6" fillId="5" borderId="4" xfId="0" applyFont="1" applyFill="1" applyBorder="1" applyProtection="1"/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7" fillId="5" borderId="2" xfId="0" applyFont="1" applyFill="1" applyBorder="1" applyAlignment="1" applyProtection="1">
      <alignment horizontal="center"/>
      <protection locked="0"/>
    </xf>
    <xf numFmtId="0" fontId="17" fillId="5" borderId="5" xfId="0" applyFont="1" applyFill="1" applyBorder="1" applyAlignment="1" applyProtection="1">
      <alignment horizontal="center"/>
      <protection locked="0"/>
    </xf>
    <xf numFmtId="0" fontId="7" fillId="0" borderId="4" xfId="0" applyFont="1" applyFill="1" applyBorder="1" applyProtection="1"/>
    <xf numFmtId="0" fontId="18" fillId="0" borderId="2" xfId="0" applyFont="1" applyFill="1" applyBorder="1" applyAlignment="1" applyProtection="1">
      <alignment horizontal="center"/>
      <protection locked="0"/>
    </xf>
    <xf numFmtId="0" fontId="18" fillId="0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A19" sqref="AA19"/>
    </sheetView>
  </sheetViews>
  <sheetFormatPr defaultRowHeight="14.75" x14ac:dyDescent="0.75"/>
  <sheetData>
    <row r="1" spans="1:28" ht="20.149999999999999" customHeight="1" x14ac:dyDescent="0.8">
      <c r="A1" s="12" t="s">
        <v>56</v>
      </c>
      <c r="B1" s="123" t="str">
        <f>O9&amp;R9&amp;IF(X8="G","G","")&amp;IF(O8="Centrefold Roll","("&amp;E8&amp;")","")&amp;T9&amp;V9&amp;C22&amp;C23&amp;C24&amp;O11&amp;R11</f>
        <v>PB400580120UV</v>
      </c>
      <c r="C1" s="123"/>
      <c r="D1" s="124"/>
      <c r="E1" s="12" t="s">
        <v>57</v>
      </c>
      <c r="F1" s="134" t="s">
        <v>197</v>
      </c>
      <c r="G1" s="134"/>
      <c r="H1" s="135"/>
      <c r="I1" s="13" t="s">
        <v>181</v>
      </c>
      <c r="J1" s="96">
        <f ca="1">TODAY()</f>
        <v>44735</v>
      </c>
      <c r="K1" s="96"/>
      <c r="L1" s="97"/>
      <c r="M1" s="34"/>
      <c r="N1" s="12" t="s">
        <v>56</v>
      </c>
      <c r="O1" s="123" t="str">
        <f>B1</f>
        <v>PB400580120UV</v>
      </c>
      <c r="P1" s="123"/>
      <c r="Q1" s="124"/>
      <c r="R1" s="12" t="s">
        <v>57</v>
      </c>
      <c r="S1" s="123" t="str">
        <f>F1</f>
        <v>GRANDCHESTER</v>
      </c>
      <c r="T1" s="123"/>
      <c r="U1" s="124"/>
      <c r="V1" s="12" t="s">
        <v>181</v>
      </c>
      <c r="W1" s="96">
        <f ca="1">J1</f>
        <v>44735</v>
      </c>
      <c r="X1" s="96"/>
      <c r="Y1" s="97"/>
    </row>
    <row r="2" spans="1:28" ht="20.149999999999999" customHeight="1" x14ac:dyDescent="0.8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99">
        <v>943494</v>
      </c>
      <c r="G2" s="99"/>
      <c r="H2" s="100"/>
      <c r="I2" s="12" t="s">
        <v>59</v>
      </c>
      <c r="J2" s="98">
        <v>44765</v>
      </c>
      <c r="K2" s="99"/>
      <c r="L2" s="100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943494</v>
      </c>
      <c r="T2" s="123"/>
      <c r="U2" s="124"/>
      <c r="V2" s="12" t="s">
        <v>59</v>
      </c>
      <c r="W2" s="136">
        <f>J2</f>
        <v>44765</v>
      </c>
      <c r="X2" s="123"/>
      <c r="Y2" s="124"/>
    </row>
    <row r="3" spans="1:28" ht="20.149999999999999" customHeight="1" x14ac:dyDescent="0.75">
      <c r="A3" s="125" t="s">
        <v>198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MUST HAVE UV - USED FOR FIREWOOD STORAGE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49999999999999" customHeight="1" x14ac:dyDescent="0.7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49999999999999" customHeight="1" x14ac:dyDescent="0.7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49999999999999" customHeight="1" x14ac:dyDescent="0.75">
      <c r="A6" s="107" t="s">
        <v>2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4"/>
      <c r="N6" s="122" t="s">
        <v>2</v>
      </c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6"/>
    </row>
    <row r="7" spans="1:28" ht="20.149999999999999" customHeight="1" x14ac:dyDescent="0.9">
      <c r="A7" s="12" t="s">
        <v>49</v>
      </c>
      <c r="B7" s="120" t="s">
        <v>163</v>
      </c>
      <c r="C7" s="120"/>
      <c r="D7" s="120"/>
      <c r="E7" s="120"/>
      <c r="F7" s="120"/>
      <c r="G7" s="120"/>
      <c r="H7" s="120"/>
      <c r="I7" s="121"/>
      <c r="J7" s="87" t="s">
        <v>179</v>
      </c>
      <c r="K7" s="87"/>
      <c r="L7" s="85"/>
      <c r="M7" s="34"/>
      <c r="N7" s="12" t="str">
        <f>IF(ISNUMBER(SEARCH("roll",O8,1)),"No. Rolls","No. Cartons")</f>
        <v>No. Cartons</v>
      </c>
      <c r="O7" s="99">
        <v>5</v>
      </c>
      <c r="P7" s="100"/>
      <c r="Q7" s="12" t="str">
        <f>IF(ISNUMBER(SEARCH("roll",O8,1)),"Per Roll","Per Carton")</f>
        <v>Per Carton</v>
      </c>
      <c r="R7" s="99">
        <v>200</v>
      </c>
      <c r="S7" s="100"/>
      <c r="T7" s="12" t="str">
        <f>IF(ISNUMBER(SEARCH("bag",O8,1)),"Total Bags","Total Sheets")</f>
        <v>Total Bags</v>
      </c>
      <c r="U7" s="123">
        <f>R7*O7</f>
        <v>1000</v>
      </c>
      <c r="V7" s="124"/>
      <c r="W7" s="12" t="s">
        <v>102</v>
      </c>
      <c r="X7" s="99" t="s">
        <v>23</v>
      </c>
      <c r="Y7" s="100"/>
      <c r="AB7" s="14"/>
    </row>
    <row r="8" spans="1:28" ht="20.149999999999999" customHeight="1" x14ac:dyDescent="0.8">
      <c r="A8" s="15" t="s">
        <v>16</v>
      </c>
      <c r="B8" s="101">
        <f>R9</f>
        <v>400</v>
      </c>
      <c r="C8" s="102"/>
      <c r="D8" s="32" t="str">
        <f>IF(ISNUMBER(SEARCH("bag",O8,1)),"Gusset","Centrefold")</f>
        <v>Gusset</v>
      </c>
      <c r="E8" s="101" t="str">
        <f>IF(O8="Centrefold Roll",B8*2,IF(X9="","None",X9))</f>
        <v>None</v>
      </c>
      <c r="F8" s="102"/>
      <c r="G8" s="15" t="s">
        <v>52</v>
      </c>
      <c r="H8" s="101">
        <f>(IF(V9&lt;30,"30",V9))</f>
        <v>120</v>
      </c>
      <c r="I8" s="10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None</v>
      </c>
      <c r="Y8" s="138"/>
    </row>
    <row r="9" spans="1:28" ht="20.149999999999999" customHeight="1" x14ac:dyDescent="0.9">
      <c r="A9" s="18" t="s">
        <v>48</v>
      </c>
      <c r="B9" s="111" t="s">
        <v>195</v>
      </c>
      <c r="C9" s="112"/>
      <c r="D9" s="119" t="str">
        <f>IF(K10="Middle","RUN 2 UP",IF(AND(O8="Centrefold Roll",B8=380),"RUN 2 UP",""))</f>
        <v/>
      </c>
      <c r="E9" s="120"/>
      <c r="F9" s="121"/>
      <c r="G9" s="18" t="s">
        <v>48</v>
      </c>
      <c r="H9" s="111" t="s">
        <v>194</v>
      </c>
      <c r="I9" s="112"/>
      <c r="J9" s="12" t="s">
        <v>55</v>
      </c>
      <c r="K9" s="99" t="s">
        <v>30</v>
      </c>
      <c r="L9" s="100"/>
      <c r="M9" s="34"/>
      <c r="N9" s="19"/>
      <c r="O9" s="141" t="str">
        <f>IF(O8="Poly Bag","PB",IF(O8="Poly Bag Roll","PBR",IF(O8="Centrefold Roll","CFR",IF(O8="Sheet","S",IF(O8="Sheet Roll","SR")))))</f>
        <v>PB</v>
      </c>
      <c r="P9" s="142"/>
      <c r="Q9" s="19"/>
      <c r="R9" s="35">
        <v>400</v>
      </c>
      <c r="S9" s="20" t="s">
        <v>78</v>
      </c>
      <c r="T9" s="35">
        <v>580</v>
      </c>
      <c r="U9" s="20" t="s">
        <v>78</v>
      </c>
      <c r="V9" s="35">
        <v>120</v>
      </c>
      <c r="W9" s="19"/>
      <c r="X9" s="152"/>
      <c r="Y9" s="153"/>
    </row>
    <row r="10" spans="1:28" ht="20.149999999999999" customHeight="1" x14ac:dyDescent="0.8">
      <c r="A10" s="12" t="s">
        <v>51</v>
      </c>
      <c r="B10" s="99">
        <v>3</v>
      </c>
      <c r="C10" s="100"/>
      <c r="D10" s="54" t="s">
        <v>134</v>
      </c>
      <c r="E10" s="113">
        <f>IF(ISNUMBER(SEARCH("sheet",O8,1)),((R9*T9*H8/540000)*U7/2000*1.3),((R9*T9*H8/540000)*U7/1000*1.08))</f>
        <v>55.680000000000007</v>
      </c>
      <c r="F10" s="114"/>
      <c r="G10" s="12" t="s">
        <v>53</v>
      </c>
      <c r="H10" s="117">
        <f>IF(ISNUMBER(SEARCH("sheet",O8,1)),(U7*T9/2000*1.08),(U7*T9/1000*1.08))</f>
        <v>626.40000000000009</v>
      </c>
      <c r="I10" s="118"/>
      <c r="J10" s="12" t="s">
        <v>41</v>
      </c>
      <c r="K10" s="99" t="s">
        <v>44</v>
      </c>
      <c r="L10" s="100"/>
      <c r="M10" s="34"/>
      <c r="N10" s="21" t="s">
        <v>141</v>
      </c>
      <c r="O10" s="139" t="s">
        <v>44</v>
      </c>
      <c r="P10" s="140"/>
      <c r="Q10" s="16" t="s">
        <v>50</v>
      </c>
      <c r="R10" s="137" t="str">
        <f>IF(K11="NONE","None",IF(K11="INLINE","Yes",IF(K11="OUT OF LINE","Yes")))</f>
        <v>None</v>
      </c>
      <c r="S10" s="137"/>
      <c r="T10" s="16" t="s">
        <v>100</v>
      </c>
      <c r="U10" s="144"/>
      <c r="V10" s="144"/>
      <c r="W10" s="144"/>
      <c r="X10" s="144"/>
      <c r="Y10" s="145"/>
    </row>
    <row r="11" spans="1:28" ht="20.149999999999999" customHeight="1" x14ac:dyDescent="0.8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15">
        <f>E10/B10</f>
        <v>18.560000000000002</v>
      </c>
      <c r="F11" s="116"/>
      <c r="G11" s="12" t="s">
        <v>15</v>
      </c>
      <c r="H11" s="115">
        <f>H10/B10</f>
        <v>208.80000000000004</v>
      </c>
      <c r="I11" s="116"/>
      <c r="J11" s="12" t="s">
        <v>50</v>
      </c>
      <c r="K11" s="99" t="s">
        <v>44</v>
      </c>
      <c r="L11" s="100"/>
      <c r="M11" s="34"/>
      <c r="N11" s="15"/>
      <c r="O11" s="101" t="str">
        <f>IF(O10="NONE","","V")</f>
        <v/>
      </c>
      <c r="P11" s="102"/>
      <c r="Q11" s="15"/>
      <c r="R11" s="101" t="str">
        <f>IF(R10="None","","P")</f>
        <v/>
      </c>
      <c r="S11" s="102"/>
      <c r="T11" s="15"/>
      <c r="U11" s="146"/>
      <c r="V11" s="146"/>
      <c r="W11" s="146"/>
      <c r="X11" s="146"/>
      <c r="Y11" s="147"/>
    </row>
    <row r="12" spans="1:28" ht="20.149999999999999" customHeight="1" x14ac:dyDescent="0.75">
      <c r="A12" s="103" t="s">
        <v>13</v>
      </c>
      <c r="B12" s="104"/>
      <c r="C12" s="104"/>
      <c r="D12" s="104"/>
      <c r="E12" s="105"/>
      <c r="F12" s="105"/>
      <c r="G12" s="105"/>
      <c r="H12" s="105"/>
      <c r="I12" s="105"/>
      <c r="J12" s="105"/>
      <c r="K12" s="105"/>
      <c r="L12" s="106"/>
      <c r="M12" s="34"/>
      <c r="N12" s="143" t="s">
        <v>71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8" ht="20.149999999999999" customHeight="1" x14ac:dyDescent="0.8">
      <c r="A13" s="12" t="s">
        <v>68</v>
      </c>
      <c r="B13" s="99" t="s">
        <v>44</v>
      </c>
      <c r="C13" s="99"/>
      <c r="D13" s="100"/>
      <c r="E13" s="22" t="s">
        <v>61</v>
      </c>
      <c r="F13" s="99" t="s">
        <v>44</v>
      </c>
      <c r="G13" s="99"/>
      <c r="H13" s="100"/>
      <c r="I13" s="23" t="s">
        <v>62</v>
      </c>
      <c r="J13" s="99" t="s">
        <v>44</v>
      </c>
      <c r="K13" s="99"/>
      <c r="L13" s="100"/>
      <c r="M13" s="34"/>
      <c r="N13" s="12" t="s">
        <v>72</v>
      </c>
      <c r="O13" s="36" t="s">
        <v>77</v>
      </c>
      <c r="P13" s="12" t="s">
        <v>73</v>
      </c>
      <c r="Q13" s="24">
        <f>O7</f>
        <v>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49999999999999" customHeight="1" x14ac:dyDescent="0.9">
      <c r="A14" s="15" t="s">
        <v>60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1"/>
      <c r="M14" s="34"/>
      <c r="N14" s="143" t="s">
        <v>110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8" ht="20.149999999999999" customHeight="1" x14ac:dyDescent="0.75">
      <c r="A15" s="122" t="s">
        <v>0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4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49999999999999" customHeight="1" x14ac:dyDescent="0.8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4"/>
      <c r="N16" s="12" t="s">
        <v>28</v>
      </c>
      <c r="O16" s="99" t="s">
        <v>38</v>
      </c>
      <c r="P16" s="100"/>
      <c r="Q16" s="162" t="s">
        <v>105</v>
      </c>
      <c r="R16" s="163" t="s">
        <v>23</v>
      </c>
      <c r="S16" s="164"/>
      <c r="T16" s="13" t="s">
        <v>103</v>
      </c>
      <c r="U16" s="99" t="s">
        <v>31</v>
      </c>
      <c r="V16" s="100"/>
      <c r="W16" s="12" t="str">
        <f>IF(ISNUMBER(SEARCH("bag",O8,1)),"Total Bags","Total Sheets")</f>
        <v>Total Bags</v>
      </c>
      <c r="X16" s="158"/>
      <c r="Y16" s="159"/>
    </row>
    <row r="17" spans="1:25" ht="20.149999999999999" customHeight="1" x14ac:dyDescent="0.8">
      <c r="A17" s="86" t="s">
        <v>6</v>
      </c>
      <c r="B17" s="86"/>
      <c r="C17" s="89" t="s">
        <v>147</v>
      </c>
      <c r="D17" s="90"/>
      <c r="E17" s="94"/>
      <c r="F17" s="95"/>
      <c r="G17" s="56" t="s">
        <v>81</v>
      </c>
      <c r="H17" s="37"/>
      <c r="I17" s="94"/>
      <c r="J17" s="95"/>
      <c r="K17" s="94"/>
      <c r="L17" s="95"/>
      <c r="M17" s="34"/>
      <c r="N17" s="12" t="s">
        <v>26</v>
      </c>
      <c r="O17" s="99" t="s">
        <v>35</v>
      </c>
      <c r="P17" s="100"/>
      <c r="Q17" s="70" t="s">
        <v>104</v>
      </c>
      <c r="R17" s="160" t="s">
        <v>31</v>
      </c>
      <c r="S17" s="161"/>
      <c r="T17" s="13" t="str">
        <f>IF(ISNUMBER(SEARCH("roll",O8,1)),"Part Rolls","Part Ctns")</f>
        <v>Part Ctns</v>
      </c>
      <c r="U17" s="99" t="s">
        <v>31</v>
      </c>
      <c r="V17" s="100"/>
      <c r="W17" s="12" t="str">
        <f>IF(ISNUMBER(SEARCH("roll",O8,1)),"Total Rolls","Total Ctns")</f>
        <v>Total Ctns</v>
      </c>
      <c r="X17" s="158"/>
      <c r="Y17" s="159"/>
    </row>
    <row r="18" spans="1:25" ht="20.149999999999999" customHeight="1" x14ac:dyDescent="0.8">
      <c r="A18" s="86" t="s">
        <v>7</v>
      </c>
      <c r="B18" s="86"/>
      <c r="C18" s="89" t="s">
        <v>146</v>
      </c>
      <c r="D18" s="90"/>
      <c r="E18" s="94"/>
      <c r="F18" s="95"/>
      <c r="G18" s="56" t="s">
        <v>82</v>
      </c>
      <c r="H18" s="37"/>
      <c r="I18" s="94"/>
      <c r="J18" s="95"/>
      <c r="K18" s="94"/>
      <c r="L18" s="95"/>
      <c r="M18" s="34"/>
      <c r="N18" s="12" t="s">
        <v>101</v>
      </c>
      <c r="O18" s="99" t="s">
        <v>38</v>
      </c>
      <c r="P18" s="100"/>
      <c r="Q18" s="12" t="s">
        <v>106</v>
      </c>
      <c r="R18" s="99" t="s">
        <v>31</v>
      </c>
      <c r="S18" s="100"/>
      <c r="T18" s="25" t="s">
        <v>27</v>
      </c>
      <c r="U18" s="99" t="s">
        <v>36</v>
      </c>
      <c r="V18" s="100"/>
      <c r="W18" s="12" t="s">
        <v>109</v>
      </c>
      <c r="X18" s="158"/>
      <c r="Y18" s="159"/>
    </row>
    <row r="19" spans="1:25" ht="20.149999999999999" customHeight="1" x14ac:dyDescent="0.75">
      <c r="A19" s="86" t="s">
        <v>8</v>
      </c>
      <c r="B19" s="86"/>
      <c r="C19" s="89" t="s">
        <v>145</v>
      </c>
      <c r="D19" s="90"/>
      <c r="E19" s="94"/>
      <c r="F19" s="95"/>
      <c r="G19" s="56" t="s">
        <v>83</v>
      </c>
      <c r="H19" s="37"/>
      <c r="I19" s="94"/>
      <c r="J19" s="95"/>
      <c r="K19" s="94"/>
      <c r="L19" s="95"/>
      <c r="M19" s="34"/>
      <c r="N19" s="72" t="s">
        <v>116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4"/>
    </row>
    <row r="20" spans="1:25" ht="20.149999999999999" customHeight="1" x14ac:dyDescent="0.75">
      <c r="A20" s="86" t="s">
        <v>9</v>
      </c>
      <c r="B20" s="86"/>
      <c r="C20" s="89" t="s">
        <v>144</v>
      </c>
      <c r="D20" s="90"/>
      <c r="E20" s="94"/>
      <c r="F20" s="95"/>
      <c r="G20" s="56" t="s">
        <v>84</v>
      </c>
      <c r="H20" s="37"/>
      <c r="I20" s="94"/>
      <c r="J20" s="95"/>
      <c r="K20" s="94"/>
      <c r="L20" s="95"/>
      <c r="M20" s="34"/>
      <c r="N20" s="75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7"/>
    </row>
    <row r="21" spans="1:25" ht="20.149999999999999" customHeight="1" x14ac:dyDescent="0.75">
      <c r="A21" s="86" t="s">
        <v>10</v>
      </c>
      <c r="B21" s="86"/>
      <c r="C21" s="89" t="s">
        <v>143</v>
      </c>
      <c r="D21" s="90"/>
      <c r="E21" s="94"/>
      <c r="F21" s="95"/>
      <c r="G21" s="56" t="s">
        <v>85</v>
      </c>
      <c r="H21" s="37"/>
      <c r="I21" s="94"/>
      <c r="J21" s="95"/>
      <c r="K21" s="94"/>
      <c r="L21" s="95"/>
      <c r="M21" s="34"/>
      <c r="N21" s="75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7"/>
    </row>
    <row r="22" spans="1:25" ht="20.149999999999999" customHeight="1" x14ac:dyDescent="0.75">
      <c r="A22" s="86" t="str">
        <f>(IF(B7="NATURAL","",B7))</f>
        <v/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0"/>
      <c r="E22" s="94"/>
      <c r="F22" s="95"/>
      <c r="G22" s="56" t="s">
        <v>86</v>
      </c>
      <c r="H22" s="37"/>
      <c r="I22" s="94"/>
      <c r="J22" s="95"/>
      <c r="K22" s="94"/>
      <c r="L22" s="95"/>
      <c r="M22" s="34"/>
      <c r="N22" s="78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80"/>
    </row>
    <row r="23" spans="1:25" ht="20.149999999999999" customHeight="1" x14ac:dyDescent="0.75">
      <c r="A23" s="91" t="s">
        <v>196</v>
      </c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0"/>
      <c r="E23" s="94">
        <v>3</v>
      </c>
      <c r="F23" s="95"/>
      <c r="G23" s="56" t="s">
        <v>87</v>
      </c>
      <c r="H23" s="37"/>
      <c r="I23" s="94"/>
      <c r="J23" s="95"/>
      <c r="K23" s="94"/>
      <c r="L23" s="95"/>
      <c r="M23" s="34"/>
      <c r="N23" s="143" t="s">
        <v>133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6" t="s">
        <v>88</v>
      </c>
      <c r="H24" s="37"/>
      <c r="I24" s="94"/>
      <c r="J24" s="95"/>
      <c r="K24" s="94"/>
      <c r="L24" s="95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49999999999999" customHeight="1" x14ac:dyDescent="0.75">
      <c r="A25" s="122" t="s">
        <v>1</v>
      </c>
      <c r="B25" s="105"/>
      <c r="C25" s="105"/>
      <c r="D25" s="105"/>
      <c r="E25" s="105"/>
      <c r="F25" s="104"/>
      <c r="G25" s="104"/>
      <c r="H25" s="104"/>
      <c r="I25" s="104"/>
      <c r="J25" s="104"/>
      <c r="K25" s="105"/>
      <c r="L25" s="106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149999999999999" customHeight="1" x14ac:dyDescent="0.75">
      <c r="A27" s="26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49999999999999" customHeight="1" x14ac:dyDescent="0.75">
      <c r="A28" s="26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49999999999999" customHeight="1" x14ac:dyDescent="0.75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49999999999999" customHeight="1" x14ac:dyDescent="0.7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49999999999999" customHeight="1" x14ac:dyDescent="0.7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49999999999999" customHeight="1" x14ac:dyDescent="0.7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49999999999999" customHeight="1" x14ac:dyDescent="0.7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49999999999999" customHeight="1" x14ac:dyDescent="0.7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49999999999999" customHeight="1" x14ac:dyDescent="0.7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49999999999999" customHeight="1" x14ac:dyDescent="0.7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49999999999999" customHeight="1" x14ac:dyDescent="0.7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49999999999999" customHeight="1" x14ac:dyDescent="0.7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49999999999999" customHeight="1" x14ac:dyDescent="0.7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49999999999999" customHeight="1" x14ac:dyDescent="0.7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49999999999999" customHeight="1" x14ac:dyDescent="0.7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49999999999999" customHeight="1" x14ac:dyDescent="0.7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49999999999999" customHeight="1" x14ac:dyDescent="0.75">
      <c r="N43" s="59"/>
    </row>
    <row r="44" spans="1:25" ht="20.149999999999999" customHeight="1" x14ac:dyDescent="0.7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49999999999999" customHeight="1" x14ac:dyDescent="0.7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49999999999999" customHeight="1" x14ac:dyDescent="0.7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49999999999999" customHeight="1" x14ac:dyDescent="0.7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49999999999999" customHeight="1" x14ac:dyDescent="0.7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49999999999999" customHeight="1" x14ac:dyDescent="0.7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49999999999999" customHeight="1" x14ac:dyDescent="0.7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49999999999999" customHeight="1" x14ac:dyDescent="0.7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49999999999999" customHeight="1" x14ac:dyDescent="0.7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49999999999999" customHeight="1" x14ac:dyDescent="0.7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49999999999999" customHeight="1" x14ac:dyDescent="0.7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49999999999999" customHeight="1" x14ac:dyDescent="0.7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49999999999999" customHeight="1" x14ac:dyDescent="0.7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49999999999999" customHeight="1" x14ac:dyDescent="0.7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49999999999999" customHeight="1" x14ac:dyDescent="0.7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49999999999999" customHeight="1" x14ac:dyDescent="0.7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49999999999999" customHeight="1" x14ac:dyDescent="0.7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49999999999999" customHeight="1" x14ac:dyDescent="0.7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49999999999999" customHeight="1" x14ac:dyDescent="0.7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49999999999999" customHeight="1" x14ac:dyDescent="0.7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49999999999999" customHeight="1" x14ac:dyDescent="0.7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49999999999999" customHeight="1" x14ac:dyDescent="0.7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49999999999999" customHeight="1" x14ac:dyDescent="0.7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49999999999999" customHeight="1" x14ac:dyDescent="0.7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49999999999999" customHeight="1" x14ac:dyDescent="0.7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49999999999999" customHeight="1" x14ac:dyDescent="0.7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49999999999999" customHeight="1" x14ac:dyDescent="0.7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49999999999999" customHeight="1" x14ac:dyDescent="0.7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49999999999999" customHeight="1" x14ac:dyDescent="0.7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49999999999999" customHeight="1" x14ac:dyDescent="0.7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49999999999999" customHeight="1" x14ac:dyDescent="0.7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49999999999999" customHeight="1" x14ac:dyDescent="0.7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49999999999999" customHeight="1" x14ac:dyDescent="0.7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49999999999999" customHeight="1" x14ac:dyDescent="0.7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49999999999999" customHeight="1" x14ac:dyDescent="0.7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49999999999999" customHeight="1" x14ac:dyDescent="0.7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49999999999999" customHeight="1" x14ac:dyDescent="0.7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49999999999999" customHeight="1" x14ac:dyDescent="0.7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49999999999999" customHeight="1" x14ac:dyDescent="0.7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49999999999999" customHeight="1" x14ac:dyDescent="0.7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49999999999999" customHeight="1" x14ac:dyDescent="0.7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49999999999999" customHeight="1" x14ac:dyDescent="0.7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7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8">
        <f ca="1">DATE(YEAR(Sheet1!J1),MONTH(Sheet1!J1)+1,DAY(Sheet1!J1))</f>
        <v>44765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8">
        <f ca="1">DATE(YEAR(Sheet1!J1),MONTH(Sheet1!J1),DAY(Sheet1!J1)+21)</f>
        <v>44756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7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7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7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7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7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7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7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7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7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7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7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7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7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7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7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7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7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7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7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7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7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7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7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7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7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7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7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7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7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7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7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7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7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7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7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7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75">
      <c r="A59" s="64" t="s">
        <v>148</v>
      </c>
    </row>
    <row r="60" spans="1:20" x14ac:dyDescent="0.75">
      <c r="A60" s="64" t="s">
        <v>149</v>
      </c>
      <c r="O60" s="1"/>
      <c r="Q60" s="1"/>
      <c r="R60" s="3"/>
      <c r="S60" s="1"/>
    </row>
    <row r="61" spans="1:20" x14ac:dyDescent="0.75">
      <c r="A61" s="64" t="s">
        <v>150</v>
      </c>
      <c r="O61" s="1"/>
      <c r="Q61" s="1"/>
      <c r="R61" s="1"/>
      <c r="S61" s="1"/>
    </row>
    <row r="62" spans="1:20" x14ac:dyDescent="0.75">
      <c r="A62" s="64" t="s">
        <v>151</v>
      </c>
      <c r="O62" s="1"/>
      <c r="Q62" s="1"/>
      <c r="R62" s="1"/>
      <c r="S62" s="1"/>
    </row>
    <row r="63" spans="1:20" x14ac:dyDescent="0.75">
      <c r="A63" s="64" t="s">
        <v>152</v>
      </c>
      <c r="O63" s="1"/>
      <c r="Q63" s="1"/>
      <c r="R63" s="1"/>
      <c r="S63" s="1"/>
      <c r="T63" s="1"/>
    </row>
    <row r="64" spans="1:20" x14ac:dyDescent="0.75">
      <c r="A64" s="64" t="s">
        <v>153</v>
      </c>
      <c r="O64" s="1"/>
      <c r="Q64" s="1"/>
      <c r="R64" s="1"/>
      <c r="S64" s="1"/>
      <c r="T64" s="1"/>
    </row>
    <row r="65" spans="1:20" x14ac:dyDescent="0.7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6327686-4FB4-4709-917D-53E953672EE0}"/>
</file>

<file path=customXml/itemProps2.xml><?xml version="1.0" encoding="utf-8"?>
<ds:datastoreItem xmlns:ds="http://schemas.openxmlformats.org/officeDocument/2006/customXml" ds:itemID="{4A522120-57F5-4BF2-969C-0D37560FF331}"/>
</file>

<file path=customXml/itemProps3.xml><?xml version="1.0" encoding="utf-8"?>
<ds:datastoreItem xmlns:ds="http://schemas.openxmlformats.org/officeDocument/2006/customXml" ds:itemID="{2A97528A-5C17-418E-A9C1-9174C712D3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2022-06-23T04:25:03Z</cp:lastPrinted>
  <dcterms:created xsi:type="dcterms:W3CDTF">2019-11-27T23:28:06Z</dcterms:created>
  <dcterms:modified xsi:type="dcterms:W3CDTF">2022-06-23T04:26:35Z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