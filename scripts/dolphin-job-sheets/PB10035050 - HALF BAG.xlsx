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9481EA6-7031-4E49-96B5-E80E3E69DE71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<sst xmlns="http://schemas.openxmlformats.org/spreadsheetml/2006/main" count="304" uniqueCount="199">
  <si>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</si>
  <si>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</si>
  <si>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</si>
  <si>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</si>
  <si>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</si>
  <si>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</si>
  <si>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</si>
  <si>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</si>
  <si>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</si>
  <si>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</si>
  <si>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</si>
  <si>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</si>
  <si>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</si>
  <si>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</si>
  <si>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</si>
  <si>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</si>
  <si>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</si>
  <si>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</si>
  <si>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</si>
  <si>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</si>
  <si>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</si>
  <si>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</si>
  <si>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</si>
  <si>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</si>
  <si>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</si>
  <si>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</si>
  <si>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</si>
  <si>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</si>
  <si>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</si>
  <si>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</si>
  <si>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</si>
  <si>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</si>
  <si>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</si>
  <si>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</si>
  <si>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</si>
  <si>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</si>
  <si>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</si>
  <si>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</si>
  <si>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</si>
  <si>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</si>
  <si>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</si>
  <si>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</si>
  <si>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</si>
  <si>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</si>
  <si>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</si>
  <si>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</si>
  <si>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</si>
  <si>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</si>
  <si>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</si>
  <si>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</si>
  <si>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</si>
  <si>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</si>
  <si>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</si>
  <si>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</si>
  <si>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</si>
  <si>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</si>
  <si>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</si>
  <si>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</si>
  <si>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</si>
  <si>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</si>
  <si>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</si>
  <si>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</si>
  <si>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</si>
  <si>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</si>
  <si>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</si>
  <si>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</si>
  <si>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</si>
  <si>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</si>
  <si>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</si>
  <si>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</si>
  <si>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</si>
  <si>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</si>
  <si>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</si>
  <si>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</si>
  <si>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</si>
  <si>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</si>
  <si>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</si>
  <si>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</si>
  <si>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</si>
  <si>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</si>
  <si>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</si>
  <si>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</si>
  <si>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</si>
  <si>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</si>
  <si>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</si>
  <si>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</si>
  <si>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</si>
  <si>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</si>
  <si>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</si>
  <si>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</si>
  <si>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</si>
  <si>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</si>
  <si>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</si>
  <si>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</si>
  <si>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</si>
  <si>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</si>
  <si>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</si>
  <si>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</si>
  <si>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</si>
  <si>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</si>
  <si>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</si>
  <si>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</si>
  <si>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</si>
  <si>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</si>
  <si>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</si>
  <si>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</si>
  <si>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</si>
  <si>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</si>
  <si>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</si>
  <si>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</si>
  <si>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</si>
  <si>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</si>
  <si>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</si>
  <si>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</si>
  <si>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</si>
  <si>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</si>
  <si>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</si>
  <si>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</si>
  <si>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</si>
  <si>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</si>
  <si>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</si>
  <si>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</si>
  <si>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</si>
  <si>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</si>
  <si>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</si>
  <si>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</si>
  <si>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</si>
  <si>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</si>
  <si>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</si>
  <si>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</si>
  <si>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</si>
  <si>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</si>
  <si>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</si>
  <si>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</si>
  <si>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</si>
  <si>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</si>
  <si>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</si>
  <si>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</si>
  <si>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</si>
  <si>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</si>
  <si>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</si>
  <si>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</si>
  <si>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</si>
  <si>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</si>
  <si>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</si>
  <si>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</si>
  <si>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</si>
  <si>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</si>
  <si>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</si>
  <si>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</si>
  <si>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</si>
  <si>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</si>
  <si>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</si>
  <si>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</si>
  <si>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</si>
  <si>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</si>
  <si>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</si>
  <si>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</si>
  <si>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</si>
  <si>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</si>
  <si>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</si>
  <si>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</si>
  <si>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</si>
  <si>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</si>
  <si>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</si>
  <si>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</si>
  <si>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</si>
  <si>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</si>
  <si>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</si>
  <si>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</si>
  <si>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</si>
  <si>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</si>
  <si>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</si>
  <si>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</si>
  <si>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</si>
  <si>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</si>
  <si>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</si>
  <si>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</si>
  <si>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</si>
  <si>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</si>
  <si>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</si>
  <si>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</si>
  <si>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</si>
  <si>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</si>
  <si>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</si>
  <si>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</si>
  <si>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</si>
  <si>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</si>
  <si>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</si>
  <si>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</si>
  <si>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</si>
  <si>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</si>
  <si>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</si>
  <si>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</si>
  <si>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</si>
  <si>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</si>
  <si>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 xml:space="preserve">LIMAX </t>
  </si>
  <si>
    <t xml:space="preserve"> MUST HAVE WATER TIGHT SEALS - PLEASE CHECK FREQUENTLY</t>
  </si>
  <si>
    <t>ULTRA CORAL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</si>
</sst>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PB10035050</v>
      </c>
      <c r="C1" s="108"/>
      <c r="D1" s="109"/>
      <c r="E1" s="11" t="s">
        <v>57</v>
      </c>
      <c r="F1" s="119" t="s">
        <v>198</v>
      </c>
      <c r="G1" s="62"/>
      <c r="H1" s="63"/>
      <c r="I1" s="12" t="s">
        <v>181</v>
      </c>
      <c r="J1" s="120">
        <f ca="1">TODAY()</f>
        <v>45076</v>
      </c>
      <c r="K1" s="120"/>
      <c r="L1" s="121"/>
      <c r="M1" s="29"/>
      <c r="N1" s="11" t="s">
        <v>56</v>
      </c>
      <c r="O1" s="108" t="str">
        <f>B1</f>
        <v>PB10035050</v>
      </c>
      <c r="P1" s="108"/>
      <c r="Q1" s="109"/>
      <c r="R1" s="11" t="s">
        <v>57</v>
      </c>
      <c r="S1" s="108" t="str">
        <f>F1</f>
        <v>ULTRA CORAL</v>
      </c>
      <c r="T1" s="108"/>
      <c r="U1" s="109"/>
      <c r="V1" s="11" t="s">
        <v>181</v>
      </c>
      <c r="W1" s="120">
        <f ca="1">J1</f>
        <v>45076</v>
      </c>
      <c r="X1" s="120"/>
      <c r="Y1" s="121"/>
    </row>
    <row r="2" spans="1:25" ht="20.149999999999999" customHeight="1" x14ac:dyDescent="0.8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945773</v>
      </c>
      <c r="G2" s="62"/>
      <c r="H2" s="63"/>
      <c r="I2" s="11" t="s">
        <v>59</v>
      </c>
      <c r="J2" s="123">
        <v>45103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945773</v>
      </c>
      <c r="T2" s="108"/>
      <c r="U2" s="109"/>
      <c r="V2" s="11" t="s">
        <v>59</v>
      </c>
      <c r="W2" s="122">
        <f>J2</f>
        <v>45103</v>
      </c>
      <c r="X2" s="108"/>
      <c r="Y2" s="109"/>
    </row>
    <row r="3" spans="1:25" ht="20.149999999999999" customHeight="1" x14ac:dyDescent="0.75">
      <c r="A3" s="110" t="s">
        <v>197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 xml:space="preserve"> MUST HAVE WATER TIGHT SEALS - PLEASE CHECK FREQUENTLY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6</v>
      </c>
      <c r="P7" s="63"/>
      <c r="Q7" s="11" t="str">
        <f>IF(ISNUMBER(SEARCH("roll",O8,1)),"Per Roll","Per Carton")</f>
        <v>Per Carton</v>
      </c>
      <c r="R7" s="62">
        <v>2000</v>
      </c>
      <c r="S7" s="63"/>
      <c r="T7" s="11" t="str">
        <f>IF(ISNUMBER(SEARCH("bag",O8,1)),"Total Bags","Total Sheets")</f>
        <v>Total Bags</v>
      </c>
      <c r="U7" s="108">
        <f>R7*O7</f>
        <v>12000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100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50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6" t="s">
        <v>195</v>
      </c>
      <c r="C9" s="127"/>
      <c r="D9" s="134" t="str">
        <f>IF(K10="Middle","RUN 2 UP",IF(AND(O8="Centrefold Roll",B8=380),"RUN 2 UP",""))</f>
        <v/>
      </c>
      <c r="E9" s="100"/>
      <c r="F9" s="101"/>
      <c r="G9" s="16" t="s">
        <v>48</v>
      </c>
      <c r="H9" s="126" t="s">
        <v>194</v>
      </c>
      <c r="I9" s="127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100</v>
      </c>
      <c r="S9" s="18" t="s">
        <v>78</v>
      </c>
      <c r="T9" s="30">
        <v>350</v>
      </c>
      <c r="U9" s="18" t="s">
        <v>78</v>
      </c>
      <c r="V9" s="30">
        <v>50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4</v>
      </c>
      <c r="C10" s="63"/>
      <c r="D10" s="47" t="s">
        <v>134</v>
      </c>
      <c r="E10" s="128">
        <f>IF(ISNUMBER(SEARCH("sheet",O8,1)),((R9*T9*H8/540000)*U7/2000*1.3),((R9*T9*H8/540000)*U7/1000*1.08))</f>
        <v>42.000000000000007</v>
      </c>
      <c r="F10" s="129"/>
      <c r="G10" s="11" t="s">
        <v>53</v>
      </c>
      <c r="H10" s="132">
        <f>IF(ISNUMBER(SEARCH("sheet",O8,1)),(U7*T9/2000*1.08),(U7*T9/1000*1.08))</f>
        <v>4536</v>
      </c>
      <c r="I10" s="133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30">
        <f>E10/B10</f>
        <v>10.500000000000002</v>
      </c>
      <c r="F11" s="131"/>
      <c r="G11" s="11" t="s">
        <v>15</v>
      </c>
      <c r="H11" s="130">
        <f>H10/B10</f>
        <v>1134</v>
      </c>
      <c r="I11" s="131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6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7" t="s">
        <v>4</v>
      </c>
      <c r="F16" s="147"/>
      <c r="G16" s="147" t="s">
        <v>5</v>
      </c>
      <c r="H16" s="14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38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8"/>
      <c r="B23" s="14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9"/>
      <c r="B24" s="15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196</v>
      </c>
      <c r="P25" s="34"/>
      <c r="Q25" s="10">
        <v>26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5" t="s">
        <v>116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4" t="s">
        <v>136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45107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45097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5012526-380C-47F7-B8E3-11B2DE0B172B}"/>
</file>

<file path=customXml/itemProps2.xml><?xml version="1.0" encoding="utf-8"?>
<ds:datastoreItem xmlns:ds="http://schemas.openxmlformats.org/officeDocument/2006/customXml" ds:itemID="{55171FEF-4DE8-4667-A744-D8C7BBC07843}"/>
</file>

<file path=customXml/itemProps3.xml><?xml version="1.0" encoding="utf-8"?>
<ds:datastoreItem xmlns:ds="http://schemas.openxmlformats.org/officeDocument/2006/customXml" ds:itemID="{106B9E92-3701-4709-8FC9-ED6038FC3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2023-05-26T00:51:35Z</cp:lastPrinted>
  <dcterms:created xsi:type="dcterms:W3CDTF">2019-11-27T23:28:06Z</dcterms:created>
  <dcterms:modified xsi:type="dcterms:W3CDTF">2023-05-30T23:25:09Z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