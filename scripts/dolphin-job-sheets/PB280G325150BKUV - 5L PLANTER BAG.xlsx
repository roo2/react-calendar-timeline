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5B982CF-4555-4807-AAB4-FB4A9E33879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<sst xmlns="http://schemas.openxmlformats.org/spreadsheetml/2006/main" count="306" uniqueCount="202">
  <si>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</si>
  <si>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</si>
  <si>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</si>
  <si>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</si>
  <si>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</si>
  <si>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</si>
  <si>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</si>
  <si>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</si>
  <si>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</si>
  <si>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</si>
  <si>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</si>
  <si>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</si>
  <si>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</si>
  <si>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</si>
  <si>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</si>
  <si>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</si>
  <si>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</si>
  <si>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</si>
  <si>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</si>
  <si>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</si>
  <si>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</si>
  <si>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</si>
  <si>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</si>
  <si>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</si>
  <si>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</si>
  <si>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</si>
  <si>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</si>
  <si>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</si>
  <si>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</si>
  <si>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</si>
  <si>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</si>
  <si>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</si>
  <si>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</si>
  <si>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</si>
  <si>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</si>
  <si>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</si>
  <si>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</si>
  <si>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</si>
  <si>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</si>
  <si>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</si>
  <si>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</si>
  <si>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</si>
  <si>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</si>
  <si>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</si>
  <si>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</si>
  <si>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</si>
  <si>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</si>
  <si>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</si>
  <si>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</si>
  <si>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</si>
  <si>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</si>
  <si>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</si>
  <si>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</si>
  <si>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</si>
  <si>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</si>
  <si>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</si>
  <si>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</si>
  <si>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</si>
  <si>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</si>
  <si>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</si>
  <si>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</si>
  <si>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</si>
  <si>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</si>
  <si>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</si>
  <si>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</si>
  <si>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</si>
  <si>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</si>
  <si>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</si>
  <si>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</si>
  <si>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</si>
  <si>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</si>
  <si>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</si>
  <si>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</si>
  <si>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</si>
  <si>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</si>
  <si>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</si>
  <si>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</si>
  <si>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</si>
  <si>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</si>
  <si>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</si>
  <si>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</si>
  <si>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</si>
  <si>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</si>
  <si>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</si>
  <si>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</si>
  <si>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</si>
  <si>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</si>
  <si>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</si>
  <si>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</si>
  <si>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</si>
  <si>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</si>
  <si>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</si>
  <si>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</si>
  <si>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</si>
  <si>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</si>
  <si>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</si>
  <si>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</si>
  <si>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</si>
  <si>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</si>
  <si>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</si>
  <si>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</si>
  <si>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</si>
  <si>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</si>
  <si>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</si>
  <si>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</si>
  <si>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</si>
  <si>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</si>
  <si>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</si>
  <si>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</si>
  <si>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</si>
  <si>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</si>
  <si>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</si>
  <si>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</si>
  <si>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</si>
  <si>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</si>
  <si>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</si>
  <si>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</si>
  <si>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</si>
  <si>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</si>
  <si>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</si>
  <si>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</si>
  <si>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</si>
  <si>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</si>
  <si>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</si>
  <si>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</si>
  <si>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</si>
  <si>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</si>
  <si>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</si>
  <si>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</si>
  <si>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</si>
  <si>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</si>
  <si>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</si>
  <si>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</si>
  <si>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</si>
  <si>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</si>
  <si>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</si>
  <si>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</si>
  <si>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</si>
  <si>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</si>
  <si>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</si>
  <si>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</si>
  <si>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</si>
  <si>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</si>
  <si>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</si>
  <si>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</si>
  <si>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</si>
  <si>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</si>
  <si>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</si>
  <si>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</si>
  <si>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</si>
  <si>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</si>
  <si>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</si>
  <si>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</si>
  <si>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</si>
  <si>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</si>
  <si>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</si>
  <si>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</si>
  <si>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</si>
  <si>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</si>
  <si>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</si>
  <si>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</si>
  <si>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</si>
  <si>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</si>
  <si>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</si>
  <si>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</si>
  <si>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</si>
  <si>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</si>
  <si>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</si>
  <si>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</si>
  <si>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</si>
  <si>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</si>
  <si>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</si>
  <si>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</si>
  <si>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</si>
  <si>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</si>
  <si>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</si>
  <si>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</si>
  <si>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</si>
  <si>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</si>
  <si>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</si>
  <si>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</si>
  <si>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</si>
  <si>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</si>
  <si>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</si>
  <si>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</si>
  <si>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</si>
  <si>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</si>
  <si>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</si>
  <si>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</si>
  <si>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</si>
  <si>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</si>
  <si>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</si>
  <si>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</si>
  <si>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</si>
  <si>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</si>
  <si>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UV</t>
  </si>
  <si>
    <t>RUN AT 135 - 140um</t>
  </si>
  <si>
    <t>TIMS CONTRACT GRAFTING</t>
  </si>
  <si>
    <t>(145+135)</t>
  </si>
  <si>
    <t>PERF</t>
  </si>
  <si>
    <t>2 (21)</t>
  </si>
  <si>
    <t>02.10.2021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</si>
</sst>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J11" sqref="AJ1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5" t="str">
        <f>O9&amp;R9&amp;IF(X8="G","G","")&amp;IF(O8="Centrefold Roll","("&amp;E8&amp;")","")&amp;T9&amp;V9&amp;C22&amp;C23&amp;C24&amp;O11&amp;R11</f>
        <v>PB280G325150BKUVV</v>
      </c>
      <c r="C1" s="125"/>
      <c r="D1" s="126"/>
      <c r="E1" s="12" t="s">
        <v>57</v>
      </c>
      <c r="F1" s="136" t="s">
        <v>197</v>
      </c>
      <c r="G1" s="137"/>
      <c r="H1" s="138"/>
      <c r="I1" s="13" t="s">
        <v>181</v>
      </c>
      <c r="J1" s="139">
        <f ca="1">TODAY()</f>
        <v>44431</v>
      </c>
      <c r="K1" s="139"/>
      <c r="L1" s="140"/>
      <c r="M1" s="34"/>
      <c r="N1" s="12" t="s">
        <v>56</v>
      </c>
      <c r="O1" s="125" t="str">
        <f>B1</f>
        <v>PB280G325150BKUVV</v>
      </c>
      <c r="P1" s="125"/>
      <c r="Q1" s="126"/>
      <c r="R1" s="12" t="s">
        <v>57</v>
      </c>
      <c r="S1" s="125" t="str">
        <f>F1</f>
        <v>TIMS CONTRACT GRAFTING</v>
      </c>
      <c r="T1" s="125"/>
      <c r="U1" s="126"/>
      <c r="V1" s="12" t="s">
        <v>181</v>
      </c>
      <c r="W1" s="139">
        <f ca="1">J1</f>
        <v>44431</v>
      </c>
      <c r="X1" s="139"/>
      <c r="Y1" s="140"/>
    </row>
    <row r="2" spans="1:28" ht="20.100000000000001" customHeight="1" x14ac:dyDescent="0.25">
      <c r="A2" s="12" t="s">
        <v>100</v>
      </c>
      <c r="B2" s="125" t="str">
        <f>IF(U10="","",U10)</f>
        <v/>
      </c>
      <c r="C2" s="125"/>
      <c r="D2" s="126"/>
      <c r="E2" s="12" t="s">
        <v>58</v>
      </c>
      <c r="F2" s="73">
        <v>941190</v>
      </c>
      <c r="G2" s="73"/>
      <c r="H2" s="74"/>
      <c r="I2" s="12" t="s">
        <v>59</v>
      </c>
      <c r="J2" s="142" t="s">
        <v>201</v>
      </c>
      <c r="K2" s="73"/>
      <c r="L2" s="74"/>
      <c r="M2" s="34"/>
      <c r="N2" s="12" t="s">
        <v>100</v>
      </c>
      <c r="O2" s="125" t="str">
        <f>IF(B2="","",B2)</f>
        <v/>
      </c>
      <c r="P2" s="125"/>
      <c r="Q2" s="126"/>
      <c r="R2" s="12" t="s">
        <v>58</v>
      </c>
      <c r="S2" s="125">
        <f>IF(F2="","",F2)</f>
        <v>941190</v>
      </c>
      <c r="T2" s="125"/>
      <c r="U2" s="126"/>
      <c r="V2" s="12" t="s">
        <v>59</v>
      </c>
      <c r="W2" s="141" t="str">
        <f>J2</f>
        <v>02.10.2021</v>
      </c>
      <c r="X2" s="125"/>
      <c r="Y2" s="126"/>
    </row>
    <row r="3" spans="1:28" ht="20.100000000000001" customHeight="1" x14ac:dyDescent="0.25">
      <c r="A3" s="127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34"/>
      <c r="N3" s="127">
        <f>A3</f>
        <v>0</v>
      </c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9"/>
    </row>
    <row r="4" spans="1:28" ht="20.100000000000001" customHeight="1" x14ac:dyDescent="0.25">
      <c r="A4" s="130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34"/>
      <c r="N4" s="130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2"/>
    </row>
    <row r="5" spans="1:28" ht="20.100000000000001" customHeight="1" x14ac:dyDescent="0.25">
      <c r="A5" s="133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5"/>
      <c r="M5" s="34"/>
      <c r="N5" s="133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5"/>
    </row>
    <row r="6" spans="1:28" ht="20.100000000000001" customHeigh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7" t="s">
        <v>177</v>
      </c>
      <c r="C7" s="117"/>
      <c r="D7" s="117"/>
      <c r="E7" s="117"/>
      <c r="F7" s="117"/>
      <c r="G7" s="117"/>
      <c r="H7" s="117"/>
      <c r="I7" s="118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44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25">
        <f>R7*O7</f>
        <v>22000</v>
      </c>
      <c r="V7" s="126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3">
        <f>R9</f>
        <v>280</v>
      </c>
      <c r="C8" s="114"/>
      <c r="D8" s="32" t="str">
        <f>IF(ISNUMBER(SEARCH("bag",O8,1)),"Gusset","Centrefold")</f>
        <v>Gusset</v>
      </c>
      <c r="E8" s="113" t="str">
        <f>IF(O8="Centrefold Roll",B8*2,IF(X9="","None",X9))</f>
        <v>(145+135)</v>
      </c>
      <c r="F8" s="114"/>
      <c r="G8" s="15" t="s">
        <v>52</v>
      </c>
      <c r="H8" s="113">
        <f>(IF(V9&lt;30,"30",V9))</f>
        <v>150</v>
      </c>
      <c r="I8" s="114"/>
      <c r="J8" s="12" t="s">
        <v>54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4"/>
      <c r="N8" s="16" t="s">
        <v>54</v>
      </c>
      <c r="O8" s="115" t="s">
        <v>164</v>
      </c>
      <c r="P8" s="116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G</v>
      </c>
      <c r="Y8" s="112"/>
    </row>
    <row r="9" spans="1:28" ht="20.100000000000001" customHeight="1" x14ac:dyDescent="0.3">
      <c r="A9" s="18" t="s">
        <v>48</v>
      </c>
      <c r="B9" s="146" t="s">
        <v>194</v>
      </c>
      <c r="C9" s="147"/>
      <c r="D9" s="154" t="str">
        <f>IF(K10="Middle","RUN 2 UP",IF(AND(O8="Centrefold Roll",B8=380),"RUN 2 UP",""))</f>
        <v/>
      </c>
      <c r="E9" s="117"/>
      <c r="F9" s="118"/>
      <c r="G9" s="18" t="s">
        <v>48</v>
      </c>
      <c r="H9" s="146" t="s">
        <v>196</v>
      </c>
      <c r="I9" s="147"/>
      <c r="J9" s="12" t="s">
        <v>55</v>
      </c>
      <c r="K9" s="73" t="s">
        <v>30</v>
      </c>
      <c r="L9" s="74"/>
      <c r="M9" s="34"/>
      <c r="N9" s="19"/>
      <c r="O9" s="119" t="str">
        <f>IF(O8="Poly Bag","PB",IF(O8="Poly Bag Roll","PBR",IF(O8="Centrefold Roll","CFR",IF(O8="Sheet","S",IF(O8="Sheet Roll","SR")))))</f>
        <v>PB</v>
      </c>
      <c r="P9" s="120"/>
      <c r="Q9" s="19"/>
      <c r="R9" s="35">
        <v>280</v>
      </c>
      <c r="S9" s="20" t="s">
        <v>78</v>
      </c>
      <c r="T9" s="35">
        <v>325</v>
      </c>
      <c r="U9" s="20" t="s">
        <v>78</v>
      </c>
      <c r="V9" s="35">
        <v>150</v>
      </c>
      <c r="W9" s="19"/>
      <c r="X9" s="99" t="s">
        <v>198</v>
      </c>
      <c r="Y9" s="100"/>
    </row>
    <row r="10" spans="1:28" ht="20.100000000000001" customHeight="1" x14ac:dyDescent="0.25">
      <c r="A10" s="12" t="s">
        <v>51</v>
      </c>
      <c r="B10" s="73">
        <v>28</v>
      </c>
      <c r="C10" s="74"/>
      <c r="D10" s="54" t="s">
        <v>134</v>
      </c>
      <c r="E10" s="148">
        <f>IF(ISNUMBER(SEARCH("sheet",O8,1)),((R9*T9*H8/540000)*U7/2000*1.3),((R9*T9*H8/540000)*U7/1000*1.08))</f>
        <v>600.6</v>
      </c>
      <c r="F10" s="149"/>
      <c r="G10" s="12" t="s">
        <v>53</v>
      </c>
      <c r="H10" s="152">
        <f>IF(ISNUMBER(SEARCH("sheet",O8,1)),(U7*T9/2000*1.08),(U7*T9/1000*1.08))</f>
        <v>7722.0000000000009</v>
      </c>
      <c r="I10" s="153"/>
      <c r="J10" s="12" t="s">
        <v>41</v>
      </c>
      <c r="K10" s="73" t="s">
        <v>44</v>
      </c>
      <c r="L10" s="74"/>
      <c r="M10" s="34"/>
      <c r="N10" s="21" t="s">
        <v>141</v>
      </c>
      <c r="O10" s="115" t="s">
        <v>188</v>
      </c>
      <c r="P10" s="116"/>
      <c r="Q10" s="16" t="s">
        <v>50</v>
      </c>
      <c r="R10" s="111" t="str">
        <f>IF(K11="NONE","None",IF(K11="INLINE","Yes",IF(K11="OUT OF LINE","Yes")))</f>
        <v>None</v>
      </c>
      <c r="S10" s="111"/>
      <c r="T10" s="16" t="s">
        <v>100</v>
      </c>
      <c r="U10" s="121"/>
      <c r="V10" s="121"/>
      <c r="W10" s="121"/>
      <c r="X10" s="121"/>
      <c r="Y10" s="122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2" t="s">
        <v>135</v>
      </c>
      <c r="E11" s="150">
        <f>E10/B10</f>
        <v>21.45</v>
      </c>
      <c r="F11" s="151"/>
      <c r="G11" s="12" t="s">
        <v>15</v>
      </c>
      <c r="H11" s="150">
        <f>H10/B10</f>
        <v>275.78571428571433</v>
      </c>
      <c r="I11" s="151"/>
      <c r="J11" s="12" t="s">
        <v>50</v>
      </c>
      <c r="K11" s="73" t="s">
        <v>44</v>
      </c>
      <c r="L11" s="74"/>
      <c r="M11" s="34"/>
      <c r="N11" s="15"/>
      <c r="O11" s="113" t="str">
        <f>IF(O10="NONE","","V")</f>
        <v>V</v>
      </c>
      <c r="P11" s="114"/>
      <c r="Q11" s="15"/>
      <c r="R11" s="113" t="str">
        <f>IF(R10="None","","P")</f>
        <v/>
      </c>
      <c r="S11" s="114"/>
      <c r="T11" s="15"/>
      <c r="U11" s="123"/>
      <c r="V11" s="123"/>
      <c r="W11" s="123"/>
      <c r="X11" s="123"/>
      <c r="Y11" s="124"/>
    </row>
    <row r="12" spans="1:28" ht="20.100000000000001" customHeight="1" x14ac:dyDescent="0.25">
      <c r="A12" s="143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44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8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67" t="s">
        <v>4</v>
      </c>
      <c r="F16" s="167"/>
      <c r="G16" s="167" t="s">
        <v>5</v>
      </c>
      <c r="H16" s="167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9" t="s">
        <v>147</v>
      </c>
      <c r="D17" s="110"/>
      <c r="E17" s="106"/>
      <c r="F17" s="76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37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9" t="s">
        <v>146</v>
      </c>
      <c r="D18" s="110"/>
      <c r="E18" s="106"/>
      <c r="F18" s="76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9" t="s">
        <v>145</v>
      </c>
      <c r="D19" s="110"/>
      <c r="E19" s="106"/>
      <c r="F19" s="76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9" t="s">
        <v>144</v>
      </c>
      <c r="D20" s="110"/>
      <c r="E20" s="106"/>
      <c r="F20" s="76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9" t="s">
        <v>143</v>
      </c>
      <c r="D21" s="110"/>
      <c r="E21" s="106"/>
      <c r="F21" s="76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>BLACK</v>
      </c>
      <c r="B22" s="72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10"/>
      <c r="E22" s="102">
        <v>0.03</v>
      </c>
      <c r="F22" s="76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8" t="s">
        <v>195</v>
      </c>
      <c r="B23" s="168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10"/>
      <c r="E23" s="102">
        <v>0.02</v>
      </c>
      <c r="F23" s="76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69"/>
      <c r="B24" s="170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199</v>
      </c>
      <c r="P25" s="39"/>
      <c r="Q25" s="10" t="s">
        <v>200</v>
      </c>
      <c r="R25" s="10">
        <v>6</v>
      </c>
      <c r="S25" s="10"/>
      <c r="T25" s="10">
        <v>11</v>
      </c>
      <c r="U25" s="10">
        <v>2</v>
      </c>
      <c r="V25" s="10"/>
      <c r="W25" s="10">
        <v>250</v>
      </c>
      <c r="X25" s="10">
        <v>250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55" t="s">
        <v>116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7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60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64" t="s">
        <v>136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6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44462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44452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5000D8A-498A-4178-A1C0-165CCE5FF8FC}"/>
</file>

<file path=customXml/itemProps2.xml><?xml version="1.0" encoding="utf-8"?>
<ds:datastoreItem xmlns:ds="http://schemas.openxmlformats.org/officeDocument/2006/customXml" ds:itemID="{D8487C3A-2860-4329-9A7A-4C0B08DE9CB0}"/>
</file>

<file path=customXml/itemProps3.xml><?xml version="1.0" encoding="utf-8"?>
<ds:datastoreItem xmlns:ds="http://schemas.openxmlformats.org/officeDocument/2006/customXml" ds:itemID="{B5FCBA8A-D915-4A7A-802F-9380DE5C6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2021-08-23T04:56:44Z</cp:lastPrinted>
  <dcterms:created xsi:type="dcterms:W3CDTF">2019-11-27T23:28:06Z</dcterms:created>
  <dcterms:modified xsi:type="dcterms:W3CDTF">2021-08-23T05:30:48Z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