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B84CC441-431D-4840-B123-AD03C247E9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<sst xmlns="http://schemas.openxmlformats.org/spreadsheetml/2006/main" count="304" uniqueCount="199">
  <si>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</si>
  <si>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</si>
  <si>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</si>
  <si>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</si>
  <si>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</si>
  <si>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</si>
  <si>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</si>
  <si>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</si>
  <si>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</si>
  <si>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</si>
  <si>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</si>
  <si>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</si>
  <si>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</si>
  <si>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</si>
  <si>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</si>
  <si>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</si>
  <si>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</si>
  <si>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</si>
  <si>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</si>
  <si>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</si>
  <si>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</si>
  <si>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</si>
  <si>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</si>
  <si>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</si>
  <si>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</si>
  <si>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</si>
  <si>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</si>
  <si>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</si>
  <si>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</si>
  <si>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</si>
  <si>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</si>
  <si>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</si>
  <si>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</si>
  <si>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</si>
  <si>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</si>
  <si>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</si>
  <si>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</si>
  <si>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</si>
  <si>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</si>
  <si>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</si>
  <si>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</si>
  <si>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</si>
  <si>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</si>
  <si>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</si>
  <si>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</si>
  <si>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</si>
  <si>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</si>
  <si>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</si>
  <si>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</si>
  <si>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</si>
  <si>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</si>
  <si>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</si>
  <si>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</si>
  <si>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</si>
  <si>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</si>
  <si>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</si>
  <si>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</si>
  <si>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</si>
  <si>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</si>
  <si>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</si>
  <si>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</si>
  <si>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</si>
  <si>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</si>
  <si>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</si>
  <si>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</si>
  <si>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</si>
  <si>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</si>
  <si>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</si>
  <si>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</si>
  <si>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</si>
  <si>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</si>
  <si>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</si>
  <si>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</si>
  <si>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</si>
  <si>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</si>
  <si>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</si>
  <si>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</si>
  <si>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</si>
  <si>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</si>
  <si>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</si>
  <si>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</si>
  <si>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</si>
  <si>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</si>
  <si>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</si>
  <si>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</si>
  <si>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</si>
  <si>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</si>
  <si>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</si>
  <si>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</si>
  <si>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</si>
  <si>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</si>
  <si>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</si>
  <si>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</si>
  <si>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</si>
  <si>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</si>
  <si>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</si>
  <si>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</si>
  <si>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</si>
  <si>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</si>
  <si>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</si>
  <si>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</si>
  <si>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</si>
  <si>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</si>
  <si>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</si>
  <si>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</si>
  <si>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</si>
  <si>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</si>
  <si>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</si>
  <si>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</si>
  <si>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</si>
  <si>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</si>
  <si>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</si>
  <si>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</si>
  <si>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</si>
  <si>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</si>
  <si>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</si>
  <si>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</si>
  <si>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</si>
  <si>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</si>
  <si>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</si>
  <si>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</si>
  <si>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</si>
  <si>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</si>
  <si>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</si>
  <si>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</si>
  <si>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</si>
  <si>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</si>
  <si>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</si>
  <si>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</si>
  <si>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</si>
  <si>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</si>
  <si>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</si>
  <si>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</si>
  <si>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</si>
  <si>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</si>
  <si>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</si>
  <si>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</si>
  <si>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</si>
  <si>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</si>
  <si>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</si>
  <si>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</si>
  <si>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</si>
  <si>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</si>
  <si>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</si>
  <si>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</si>
  <si>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</si>
  <si>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</si>
  <si>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</si>
  <si>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</si>
  <si>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</si>
  <si>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</si>
  <si>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</si>
  <si>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</si>
  <si>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</si>
  <si>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</si>
  <si>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</si>
  <si>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</si>
  <si>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</si>
  <si>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</si>
  <si>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</si>
  <si>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</si>
  <si>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</si>
  <si>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</si>
  <si>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</si>
  <si>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</si>
  <si>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</si>
  <si>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</si>
  <si>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</si>
  <si>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</si>
  <si>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</si>
  <si>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</si>
  <si>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</si>
  <si>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</si>
  <si>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</si>
  <si>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</si>
  <si>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</si>
  <si>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</si>
  <si>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</si>
  <si>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</si>
  <si>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</si>
  <si>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</si>
  <si>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</si>
  <si>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</si>
  <si>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</si>
  <si>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</si>
  <si>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</si>
  <si>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</si>
  <si>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</si>
  <si>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</si>
  <si>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</si>
  <si>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</si>
  <si>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</si>
  <si>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</si>
  <si>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</si>
  <si>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</si>
  <si>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</si>
  <si>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MUST HAVE WATER TIGHT SEALS - PLEASE CHECK FREQUENTLY</t>
  </si>
  <si>
    <t xml:space="preserve">GREAT BARRIER REEF </t>
  </si>
  <si>
    <t>SLEEVE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</si>
</sst>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3" sqref="N3:Y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PB300250150</v>
      </c>
      <c r="C1" s="122"/>
      <c r="D1" s="123"/>
      <c r="E1" s="12" t="s">
        <v>57</v>
      </c>
      <c r="F1" s="133" t="s">
        <v>197</v>
      </c>
      <c r="G1" s="134"/>
      <c r="H1" s="135"/>
      <c r="I1" s="13" t="s">
        <v>181</v>
      </c>
      <c r="J1" s="95">
        <f ca="1">TODAY()</f>
        <v>44393</v>
      </c>
      <c r="K1" s="95"/>
      <c r="L1" s="96"/>
      <c r="M1" s="34"/>
      <c r="N1" s="12" t="s">
        <v>56</v>
      </c>
      <c r="O1" s="122" t="str">
        <f>B1</f>
        <v>PB300250150</v>
      </c>
      <c r="P1" s="122"/>
      <c r="Q1" s="123"/>
      <c r="R1" s="12" t="s">
        <v>57</v>
      </c>
      <c r="S1" s="122" t="str">
        <f>F1</f>
        <v xml:space="preserve">GREAT BARRIER REEF </v>
      </c>
      <c r="T1" s="122"/>
      <c r="U1" s="123"/>
      <c r="V1" s="12" t="s">
        <v>181</v>
      </c>
      <c r="W1" s="95">
        <f ca="1">J1</f>
        <v>44393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SLEEVE #5</v>
      </c>
      <c r="C2" s="122"/>
      <c r="D2" s="123"/>
      <c r="E2" s="12" t="s">
        <v>58</v>
      </c>
      <c r="F2" s="98">
        <v>940847</v>
      </c>
      <c r="G2" s="98"/>
      <c r="H2" s="99"/>
      <c r="I2" s="12" t="s">
        <v>59</v>
      </c>
      <c r="J2" s="97">
        <v>44424</v>
      </c>
      <c r="K2" s="98"/>
      <c r="L2" s="99"/>
      <c r="M2" s="34"/>
      <c r="N2" s="12" t="s">
        <v>100</v>
      </c>
      <c r="O2" s="122" t="str">
        <f>IF(B2="","",B2)</f>
        <v>SLEEVE #5</v>
      </c>
      <c r="P2" s="122"/>
      <c r="Q2" s="123"/>
      <c r="R2" s="12" t="s">
        <v>58</v>
      </c>
      <c r="S2" s="122">
        <f>IF(F2="","",F2)</f>
        <v>940847</v>
      </c>
      <c r="T2" s="122"/>
      <c r="U2" s="123"/>
      <c r="V2" s="12" t="s">
        <v>59</v>
      </c>
      <c r="W2" s="136">
        <f>J2</f>
        <v>44424</v>
      </c>
      <c r="X2" s="122"/>
      <c r="Y2" s="123"/>
    </row>
    <row r="3" spans="1:28" ht="20.100000000000001" customHeight="1" x14ac:dyDescent="0.25">
      <c r="A3" s="124" t="s">
        <v>196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HAVE WATER TIGHT SEALS - PLEASE CHECK FREQUENTLY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3000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300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300</v>
      </c>
      <c r="S9" s="20" t="s">
        <v>78</v>
      </c>
      <c r="T9" s="35">
        <v>250</v>
      </c>
      <c r="U9" s="20" t="s">
        <v>78</v>
      </c>
      <c r="V9" s="35">
        <v>150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8</v>
      </c>
      <c r="C10" s="99"/>
      <c r="D10" s="54" t="s">
        <v>134</v>
      </c>
      <c r="E10" s="112">
        <f>IF(ISNUMBER(SEARCH("sheet",O8,1)),((R9*T9*H8/540000)*U7/2000*1.3),((R9*T9*H8/540000)*U7/1000*1.08))</f>
        <v>67.5</v>
      </c>
      <c r="F10" s="113"/>
      <c r="G10" s="12" t="s">
        <v>53</v>
      </c>
      <c r="H10" s="116">
        <f>IF(ISNUMBER(SEARCH("sheet",O8,1)),(U7*T9/2000*1.08),(U7*T9/1000*1.08))</f>
        <v>810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 t="s">
        <v>198</v>
      </c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8.4375</v>
      </c>
      <c r="F11" s="115"/>
      <c r="G11" s="12" t="s">
        <v>15</v>
      </c>
      <c r="H11" s="114">
        <f>H10/B10</f>
        <v>101.25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44424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44414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BE6ECE2-D4F3-46CF-AC7B-B6F3B451A481}"/>
</file>

<file path=customXml/itemProps2.xml><?xml version="1.0" encoding="utf-8"?>
<ds:datastoreItem xmlns:ds="http://schemas.openxmlformats.org/officeDocument/2006/customXml" ds:itemID="{71CE7B26-0783-482D-900A-2DF4188A02F0}"/>
</file>

<file path=customXml/itemProps3.xml><?xml version="1.0" encoding="utf-8"?>
<ds:datastoreItem xmlns:ds="http://schemas.openxmlformats.org/officeDocument/2006/customXml" ds:itemID="{399AEDAE-79D2-4FDD-A1C5-7D9AAB1696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2021-07-16T01:43:05Z</cp:lastPrinted>
  <dcterms:created xsi:type="dcterms:W3CDTF">2019-11-27T23:28:06Z</dcterms:created>
  <dcterms:modified xsi:type="dcterms:W3CDTF">2021-07-16T01:54:39Z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