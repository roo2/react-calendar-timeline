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01DD4F7-5E13-48CB-93A8-42B7A413CE8D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<sst xmlns="http://schemas.openxmlformats.org/spreadsheetml/2006/main" count="304" uniqueCount="200">
  <si>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</si>
  <si>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</si>
  <si>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</si>
  <si>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</si>
  <si>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</si>
  <si>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</si>
  <si>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</si>
  <si>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</si>
  <si>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</si>
  <si>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</si>
  <si>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</si>
  <si>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</si>
  <si>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</si>
  <si>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</si>
  <si>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</si>
  <si>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</si>
  <si>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</si>
  <si>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</si>
  <si>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</si>
  <si>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</si>
  <si>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</si>
  <si>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</si>
  <si>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</si>
  <si>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</si>
  <si>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</si>
  <si>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</si>
  <si>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</si>
  <si>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</si>
  <si>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</si>
  <si>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</si>
  <si>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</si>
  <si>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</si>
  <si>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</si>
  <si>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</si>
  <si>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</si>
  <si>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</si>
  <si>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</si>
  <si>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</si>
  <si>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</si>
  <si>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</si>
  <si>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</si>
  <si>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</si>
  <si>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</si>
  <si>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</si>
  <si>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</si>
  <si>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</si>
  <si>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</si>
  <si>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</si>
  <si>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</si>
  <si>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</si>
  <si>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</si>
  <si>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</si>
  <si>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</si>
  <si>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</si>
  <si>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</si>
  <si>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</si>
  <si>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</si>
  <si>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</si>
  <si>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</si>
  <si>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</si>
  <si>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</si>
  <si>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</si>
  <si>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</si>
  <si>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</si>
  <si>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</si>
  <si>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</si>
  <si>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</si>
  <si>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</si>
  <si>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</si>
  <si>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</si>
  <si>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</si>
  <si>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</si>
  <si>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</si>
  <si>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</si>
  <si>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</si>
  <si>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</si>
  <si>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</si>
  <si>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</si>
  <si>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</si>
  <si>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</si>
  <si>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</si>
  <si>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</si>
  <si>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</si>
  <si>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</si>
  <si>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</si>
  <si>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</si>
  <si>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</si>
  <si>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</si>
  <si>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</si>
  <si>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</si>
  <si>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</si>
  <si>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</si>
  <si>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</si>
  <si>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</si>
  <si>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</si>
  <si>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</si>
  <si>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</si>
  <si>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</si>
  <si>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</si>
  <si>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</si>
  <si>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</si>
  <si>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</si>
  <si>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</si>
  <si>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</si>
  <si>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</si>
  <si>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</si>
  <si>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</si>
  <si>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</si>
  <si>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</si>
  <si>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</si>
  <si>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</si>
  <si>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</si>
  <si>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</si>
  <si>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</si>
  <si>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</si>
  <si>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</si>
  <si>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</si>
  <si>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</si>
  <si>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</si>
  <si>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</si>
  <si>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</si>
  <si>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</si>
  <si>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</si>
  <si>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</si>
  <si>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</si>
  <si>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</si>
  <si>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</si>
  <si>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</si>
  <si>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</si>
  <si>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</si>
  <si>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</si>
  <si>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</si>
  <si>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</si>
  <si>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</si>
  <si>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</si>
  <si>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</si>
  <si>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</si>
  <si>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</si>
  <si>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</si>
  <si>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</si>
  <si>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</si>
  <si>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</si>
  <si>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</si>
  <si>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</si>
  <si>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</si>
  <si>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</si>
  <si>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</si>
  <si>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</si>
  <si>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</si>
  <si>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</si>
  <si>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</si>
  <si>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</si>
  <si>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</si>
  <si>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</si>
  <si>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</si>
  <si>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</si>
  <si>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</si>
  <si>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</si>
  <si>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</si>
  <si>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</si>
  <si>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</si>
  <si>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</si>
  <si>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</si>
  <si>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</si>
  <si>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</si>
  <si>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</si>
  <si>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</si>
  <si>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</si>
  <si>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</si>
  <si>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</si>
  <si>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</si>
  <si>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</si>
  <si>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</si>
  <si>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</si>
  <si>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</si>
  <si>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</si>
  <si>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</si>
  <si>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</si>
  <si>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</si>
  <si>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</si>
  <si>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</si>
  <si>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</si>
  <si>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</si>
  <si>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</si>
  <si>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</si>
  <si>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</si>
  <si>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</si>
  <si>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</si>
  <si>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</si>
  <si>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</si>
  <si>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</si>
  <si>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</si>
  <si>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</si>
  <si>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</si>
  <si>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</si>
  <si>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 xml:space="preserve">ORION 1 </t>
  </si>
  <si>
    <t>COOK MEDICAL</t>
  </si>
  <si>
    <t>13.10.2022</t>
  </si>
  <si>
    <t>NEW ITEM - PLEASE ENSURE SIZE IS EXACT AND NO CREASING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</si>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</sst>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PB250380125</v>
      </c>
      <c r="C1" s="111"/>
      <c r="D1" s="112"/>
      <c r="E1" s="11" t="s">
        <v>57</v>
      </c>
      <c r="F1" s="122" t="s">
        <v>196</v>
      </c>
      <c r="G1" s="87"/>
      <c r="H1" s="88"/>
      <c r="I1" s="12" t="s">
        <v>181</v>
      </c>
      <c r="J1" s="84">
        <f ca="1">TODAY()</f>
        <v>44833</v>
      </c>
      <c r="K1" s="84"/>
      <c r="L1" s="85"/>
      <c r="M1" s="29"/>
      <c r="N1" s="11" t="s">
        <v>56</v>
      </c>
      <c r="O1" s="111" t="str">
        <f>B1</f>
        <v>PB250380125</v>
      </c>
      <c r="P1" s="111"/>
      <c r="Q1" s="112"/>
      <c r="R1" s="11" t="s">
        <v>57</v>
      </c>
      <c r="S1" s="111" t="str">
        <f>F1</f>
        <v>COOK MEDICAL</v>
      </c>
      <c r="T1" s="111"/>
      <c r="U1" s="112"/>
      <c r="V1" s="11" t="s">
        <v>181</v>
      </c>
      <c r="W1" s="84">
        <f ca="1">J1</f>
        <v>44833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944232</v>
      </c>
      <c r="G2" s="87"/>
      <c r="H2" s="88"/>
      <c r="I2" s="11" t="s">
        <v>59</v>
      </c>
      <c r="J2" s="86" t="s">
        <v>197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944232</v>
      </c>
      <c r="T2" s="111"/>
      <c r="U2" s="112"/>
      <c r="V2" s="11" t="s">
        <v>59</v>
      </c>
      <c r="W2" s="123" t="str">
        <f>J2</f>
        <v>13.10.2022</v>
      </c>
      <c r="X2" s="111"/>
      <c r="Y2" s="112"/>
    </row>
    <row r="3" spans="1:25" ht="20.149999999999999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ITEM - PLEASE ENSURE SIZE IS EXACT AND NO CREASING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5000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125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199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250</v>
      </c>
      <c r="S9" s="18" t="s">
        <v>78</v>
      </c>
      <c r="T9" s="30">
        <v>380</v>
      </c>
      <c r="U9" s="18" t="s">
        <v>78</v>
      </c>
      <c r="V9" s="30">
        <v>125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118.75000000000001</v>
      </c>
      <c r="F10" s="102"/>
      <c r="G10" s="11" t="s">
        <v>53</v>
      </c>
      <c r="H10" s="105">
        <f>IF(ISNUMBER(SEARCH("sheet",O8,1)),(U7*T9/2000*1.08),(U7*T9/1000*1.08))</f>
        <v>2052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19.791666666666668</v>
      </c>
      <c r="F11" s="104"/>
      <c r="G11" s="11" t="s">
        <v>15</v>
      </c>
      <c r="H11" s="103">
        <f>H10/B10</f>
        <v>342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3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1"/>
      <c r="J17" s="142"/>
      <c r="K17" s="141"/>
      <c r="L17" s="142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1"/>
      <c r="J18" s="142"/>
      <c r="K18" s="141"/>
      <c r="L18" s="142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1"/>
      <c r="J19" s="142"/>
      <c r="K19" s="141"/>
      <c r="L19" s="142"/>
      <c r="M19" s="29"/>
      <c r="N19" s="144" t="s">
        <v>116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1"/>
      <c r="J20" s="142"/>
      <c r="K20" s="141"/>
      <c r="L20" s="142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1"/>
      <c r="J21" s="142"/>
      <c r="K21" s="141"/>
      <c r="L21" s="142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40"/>
      <c r="F22" s="83"/>
      <c r="G22" s="48" t="s">
        <v>86</v>
      </c>
      <c r="H22" s="32"/>
      <c r="I22" s="141"/>
      <c r="J22" s="142"/>
      <c r="K22" s="141"/>
      <c r="L22" s="142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141"/>
      <c r="J23" s="142"/>
      <c r="K23" s="141"/>
      <c r="L23" s="142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1"/>
      <c r="J24" s="142"/>
      <c r="K24" s="141"/>
      <c r="L24" s="14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175</v>
      </c>
      <c r="X25" s="10">
        <v>175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44854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82F374-C0B1-4866-8E53-371A2F0438FB}"/>
</file>

<file path=customXml/itemProps2.xml><?xml version="1.0" encoding="utf-8"?>
<ds:datastoreItem xmlns:ds="http://schemas.openxmlformats.org/officeDocument/2006/customXml" ds:itemID="{39DA49D2-7836-45C7-BBFB-44F30AA3500A}"/>
</file>

<file path=customXml/itemProps3.xml><?xml version="1.0" encoding="utf-8"?>
<ds:datastoreItem xmlns:ds="http://schemas.openxmlformats.org/officeDocument/2006/customXml" ds:itemID="{B4B57F52-06F4-4664-BA3A-65D25696C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2022-09-27T04:35:35Z</cp:lastPrinted>
  <dcterms:created xsi:type="dcterms:W3CDTF">2019-11-27T23:28:06Z</dcterms:created>
  <dcterms:modified xsi:type="dcterms:W3CDTF">2022-09-29T03:11:20Z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