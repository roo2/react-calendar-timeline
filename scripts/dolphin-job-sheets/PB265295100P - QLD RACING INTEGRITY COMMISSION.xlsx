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75B9D8E-D491-4C19-A744-9D038F5C9C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s="1"/>
  <c r="A4" i="2" l="1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<sst xmlns="http://schemas.openxmlformats.org/spreadsheetml/2006/main" count="307" uniqueCount="204">
  <si>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</si>
  <si>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</si>
  <si>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</si>
  <si>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</si>
  <si>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</si>
  <si>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</si>
  <si>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</si>
  <si>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</si>
  <si>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</si>
  <si>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</si>
  <si>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</si>
  <si>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</si>
  <si>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</si>
  <si>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</si>
  <si>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</si>
  <si>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</si>
  <si>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</si>
  <si>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</si>
  <si>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</si>
  <si>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</si>
  <si>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</si>
  <si>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</si>
  <si>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</si>
  <si>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</si>
  <si>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</si>
  <si>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</si>
  <si>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</si>
  <si>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</si>
  <si>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</si>
  <si>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</si>
  <si>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</si>
  <si>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</si>
  <si>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</si>
  <si>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</si>
  <si>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</si>
  <si>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</si>
  <si>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</si>
  <si>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</si>
  <si>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</si>
  <si>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</si>
  <si>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</si>
  <si>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</si>
  <si>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</si>
  <si>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</si>
  <si>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</si>
  <si>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</si>
  <si>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</si>
  <si>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</si>
  <si>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</si>
  <si>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</si>
  <si>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</si>
  <si>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</si>
  <si>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</si>
  <si>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</si>
  <si>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</si>
  <si>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</si>
  <si>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</si>
  <si>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</si>
  <si>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</si>
  <si>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</si>
  <si>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</si>
  <si>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</si>
  <si>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</si>
  <si>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</si>
  <si>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</si>
  <si>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</si>
  <si>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</si>
  <si>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</si>
  <si>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</si>
  <si>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</si>
  <si>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</si>
  <si>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</si>
  <si>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</si>
  <si>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</si>
  <si>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</si>
  <si>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</si>
  <si>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</si>
  <si>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</si>
  <si>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</si>
  <si>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</si>
  <si>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</si>
  <si>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</si>
  <si>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</si>
  <si>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</si>
  <si>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</si>
  <si>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</si>
  <si>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</si>
  <si>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</si>
  <si>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</si>
  <si>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</si>
  <si>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</si>
  <si>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</si>
  <si>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</si>
  <si>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</si>
  <si>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</si>
  <si>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</si>
  <si>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</si>
  <si>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</si>
  <si>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</si>
  <si>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</si>
  <si>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</si>
  <si>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</si>
  <si>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</si>
  <si>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</si>
  <si>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</si>
  <si>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</si>
  <si>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</si>
  <si>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</si>
  <si>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</si>
  <si>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</si>
  <si>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</si>
  <si>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</si>
  <si>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</si>
  <si>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</si>
  <si>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</si>
  <si>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</si>
  <si>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</si>
  <si>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</si>
  <si>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</si>
  <si>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</si>
  <si>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</si>
  <si>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</si>
  <si>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</si>
  <si>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</si>
  <si>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</si>
  <si>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</si>
  <si>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</si>
  <si>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</si>
  <si>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</si>
  <si>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</si>
  <si>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</si>
  <si>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</si>
  <si>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</si>
  <si>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</si>
  <si>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</si>
  <si>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</si>
  <si>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</si>
  <si>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</si>
  <si>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</si>
  <si>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</si>
  <si>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</si>
  <si>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</si>
  <si>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</si>
  <si>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</si>
  <si>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</si>
  <si>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</si>
  <si>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</si>
  <si>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</si>
  <si>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</si>
  <si>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</si>
  <si>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</si>
  <si>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</si>
  <si>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</si>
  <si>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</si>
  <si>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</si>
  <si>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</si>
  <si>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</si>
  <si>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</si>
  <si>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</si>
  <si>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</si>
  <si>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</si>
  <si>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</si>
  <si>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</si>
  <si>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</si>
  <si>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</si>
  <si>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</si>
  <si>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</si>
  <si>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</si>
  <si>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</si>
  <si>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</si>
  <si>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</si>
  <si>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</si>
  <si>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</si>
  <si>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</si>
  <si>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</si>
  <si>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</si>
  <si>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</si>
  <si>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</si>
  <si>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</si>
  <si>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</si>
  <si>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</si>
  <si>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</si>
  <si>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</si>
  <si>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</si>
  <si>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</si>
  <si>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</si>
  <si>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</si>
  <si>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</si>
  <si>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</si>
  <si>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</si>
  <si>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</si>
  <si>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</si>
  <si>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</si>
  <si>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</si>
  <si>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</si>
  <si>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QRIC</t>
  </si>
  <si>
    <t>MUST HAVE GOOD CLARITY - GOOD PRINT - NO LINES AND NO GUAGE BANDS
CUSTOMER WILL REJECT IF BAG IS NOT PERFECT - NO OVERS OR UNDERS</t>
  </si>
  <si>
    <t>PERF</t>
  </si>
  <si>
    <t>BLUE AND MAROON PRINT - "QLD RACING INTEGRITY COMMISSION"</t>
  </si>
  <si>
    <t>RUN AT 90um</t>
  </si>
  <si>
    <t>ANTIBLOCK</t>
  </si>
  <si>
    <t>#1</t>
  </si>
  <si>
    <t>Notes - CQ HAS IN THE PRINT PLATE HOLDER CTN/FOLDER THE IMAGE OF QUEENSLAND RACING INTEGRITY FOR REFERENCE  SEE BACK NTE</t>
  </si>
  <si>
    <t>Notes  COLOURS USED ARE THE BLUE 2756C AND MAROON 221C FOR THE INK CQ 11.03.26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</si>
</sst>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8" borderId="7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 applyProtection="1">
      <alignment horizontal="center" vertical="center" wrapText="1"/>
      <protection locked="0"/>
    </xf>
    <xf numFmtId="0" fontId="15" fillId="8" borderId="8" xfId="0" applyFont="1" applyFill="1" applyBorder="1" applyAlignment="1" applyProtection="1">
      <alignment horizontal="center" vertical="center" wrapText="1"/>
      <protection locked="0"/>
    </xf>
    <xf numFmtId="0" fontId="15" fillId="8" borderId="9" xfId="0" applyFont="1" applyFill="1" applyBorder="1" applyAlignment="1" applyProtection="1">
      <alignment horizontal="center" vertical="center" wrapText="1"/>
      <protection locked="0"/>
    </xf>
    <xf numFmtId="0" fontId="15" fillId="8" borderId="0" xfId="0" applyFont="1" applyFill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 applyProtection="1">
      <alignment horizontal="center" vertical="center" wrapText="1"/>
      <protection locked="0"/>
    </xf>
    <xf numFmtId="0" fontId="15" fillId="8" borderId="11" xfId="0" applyFont="1" applyFill="1" applyBorder="1" applyAlignment="1" applyProtection="1">
      <alignment horizontal="center" vertical="center" wrapText="1"/>
      <protection locked="0"/>
    </xf>
    <xf numFmtId="0" fontId="15" fillId="8" borderId="1" xfId="0" applyFont="1" applyFill="1" applyBorder="1" applyAlignment="1" applyProtection="1">
      <alignment horizontal="center" vertical="center" wrapText="1"/>
      <protection locked="0"/>
    </xf>
    <xf numFmtId="0" fontId="15" fillId="8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12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PB2652951000P</v>
      </c>
      <c r="C1" s="108"/>
      <c r="D1" s="109"/>
      <c r="E1" s="10" t="s">
        <v>57</v>
      </c>
      <c r="F1" s="119" t="s">
        <v>195</v>
      </c>
      <c r="G1" s="62"/>
      <c r="H1" s="63"/>
      <c r="I1" s="11" t="s">
        <v>181</v>
      </c>
      <c r="J1" s="120">
        <f ca="1">TODAY()</f>
        <v>46093</v>
      </c>
      <c r="K1" s="120"/>
      <c r="L1" s="121"/>
      <c r="M1" s="28"/>
      <c r="N1" s="10" t="s">
        <v>56</v>
      </c>
      <c r="O1" s="108" t="str">
        <f>B1</f>
        <v>PB2652951000P</v>
      </c>
      <c r="P1" s="108"/>
      <c r="Q1" s="109"/>
      <c r="R1" s="10" t="s">
        <v>57</v>
      </c>
      <c r="S1" s="108" t="str">
        <f>F1</f>
        <v>QRIC</v>
      </c>
      <c r="T1" s="108"/>
      <c r="U1" s="109"/>
      <c r="V1" s="10" t="s">
        <v>181</v>
      </c>
      <c r="W1" s="120">
        <f ca="1">J1</f>
        <v>46093</v>
      </c>
      <c r="X1" s="120"/>
      <c r="Y1" s="121"/>
    </row>
    <row r="2" spans="1:25" ht="20.100000000000001" customHeight="1" x14ac:dyDescent="0.25">
      <c r="A2" s="10" t="s">
        <v>100</v>
      </c>
      <c r="B2" s="108" t="str">
        <f>IF(U10="","",U10)</f>
        <v>QRIC</v>
      </c>
      <c r="C2" s="108"/>
      <c r="D2" s="109"/>
      <c r="E2" s="10" t="s">
        <v>58</v>
      </c>
      <c r="F2" s="62">
        <v>947960</v>
      </c>
      <c r="G2" s="62"/>
      <c r="H2" s="63"/>
      <c r="I2" s="10" t="s">
        <v>59</v>
      </c>
      <c r="J2" s="123">
        <v>45475</v>
      </c>
      <c r="K2" s="62"/>
      <c r="L2" s="63"/>
      <c r="M2" s="28"/>
      <c r="N2" s="10" t="s">
        <v>100</v>
      </c>
      <c r="O2" s="108" t="str">
        <f>IF(B2="","",B2)</f>
        <v>QRIC</v>
      </c>
      <c r="P2" s="108"/>
      <c r="Q2" s="109"/>
      <c r="R2" s="10" t="s">
        <v>58</v>
      </c>
      <c r="S2" s="108">
        <f>IF(F2="","",F2)</f>
        <v>947960</v>
      </c>
      <c r="T2" s="108"/>
      <c r="U2" s="109"/>
      <c r="V2" s="10" t="s">
        <v>59</v>
      </c>
      <c r="W2" s="122">
        <f>J2</f>
        <v>45475</v>
      </c>
      <c r="X2" s="108"/>
      <c r="Y2" s="109"/>
    </row>
    <row r="3" spans="1:25" ht="20.100000000000001" customHeight="1" x14ac:dyDescent="0.2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26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26000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265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100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5" t="s">
        <v>48</v>
      </c>
      <c r="H9" s="126" t="s">
        <v>199</v>
      </c>
      <c r="I9" s="127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265</v>
      </c>
      <c r="S9" s="17" t="s">
        <v>78</v>
      </c>
      <c r="T9" s="29">
        <v>295</v>
      </c>
      <c r="U9" s="17" t="s">
        <v>78</v>
      </c>
      <c r="V9" s="29">
        <v>100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18</v>
      </c>
      <c r="C10" s="63"/>
      <c r="D10" s="46" t="s">
        <v>134</v>
      </c>
      <c r="E10" s="128">
        <f>IF(ISNUMBER(SEARCH("sheet",O8,1)),((R9*T9*H8/540000)*U7/2000*1.3),((R9*T9*H8/540000)*U7/1000*1.08))</f>
        <v>406.51000000000005</v>
      </c>
      <c r="F10" s="129"/>
      <c r="G10" s="10" t="s">
        <v>53</v>
      </c>
      <c r="H10" s="132">
        <f>IF(ISNUMBER(SEARCH("sheet",O8,1)),(U7*T9/2000*1.08),(U7*T9/1000*1.08))</f>
        <v>8283.6</v>
      </c>
      <c r="I10" s="133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Yes</v>
      </c>
      <c r="S10" s="94"/>
      <c r="T10" s="13" t="s">
        <v>100</v>
      </c>
      <c r="U10" s="104" t="s">
        <v>195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30">
        <f>E10/B10</f>
        <v>22.583888888888893</v>
      </c>
      <c r="F11" s="131"/>
      <c r="G11" s="10" t="s">
        <v>15</v>
      </c>
      <c r="H11" s="130">
        <f>H10/B10</f>
        <v>460.20000000000005</v>
      </c>
      <c r="I11" s="131"/>
      <c r="J11" s="10" t="s">
        <v>50</v>
      </c>
      <c r="K11" s="62" t="s">
        <v>64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>P</v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69</v>
      </c>
      <c r="C13" s="62"/>
      <c r="D13" s="63"/>
      <c r="E13" s="18" t="s">
        <v>61</v>
      </c>
      <c r="F13" s="62" t="s">
        <v>66</v>
      </c>
      <c r="G13" s="62"/>
      <c r="H13" s="63"/>
      <c r="I13" s="10" t="s">
        <v>62</v>
      </c>
      <c r="J13" s="62" t="s">
        <v>150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26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 t="s">
        <v>198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150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203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8" t="s">
        <v>200</v>
      </c>
      <c r="B23" s="14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197</v>
      </c>
      <c r="P25" s="33"/>
      <c r="Q25" s="9">
        <v>28</v>
      </c>
      <c r="R25" s="9">
        <v>6</v>
      </c>
      <c r="S25" s="9">
        <v>6</v>
      </c>
      <c r="T25" s="9">
        <v>10</v>
      </c>
      <c r="U25" s="9"/>
      <c r="V25" s="9"/>
      <c r="W25" s="9">
        <v>165</v>
      </c>
      <c r="X25" s="9">
        <v>165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9">
        <v>110</v>
      </c>
      <c r="E27" s="58">
        <v>2.4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5" t="s">
        <v>202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DATE(YEAR(Sheet1!J1),MONTH(Sheet1!J1),DAY(Sheet1!J1)+28)</f>
        <v>46121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559EF94-61F8-40A1-8390-F53D30C4FC62}"/>
</file>

<file path=customXml/itemProps2.xml><?xml version="1.0" encoding="utf-8"?>
<ds:datastoreItem xmlns:ds="http://schemas.openxmlformats.org/officeDocument/2006/customXml" ds:itemID="{B183DF18-B2E7-459B-B1F1-C8AE0EEB6350}"/>
</file>

<file path=customXml/itemProps3.xml><?xml version="1.0" encoding="utf-8"?>
<ds:datastoreItem xmlns:ds="http://schemas.openxmlformats.org/officeDocument/2006/customXml" ds:itemID="{281AE09F-3714-4B33-B014-C90EE1DDF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2024-06-04T01:07:56Z</cp:lastPrinted>
  <dcterms:created xsi:type="dcterms:W3CDTF">2019-11-27T23:28:06Z</dcterms:created>
  <dcterms:modified xsi:type="dcterms:W3CDTF">2026-03-12T00:58:36Z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