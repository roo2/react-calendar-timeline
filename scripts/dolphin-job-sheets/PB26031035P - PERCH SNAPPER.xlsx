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1E2C989D-1E1C-4A15-B9C6-D85261831D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<sst xmlns="http://schemas.openxmlformats.org/spreadsheetml/2006/main" count="305" uniqueCount="199">
  <si>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</si>
  <si>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</si>
  <si>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</si>
  <si>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</si>
  <si>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</si>
  <si>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</si>
  <si>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</si>
  <si>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</si>
  <si>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</si>
  <si>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</si>
  <si>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</si>
  <si>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</si>
  <si>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</si>
  <si>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</si>
  <si>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</si>
  <si>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</si>
  <si>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</si>
  <si>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</si>
  <si>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</si>
  <si>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</si>
  <si>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</si>
  <si>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</si>
  <si>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</si>
  <si>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</si>
  <si>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</si>
  <si>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</si>
  <si>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</si>
  <si>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</si>
  <si>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</si>
  <si>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</si>
  <si>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</si>
  <si>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</si>
  <si>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</si>
  <si>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</si>
  <si>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</si>
  <si>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</si>
  <si>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</si>
  <si>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</si>
  <si>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</si>
  <si>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</si>
  <si>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</si>
  <si>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</si>
  <si>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</si>
  <si>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</si>
  <si>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</si>
  <si>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</si>
  <si>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</si>
  <si>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</si>
  <si>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</si>
  <si>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</si>
  <si>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</si>
  <si>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</si>
  <si>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</si>
  <si>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</si>
  <si>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</si>
  <si>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</si>
  <si>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</si>
  <si>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</si>
  <si>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</si>
  <si>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</si>
  <si>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</si>
  <si>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</si>
  <si>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</si>
  <si>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</si>
  <si>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</si>
  <si>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</si>
  <si>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</si>
  <si>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</si>
  <si>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</si>
  <si>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</si>
  <si>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</si>
  <si>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</si>
  <si>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</si>
  <si>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</si>
  <si>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</si>
  <si>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</si>
  <si>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</si>
  <si>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</si>
  <si>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</si>
  <si>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</si>
  <si>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</si>
  <si>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</si>
  <si>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</si>
  <si>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</si>
  <si>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</si>
  <si>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</si>
  <si>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</si>
  <si>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</si>
  <si>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</si>
  <si>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</si>
  <si>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</si>
  <si>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</si>
  <si>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</si>
  <si>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</si>
  <si>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</si>
  <si>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</si>
  <si>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</si>
  <si>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</si>
  <si>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</si>
  <si>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</si>
  <si>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</si>
  <si>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</si>
  <si>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</si>
  <si>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</si>
  <si>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</si>
  <si>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</si>
  <si>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</si>
  <si>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</si>
  <si>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</si>
  <si>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</si>
  <si>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</si>
  <si>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</si>
  <si>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</si>
  <si>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</si>
  <si>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</si>
  <si>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</si>
  <si>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</si>
  <si>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</si>
  <si>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</si>
  <si>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</si>
  <si>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</si>
  <si>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</si>
  <si>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</si>
  <si>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</si>
  <si>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</si>
  <si>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</si>
  <si>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</si>
  <si>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</si>
  <si>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</si>
  <si>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</si>
  <si>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</si>
  <si>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</si>
  <si>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</si>
  <si>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</si>
  <si>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</si>
  <si>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</si>
  <si>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</si>
  <si>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</si>
  <si>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</si>
  <si>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</si>
  <si>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</si>
  <si>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</si>
  <si>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</si>
  <si>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</si>
  <si>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</si>
  <si>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</si>
  <si>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</si>
  <si>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</si>
  <si>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</si>
  <si>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</si>
  <si>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</si>
  <si>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</si>
  <si>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</si>
  <si>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</si>
  <si>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</si>
  <si>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</si>
  <si>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</si>
  <si>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</si>
  <si>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</si>
  <si>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</si>
  <si>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</si>
  <si>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</si>
  <si>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</si>
  <si>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</si>
  <si>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</si>
  <si>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</si>
  <si>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</si>
  <si>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</si>
  <si>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</si>
  <si>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</si>
  <si>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</si>
  <si>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</si>
  <si>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</si>
  <si>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</si>
  <si>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</si>
  <si>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</si>
  <si>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</si>
  <si>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</si>
  <si>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</si>
  <si>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</si>
  <si>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</si>
  <si>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</si>
  <si>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</si>
  <si>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</si>
  <si>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</si>
  <si>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</si>
  <si>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</si>
  <si>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</si>
  <si>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</si>
  <si>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</si>
  <si>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</si>
  <si>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</si>
  <si>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</si>
  <si>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</si>
  <si>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</si>
  <si>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GLADSTONE CORAL </t>
  </si>
  <si>
    <t>MUST HAVE WATERPROOF SEALS - PLEASE CHECK FREQUENTLY</t>
  </si>
  <si>
    <t>PERCH/SNAPPER</t>
  </si>
  <si>
    <t>"PERCH/SNAPPER"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</si>
</sst>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PB26031035P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6">
        <f ca="1">TODAY()</f>
        <v>44126</v>
      </c>
      <c r="K1" s="136"/>
      <c r="L1" s="137"/>
      <c r="M1" s="34"/>
      <c r="N1" s="12" t="s">
        <v>56</v>
      </c>
      <c r="O1" s="123" t="str">
        <f>B1</f>
        <v>PB26031035P</v>
      </c>
      <c r="P1" s="123"/>
      <c r="Q1" s="124"/>
      <c r="R1" s="12" t="s">
        <v>57</v>
      </c>
      <c r="S1" s="123" t="str">
        <f>F1</f>
        <v xml:space="preserve">GLADSTONE CORAL </v>
      </c>
      <c r="T1" s="123"/>
      <c r="U1" s="124"/>
      <c r="V1" s="12" t="s">
        <v>181</v>
      </c>
      <c r="W1" s="136">
        <f ca="1">J1</f>
        <v>44126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PERCH/SNAPPER</v>
      </c>
      <c r="C2" s="123"/>
      <c r="D2" s="124"/>
      <c r="E2" s="12" t="s">
        <v>58</v>
      </c>
      <c r="F2" s="73">
        <v>938709</v>
      </c>
      <c r="G2" s="73"/>
      <c r="H2" s="74"/>
      <c r="I2" s="12" t="s">
        <v>59</v>
      </c>
      <c r="J2" s="139">
        <v>44152</v>
      </c>
      <c r="K2" s="73"/>
      <c r="L2" s="74"/>
      <c r="M2" s="34"/>
      <c r="N2" s="12" t="s">
        <v>100</v>
      </c>
      <c r="O2" s="123" t="str">
        <f>IF(B2="","",B2)</f>
        <v>PERCH/SNAPPER</v>
      </c>
      <c r="P2" s="123"/>
      <c r="Q2" s="124"/>
      <c r="R2" s="12" t="s">
        <v>58</v>
      </c>
      <c r="S2" s="123">
        <f>IF(F2="","",F2)</f>
        <v>938709</v>
      </c>
      <c r="T2" s="123"/>
      <c r="U2" s="124"/>
      <c r="V2" s="12" t="s">
        <v>59</v>
      </c>
      <c r="W2" s="138">
        <f>J2</f>
        <v>44152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WATERPROOF SEALS - PLEASE CHECK FREQUENTLY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6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6000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260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260</v>
      </c>
      <c r="S9" s="20" t="s">
        <v>78</v>
      </c>
      <c r="T9" s="35">
        <v>310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3</v>
      </c>
      <c r="C10" s="74"/>
      <c r="D10" s="54" t="s">
        <v>134</v>
      </c>
      <c r="E10" s="145">
        <f>IF(ISNUMBER(SEARCH("sheet",O8,1)),((R9*T9*H8/540000)*U7/2000*1.3),((R9*T9*H8/540000)*U7/1000*1.08))</f>
        <v>33.851999999999997</v>
      </c>
      <c r="F10" s="146"/>
      <c r="G10" s="12" t="s">
        <v>53</v>
      </c>
      <c r="H10" s="149">
        <f>IF(ISNUMBER(SEARCH("sheet",O8,1)),(U7*T9/2000*1.08),(U7*T9/1000*1.08))</f>
        <v>2008.8000000000002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197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11.283999999999999</v>
      </c>
      <c r="F11" s="148"/>
      <c r="G11" s="12" t="s">
        <v>15</v>
      </c>
      <c r="H11" s="147">
        <f>H10/B10</f>
        <v>669.6</v>
      </c>
      <c r="I11" s="148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177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B5A5F4F-65D4-41DA-BF31-E6DF7E6F1D00}"/>
</file>

<file path=customXml/itemProps2.xml><?xml version="1.0" encoding="utf-8"?>
<ds:datastoreItem xmlns:ds="http://schemas.openxmlformats.org/officeDocument/2006/customXml" ds:itemID="{49EA66E1-716E-4D01-869F-3D30C2322152}"/>
</file>

<file path=customXml/itemProps3.xml><?xml version="1.0" encoding="utf-8"?>
<ds:datastoreItem xmlns:ds="http://schemas.openxmlformats.org/officeDocument/2006/customXml" ds:itemID="{ACE0FC01-987A-4232-B235-0F20F2CC9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2020-10-22T05:30:32Z</cp:lastPrinted>
  <dcterms:created xsi:type="dcterms:W3CDTF">2019-11-27T23:28:06Z</dcterms:created>
  <dcterms:modified xsi:type="dcterms:W3CDTF">2020-10-22T05:30:57Z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