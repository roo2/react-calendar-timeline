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9419CB07-F19E-46E7-A3BD-113136AA064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<sst xmlns="http://schemas.openxmlformats.org/spreadsheetml/2006/main" count="307" uniqueCount="202">
  <si>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</si>
  <si>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</si>
  <si>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</si>
  <si>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</si>
  <si>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</si>
  <si>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</si>
  <si>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</si>
  <si>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</si>
  <si>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</si>
  <si>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</si>
  <si>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</si>
  <si>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</si>
  <si>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</si>
  <si>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</si>
  <si>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</si>
  <si>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</si>
  <si>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</si>
  <si>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</si>
  <si>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</si>
  <si>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</si>
  <si>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</si>
  <si>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</si>
  <si>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</si>
  <si>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</si>
  <si>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</si>
  <si>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</si>
  <si>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</si>
  <si>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</si>
  <si>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</si>
  <si>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</si>
  <si>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</si>
  <si>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</si>
  <si>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</si>
  <si>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</si>
  <si>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</si>
  <si>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</si>
  <si>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</si>
  <si>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</si>
  <si>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</si>
  <si>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</si>
  <si>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</si>
  <si>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</si>
  <si>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</si>
  <si>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</si>
  <si>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</si>
  <si>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</si>
  <si>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</si>
  <si>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</si>
  <si>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</si>
  <si>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</si>
  <si>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</si>
  <si>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</si>
  <si>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</si>
  <si>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</si>
  <si>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</si>
  <si>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</si>
  <si>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</si>
  <si>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</si>
  <si>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</si>
  <si>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</si>
  <si>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</si>
  <si>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</si>
  <si>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</si>
  <si>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</si>
  <si>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</si>
  <si>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</si>
  <si>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</si>
  <si>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</si>
  <si>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</si>
  <si>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</si>
  <si>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</si>
  <si>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</si>
  <si>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</si>
  <si>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</si>
  <si>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</si>
  <si>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</si>
  <si>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</si>
  <si>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</si>
  <si>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</si>
  <si>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</si>
  <si>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</si>
  <si>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</si>
  <si>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</si>
  <si>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</si>
  <si>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</si>
  <si>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</si>
  <si>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</si>
  <si>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</si>
  <si>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</si>
  <si>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</si>
  <si>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</si>
  <si>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</si>
  <si>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</si>
  <si>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</si>
  <si>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</si>
  <si>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</si>
  <si>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</si>
  <si>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</si>
  <si>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</si>
  <si>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</si>
  <si>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</si>
  <si>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</si>
  <si>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</si>
  <si>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</si>
  <si>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</si>
  <si>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</si>
  <si>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</si>
  <si>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</si>
  <si>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</si>
  <si>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</si>
  <si>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</si>
  <si>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</si>
  <si>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</si>
  <si>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</si>
  <si>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</si>
  <si>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</si>
  <si>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</si>
  <si>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</si>
  <si>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</si>
  <si>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</si>
  <si>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</si>
  <si>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</si>
  <si>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</si>
  <si>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</si>
  <si>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</si>
  <si>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</si>
  <si>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</si>
  <si>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</si>
  <si>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</si>
  <si>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</si>
  <si>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</si>
  <si>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</si>
  <si>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</si>
  <si>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</si>
  <si>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</si>
  <si>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</si>
  <si>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</si>
  <si>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</si>
  <si>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</si>
  <si>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</si>
  <si>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</si>
  <si>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</si>
  <si>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</si>
  <si>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</si>
  <si>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</si>
  <si>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</si>
  <si>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</si>
  <si>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</si>
  <si>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</si>
  <si>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</si>
  <si>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</si>
  <si>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</si>
  <si>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</si>
  <si>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</si>
  <si>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</si>
  <si>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</si>
  <si>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</si>
  <si>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</si>
  <si>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</si>
  <si>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</si>
  <si>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</si>
  <si>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</si>
  <si>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</si>
  <si>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</si>
  <si>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</si>
  <si>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</si>
  <si>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</si>
  <si>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</si>
  <si>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</si>
  <si>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</si>
  <si>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</si>
  <si>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</si>
  <si>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</si>
  <si>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</si>
  <si>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</si>
  <si>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</si>
  <si>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</si>
  <si>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</si>
  <si>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</si>
  <si>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</si>
  <si>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</si>
  <si>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</si>
  <si>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</si>
  <si>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</si>
  <si>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</si>
  <si>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</si>
  <si>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</si>
  <si>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</si>
  <si>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</si>
  <si>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</si>
  <si>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</si>
  <si>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</si>
  <si>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</si>
  <si>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</si>
  <si>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</si>
  <si>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HAVE WATER TIGHT SEALS - PLEASE CHECK FREQUENTLY</t>
  </si>
  <si>
    <t>LIMAX</t>
  </si>
  <si>
    <t>04.12.2020</t>
  </si>
  <si>
    <t>BARRIER REEF CORALS</t>
  </si>
  <si>
    <t>PB16039050</t>
  </si>
  <si>
    <t>OUTER BAG 1</t>
  </si>
  <si>
    <t xml:space="preserve"> +/5mm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</si>
</sst>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8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2" fontId="18" fillId="5" borderId="2" xfId="0" applyNumberFormat="1" applyFont="1" applyFill="1" applyBorder="1" applyAlignment="1" applyProtection="1">
      <alignment horizontal="center"/>
      <protection locked="0"/>
    </xf>
    <xf numFmtId="2" fontId="18" fillId="5" borderId="5" xfId="0" applyNumberFormat="1" applyFont="1" applyFill="1" applyBorder="1" applyAlignment="1" applyProtection="1">
      <alignment horizontal="center"/>
      <protection locked="0"/>
    </xf>
    <xf numFmtId="0" fontId="19" fillId="8" borderId="2" xfId="0" applyFont="1" applyFill="1" applyBorder="1" applyAlignment="1" applyProtection="1">
      <alignment horizontal="center"/>
    </xf>
    <xf numFmtId="0" fontId="19" fillId="8" borderId="5" xfId="0" applyFont="1" applyFill="1" applyBorder="1" applyAlignment="1" applyProtection="1">
      <alignment horizont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20" fillId="8" borderId="8" xfId="0" applyFont="1" applyFill="1" applyBorder="1" applyAlignment="1" applyProtection="1">
      <alignment horizontal="center" vertical="center"/>
      <protection locked="0"/>
    </xf>
    <xf numFmtId="0" fontId="20" fillId="8" borderId="1" xfId="0" applyFont="1" applyFill="1" applyBorder="1" applyAlignment="1" applyProtection="1">
      <alignment horizontal="center" vertical="center"/>
      <protection locked="0"/>
    </xf>
    <xf numFmtId="0" fontId="20" fillId="8" borderId="12" xfId="0" applyFont="1" applyFill="1" applyBorder="1" applyAlignment="1" applyProtection="1">
      <alignment horizontal="center" vertical="center"/>
      <protection locked="0"/>
    </xf>
    <xf numFmtId="0" fontId="21" fillId="9" borderId="7" xfId="0" applyFont="1" applyFill="1" applyBorder="1" applyAlignment="1" applyProtection="1">
      <alignment horizontal="center" vertical="center" wrapText="1"/>
      <protection locked="0"/>
    </xf>
    <xf numFmtId="0" fontId="21" fillId="9" borderId="3" xfId="0" applyFont="1" applyFill="1" applyBorder="1" applyAlignment="1" applyProtection="1">
      <alignment horizontal="center" vertical="center" wrapText="1"/>
      <protection locked="0"/>
    </xf>
    <xf numFmtId="0" fontId="21" fillId="9" borderId="8" xfId="0" applyFont="1" applyFill="1" applyBorder="1" applyAlignment="1" applyProtection="1">
      <alignment horizontal="center" vertical="center" wrapText="1"/>
      <protection locked="0"/>
    </xf>
    <xf numFmtId="0" fontId="21" fillId="9" borderId="9" xfId="0" applyFont="1" applyFill="1" applyBorder="1" applyAlignment="1" applyProtection="1">
      <alignment horizontal="center" vertical="center" wrapText="1"/>
      <protection locked="0"/>
    </xf>
    <xf numFmtId="0" fontId="21" fillId="9" borderId="0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 applyProtection="1">
      <alignment horizontal="center" vertical="center" wrapText="1"/>
      <protection locked="0"/>
    </xf>
    <xf numFmtId="0" fontId="21" fillId="9" borderId="11" xfId="0" applyFont="1" applyFill="1" applyBorder="1" applyAlignment="1" applyProtection="1">
      <alignment horizontal="center" vertical="center" wrapText="1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21" fillId="9" borderId="12" xfId="0" applyFont="1" applyFill="1" applyBorder="1" applyAlignment="1" applyProtection="1">
      <alignment horizontal="center" vertical="center" wrapText="1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Border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0" fontId="22" fillId="5" borderId="2" xfId="0" applyFont="1" applyFill="1" applyBorder="1" applyAlignment="1" applyProtection="1">
      <alignment horizontal="center"/>
      <protection locked="0"/>
    </xf>
    <xf numFmtId="0" fontId="22" fillId="5" borderId="5" xfId="0" applyFont="1" applyFill="1" applyBorder="1" applyAlignment="1" applyProtection="1">
      <alignment horizontal="center"/>
      <protection locked="0"/>
    </xf>
    <xf numFmtId="0" fontId="9" fillId="5" borderId="4" xfId="0" applyFont="1" applyFill="1" applyBorder="1" applyProtection="1"/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C18" sqref="AC18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19" t="s">
        <v>199</v>
      </c>
      <c r="C1" s="119"/>
      <c r="D1" s="120"/>
      <c r="E1" s="12" t="s">
        <v>57</v>
      </c>
      <c r="F1" s="121" t="s">
        <v>198</v>
      </c>
      <c r="G1" s="122"/>
      <c r="H1" s="123"/>
      <c r="I1" s="13" t="s">
        <v>181</v>
      </c>
      <c r="J1" s="124">
        <f ca="1">TODAY()</f>
        <v>44126</v>
      </c>
      <c r="K1" s="124"/>
      <c r="L1" s="125"/>
      <c r="M1" s="34"/>
      <c r="N1" s="12" t="s">
        <v>56</v>
      </c>
      <c r="O1" s="119" t="str">
        <f>B1</f>
        <v>PB16039050</v>
      </c>
      <c r="P1" s="119"/>
      <c r="Q1" s="120"/>
      <c r="R1" s="12" t="s">
        <v>57</v>
      </c>
      <c r="S1" s="119" t="str">
        <f>F1</f>
        <v>BARRIER REEF CORALS</v>
      </c>
      <c r="T1" s="119"/>
      <c r="U1" s="120"/>
      <c r="V1" s="12" t="s">
        <v>181</v>
      </c>
      <c r="W1" s="124">
        <f ca="1">J1</f>
        <v>44126</v>
      </c>
      <c r="X1" s="124"/>
      <c r="Y1" s="125"/>
    </row>
    <row r="2" spans="1:28" ht="20.100000000000001" customHeight="1" x14ac:dyDescent="0.35">
      <c r="A2" s="12" t="s">
        <v>100</v>
      </c>
      <c r="B2" s="157" t="s">
        <v>200</v>
      </c>
      <c r="C2" s="157"/>
      <c r="D2" s="158"/>
      <c r="E2" s="12" t="s">
        <v>58</v>
      </c>
      <c r="F2" s="73">
        <v>938751</v>
      </c>
      <c r="G2" s="73"/>
      <c r="H2" s="74"/>
      <c r="I2" s="12" t="s">
        <v>59</v>
      </c>
      <c r="J2" s="155" t="s">
        <v>197</v>
      </c>
      <c r="K2" s="155"/>
      <c r="L2" s="156"/>
      <c r="M2" s="34"/>
      <c r="N2" s="12" t="s">
        <v>100</v>
      </c>
      <c r="O2" s="119" t="str">
        <f>IF(B2="","",B2)</f>
        <v>OUTER BAG 1</v>
      </c>
      <c r="P2" s="119"/>
      <c r="Q2" s="120"/>
      <c r="R2" s="12" t="s">
        <v>58</v>
      </c>
      <c r="S2" s="119">
        <f>IF(F2="","",F2)</f>
        <v>938751</v>
      </c>
      <c r="T2" s="119"/>
      <c r="U2" s="120"/>
      <c r="V2" s="12" t="s">
        <v>59</v>
      </c>
      <c r="W2" s="126" t="str">
        <f>J2</f>
        <v>04.12.2020</v>
      </c>
      <c r="X2" s="119"/>
      <c r="Y2" s="120"/>
    </row>
    <row r="3" spans="1:28" ht="20.100000000000001" customHeight="1" x14ac:dyDescent="0.25">
      <c r="A3" s="163" t="s">
        <v>195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5"/>
      <c r="M3" s="34"/>
      <c r="N3" s="172" t="str">
        <f>A3</f>
        <v>MUST HAVE WATER TIGHT SEALS - PLEASE CHECK FREQUENTLY</v>
      </c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4"/>
    </row>
    <row r="4" spans="1:28" ht="20.100000000000001" customHeight="1" x14ac:dyDescent="0.25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8"/>
      <c r="M4" s="34"/>
      <c r="N4" s="175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7"/>
    </row>
    <row r="5" spans="1:28" ht="20.100000000000001" customHeight="1" x14ac:dyDescent="0.25">
      <c r="A5" s="169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34"/>
      <c r="N5" s="178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80"/>
    </row>
    <row r="6" spans="1:28" ht="20.100000000000001" customHeight="1" x14ac:dyDescent="0.2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9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19">
        <f>R7*O7</f>
        <v>9000</v>
      </c>
      <c r="V7" s="120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160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v>50</v>
      </c>
      <c r="I8" s="112"/>
      <c r="J8" s="12" t="s">
        <v>54</v>
      </c>
      <c r="K8" s="119" t="str">
        <f>IF(X8="None","Layflat Tube",IF(X8="","Layflat Tube",IF(X8="CF","Layflat Tube",IF(X8="G","Gusset Tube",IF(X9="","Layflat Tube",)))))</f>
        <v>Layflat Tube</v>
      </c>
      <c r="L8" s="120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3">
      <c r="A9" s="183" t="s">
        <v>48</v>
      </c>
      <c r="B9" s="181" t="s">
        <v>201</v>
      </c>
      <c r="C9" s="182"/>
      <c r="D9" s="138" t="str">
        <f>IF(K10="Middle","RUN 2 UP",IF(AND(O8="Centrefold Roll",B8=380),"RUN 2 UP",""))</f>
        <v/>
      </c>
      <c r="E9" s="115"/>
      <c r="F9" s="116"/>
      <c r="G9" s="18" t="s">
        <v>48</v>
      </c>
      <c r="H9" s="130" t="s">
        <v>194</v>
      </c>
      <c r="I9" s="131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160</v>
      </c>
      <c r="S9" s="20" t="s">
        <v>78</v>
      </c>
      <c r="T9" s="35">
        <v>390</v>
      </c>
      <c r="U9" s="20" t="s">
        <v>78</v>
      </c>
      <c r="V9" s="35">
        <v>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6</v>
      </c>
      <c r="C10" s="74"/>
      <c r="D10" s="54" t="s">
        <v>134</v>
      </c>
      <c r="E10" s="132">
        <f>IF(ISNUMBER(SEARCH("sheet",O8,1)),((R9*T9*H8/540000)*U7/2000*1.3),((R9*T9*H8/540000)*U7/1000*1.08))</f>
        <v>56.160000000000004</v>
      </c>
      <c r="F10" s="133"/>
      <c r="G10" s="12" t="s">
        <v>53</v>
      </c>
      <c r="H10" s="136">
        <f>IF(ISNUMBER(SEARCH("sheet",O8,1)),(U7*T9/2000*1.08),(U7*T9/1000*1.08))</f>
        <v>3790.8</v>
      </c>
      <c r="I10" s="137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59" t="s">
        <v>200</v>
      </c>
      <c r="V10" s="159"/>
      <c r="W10" s="159"/>
      <c r="X10" s="159"/>
      <c r="Y10" s="16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19" t="str">
        <f>IF(AND(O8="Centrefold Roll",D9="RUN 2 UP"),B10*2,IF(ISNUMBER(SEARCH("sheet",O8,1)),B10*2,""))</f>
        <v/>
      </c>
      <c r="C11" s="120"/>
      <c r="D11" s="12" t="s">
        <v>135</v>
      </c>
      <c r="E11" s="134">
        <f>E10/B10</f>
        <v>9.3600000000000012</v>
      </c>
      <c r="F11" s="135"/>
      <c r="G11" s="12" t="s">
        <v>15</v>
      </c>
      <c r="H11" s="134">
        <f>H10/B10</f>
        <v>631.80000000000007</v>
      </c>
      <c r="I11" s="135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61"/>
      <c r="V11" s="161"/>
      <c r="W11" s="161"/>
      <c r="X11" s="161"/>
      <c r="Y11" s="162"/>
    </row>
    <row r="12" spans="1:28" ht="20.100000000000001" customHeight="1" x14ac:dyDescent="0.25">
      <c r="A12" s="127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9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1" t="s">
        <v>4</v>
      </c>
      <c r="F16" s="151"/>
      <c r="G16" s="151" t="s">
        <v>5</v>
      </c>
      <c r="H16" s="151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150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2"/>
      <c r="B23" s="152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3"/>
      <c r="B24" s="154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196</v>
      </c>
      <c r="P25" s="39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39" t="s">
        <v>116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1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42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4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45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7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48" t="s">
        <v>136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50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44157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44147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C16CCEF-F7FB-4E57-A033-57DCC1AB5F18}"/>
</file>

<file path=customXml/itemProps2.xml><?xml version="1.0" encoding="utf-8"?>
<ds:datastoreItem xmlns:ds="http://schemas.openxmlformats.org/officeDocument/2006/customXml" ds:itemID="{A58B37AF-727D-4597-BA8B-E530926ED3CB}"/>
</file>

<file path=customXml/itemProps3.xml><?xml version="1.0" encoding="utf-8"?>
<ds:datastoreItem xmlns:ds="http://schemas.openxmlformats.org/officeDocument/2006/customXml" ds:itemID="{8BDD55C2-5721-42EE-A245-60AE87E9F1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2020-10-22T02:12:49Z</cp:lastPrinted>
  <dcterms:created xsi:type="dcterms:W3CDTF">2019-11-27T23:28:06Z</dcterms:created>
  <dcterms:modified xsi:type="dcterms:W3CDTF">2020-10-22T02:13:28Z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