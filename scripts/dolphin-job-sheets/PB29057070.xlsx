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8778C449-37B5-46E3-9B1A-A62E3488BF9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<sst xmlns="http://schemas.openxmlformats.org/spreadsheetml/2006/main" count="304" uniqueCount="200">
  <si>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</si>
  <si>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</si>
  <si>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</si>
  <si>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</si>
  <si>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</si>
  <si>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</si>
  <si>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</si>
  <si>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</si>
  <si>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</si>
  <si>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</si>
  <si>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</si>
  <si>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</si>
  <si>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</si>
  <si>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</si>
  <si>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</si>
  <si>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</si>
  <si>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</si>
  <si>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</si>
  <si>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</si>
  <si>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</si>
  <si>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</si>
  <si>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</si>
  <si>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</si>
  <si>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</si>
  <si>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</si>
  <si>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</si>
  <si>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</si>
  <si>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</si>
  <si>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</si>
  <si>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</si>
  <si>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</si>
  <si>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</si>
  <si>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</si>
  <si>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</si>
  <si>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</si>
  <si>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</si>
  <si>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</si>
  <si>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</si>
  <si>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</si>
  <si>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</si>
  <si>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</si>
  <si>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</si>
  <si>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</si>
  <si>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</si>
  <si>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</si>
  <si>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</si>
  <si>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</si>
  <si>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</si>
  <si>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</si>
  <si>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</si>
  <si>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</si>
  <si>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</si>
  <si>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</si>
  <si>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</si>
  <si>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</si>
  <si>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</si>
  <si>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</si>
  <si>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</si>
  <si>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</si>
  <si>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</si>
  <si>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</si>
  <si>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</si>
  <si>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</si>
  <si>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</si>
  <si>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</si>
  <si>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</si>
  <si>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</si>
  <si>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</si>
  <si>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</si>
  <si>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</si>
  <si>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</si>
  <si>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</si>
  <si>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</si>
  <si>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</si>
  <si>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</si>
  <si>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</si>
  <si>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</si>
  <si>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</si>
  <si>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</si>
  <si>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</si>
  <si>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</si>
  <si>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</si>
  <si>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</si>
  <si>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</si>
  <si>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</si>
  <si>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</si>
  <si>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</si>
  <si>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</si>
  <si>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</si>
  <si>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</si>
  <si>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</si>
  <si>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</si>
  <si>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</si>
  <si>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</si>
  <si>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</si>
  <si>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</si>
  <si>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</si>
  <si>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</si>
  <si>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</si>
  <si>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</si>
  <si>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</si>
  <si>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</si>
  <si>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</si>
  <si>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</si>
  <si>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</si>
  <si>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</si>
  <si>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</si>
  <si>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</si>
  <si>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</si>
  <si>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</si>
  <si>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</si>
  <si>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</si>
  <si>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</si>
  <si>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</si>
  <si>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</si>
  <si>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</si>
  <si>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</si>
  <si>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</si>
  <si>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</si>
  <si>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</si>
  <si>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</si>
  <si>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</si>
  <si>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</si>
  <si>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</si>
  <si>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</si>
  <si>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</si>
  <si>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</si>
  <si>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</si>
  <si>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</si>
  <si>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</si>
  <si>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</si>
  <si>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</si>
  <si>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</si>
  <si>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</si>
  <si>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</si>
  <si>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</si>
  <si>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</si>
  <si>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</si>
  <si>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</si>
  <si>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</si>
  <si>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</si>
  <si>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</si>
  <si>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</si>
  <si>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</si>
  <si>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</si>
  <si>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</si>
  <si>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</si>
  <si>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</si>
  <si>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</si>
  <si>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</si>
  <si>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</si>
  <si>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</si>
  <si>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</si>
  <si>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</si>
  <si>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</si>
  <si>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</si>
  <si>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</si>
  <si>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</si>
  <si>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</si>
  <si>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</si>
  <si>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</si>
  <si>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</si>
  <si>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</si>
  <si>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</si>
  <si>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</si>
  <si>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</si>
  <si>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</si>
  <si>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</si>
  <si>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</si>
  <si>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</si>
  <si>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</si>
  <si>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</si>
  <si>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</si>
  <si>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</si>
  <si>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</si>
  <si>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</si>
  <si>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</si>
  <si>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</si>
  <si>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</si>
  <si>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</si>
  <si>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</si>
  <si>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</si>
  <si>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</si>
  <si>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</si>
  <si>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</si>
  <si>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</si>
  <si>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</si>
  <si>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</si>
  <si>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</si>
  <si>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</si>
  <si>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</si>
  <si>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</si>
  <si>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</si>
  <si>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</si>
  <si>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GRUNSKES</t>
  </si>
  <si>
    <t xml:space="preserve"> +0mm/- 5mm</t>
  </si>
  <si>
    <t>RUN AT 65um</t>
  </si>
  <si>
    <t>WIDTH MUST NOT BE OVER 290MM - MUST HAVE WATER TIGHT SEALS</t>
  </si>
  <si>
    <t xml:space="preserve">LIMAXB 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</si>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</sst>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7" fillId="5" borderId="4" xfId="0" applyFont="1" applyFill="1" applyBorder="1"/>
    <xf numFmtId="0" fontId="18" fillId="5" borderId="4" xfId="0" applyFont="1" applyFill="1" applyBorder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5" borderId="2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4" t="str">
        <f>O9&amp;R9&amp;IF(X8="G","G","")&amp;IF(O8="Centrefold Roll","("&amp;E8&amp;")","")&amp;T9&amp;V9&amp;C22&amp;C23&amp;C24&amp;O11&amp;R11</f>
        <v>PB290570700</v>
      </c>
      <c r="C1" s="114"/>
      <c r="D1" s="115"/>
      <c r="E1" s="11" t="s">
        <v>57</v>
      </c>
      <c r="F1" s="90" t="s">
        <v>194</v>
      </c>
      <c r="G1" s="90"/>
      <c r="H1" s="91"/>
      <c r="I1" s="12" t="s">
        <v>181</v>
      </c>
      <c r="J1" s="87">
        <f ca="1">TODAY()</f>
        <v>45938</v>
      </c>
      <c r="K1" s="87"/>
      <c r="L1" s="88"/>
      <c r="M1" s="29"/>
      <c r="N1" s="11" t="s">
        <v>56</v>
      </c>
      <c r="O1" s="114" t="str">
        <f>B1</f>
        <v>PB290570700</v>
      </c>
      <c r="P1" s="114"/>
      <c r="Q1" s="115"/>
      <c r="R1" s="11" t="s">
        <v>57</v>
      </c>
      <c r="S1" s="114" t="str">
        <f>F1</f>
        <v>GRUNSKES</v>
      </c>
      <c r="T1" s="114"/>
      <c r="U1" s="115"/>
      <c r="V1" s="11" t="s">
        <v>181</v>
      </c>
      <c r="W1" s="87">
        <f ca="1">J1</f>
        <v>45938</v>
      </c>
      <c r="X1" s="87"/>
      <c r="Y1" s="88"/>
    </row>
    <row r="2" spans="1:25" ht="20.149999999999999" customHeight="1" x14ac:dyDescent="0.8">
      <c r="A2" s="11" t="s">
        <v>100</v>
      </c>
      <c r="B2" s="114" t="str">
        <f>IF(U10="","",U10)</f>
        <v/>
      </c>
      <c r="C2" s="114"/>
      <c r="D2" s="115"/>
      <c r="E2" s="11" t="s">
        <v>58</v>
      </c>
      <c r="F2" s="90">
        <v>950738</v>
      </c>
      <c r="G2" s="90"/>
      <c r="H2" s="91"/>
      <c r="I2" s="11" t="s">
        <v>59</v>
      </c>
      <c r="J2" s="89">
        <v>45569</v>
      </c>
      <c r="K2" s="90"/>
      <c r="L2" s="91"/>
      <c r="M2" s="29"/>
      <c r="N2" s="11" t="s">
        <v>100</v>
      </c>
      <c r="O2" s="114" t="str">
        <f>IF(B2="","",B2)</f>
        <v/>
      </c>
      <c r="P2" s="114"/>
      <c r="Q2" s="115"/>
      <c r="R2" s="11" t="s">
        <v>58</v>
      </c>
      <c r="S2" s="114">
        <f>IF(F2="","",F2)</f>
        <v>950738</v>
      </c>
      <c r="T2" s="114"/>
      <c r="U2" s="115"/>
      <c r="V2" s="11" t="s">
        <v>59</v>
      </c>
      <c r="W2" s="127">
        <f>J2</f>
        <v>45569</v>
      </c>
      <c r="X2" s="114"/>
      <c r="Y2" s="115"/>
    </row>
    <row r="3" spans="1:25" ht="20.149999999999999" customHeight="1" x14ac:dyDescent="0.75">
      <c r="A3" s="116" t="s">
        <v>197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29"/>
      <c r="N3" s="116" t="str">
        <f>A3</f>
        <v>WIDTH MUST NOT BE OVER 290MM - MUST HAVE WATER TIGHT SEALS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29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29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98" t="s">
        <v>2</v>
      </c>
      <c r="B6" s="99"/>
      <c r="C6" s="99"/>
      <c r="D6" s="99"/>
      <c r="E6" s="99"/>
      <c r="F6" s="99"/>
      <c r="G6" s="99"/>
      <c r="H6" s="99"/>
      <c r="I6" s="99"/>
      <c r="J6" s="100"/>
      <c r="K6" s="100"/>
      <c r="L6" s="101"/>
      <c r="M6" s="29"/>
      <c r="N6" s="113" t="s">
        <v>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</row>
    <row r="7" spans="1:25" ht="20.149999999999999" customHeight="1" x14ac:dyDescent="0.9">
      <c r="A7" s="11" t="s">
        <v>49</v>
      </c>
      <c r="B7" s="111" t="s">
        <v>163</v>
      </c>
      <c r="C7" s="111"/>
      <c r="D7" s="111"/>
      <c r="E7" s="111"/>
      <c r="F7" s="111"/>
      <c r="G7" s="111"/>
      <c r="H7" s="111"/>
      <c r="I7" s="112"/>
      <c r="J7" s="78" t="s">
        <v>179</v>
      </c>
      <c r="K7" s="78"/>
      <c r="L7" s="76"/>
      <c r="M7" s="29"/>
      <c r="N7" s="11" t="str">
        <f>IF(ISNUMBER(SEARCH("roll",O8,1)),"No. Rolls","No. Cartons")</f>
        <v>No. Cartons</v>
      </c>
      <c r="O7" s="90">
        <v>20</v>
      </c>
      <c r="P7" s="91"/>
      <c r="Q7" s="61" t="str">
        <f>IF(ISNUMBER(SEARCH("roll",O8,1)),"Per Roll","Per Carton")</f>
        <v>Per Carton</v>
      </c>
      <c r="R7" s="125">
        <v>500</v>
      </c>
      <c r="S7" s="126"/>
      <c r="T7" s="11" t="str">
        <f>IF(ISNUMBER(SEARCH("bag",O8,1)),"Total Bags","Total Sheets")</f>
        <v>Total Bags</v>
      </c>
      <c r="U7" s="114">
        <f>R7*O7</f>
        <v>10000</v>
      </c>
      <c r="V7" s="115"/>
      <c r="W7" s="11" t="s">
        <v>102</v>
      </c>
      <c r="X7" s="90" t="s">
        <v>23</v>
      </c>
      <c r="Y7" s="91"/>
    </row>
    <row r="8" spans="1:25" ht="20.149999999999999" customHeight="1" x14ac:dyDescent="0.8">
      <c r="A8" s="13" t="s">
        <v>16</v>
      </c>
      <c r="B8" s="92">
        <f>R9</f>
        <v>290</v>
      </c>
      <c r="C8" s="93"/>
      <c r="D8" s="27" t="str">
        <f>IF(ISNUMBER(SEARCH("bag",O8,1)),"Gusset","Centrefold")</f>
        <v>Gusset</v>
      </c>
      <c r="E8" s="92" t="str">
        <f>IF(O8="Centrefold Roll",B8*2,IF(X9="","None",X9))</f>
        <v>None</v>
      </c>
      <c r="F8" s="93"/>
      <c r="G8" s="13" t="s">
        <v>52</v>
      </c>
      <c r="H8" s="92">
        <f>(IF(V9&lt;30,"30",V9))</f>
        <v>70</v>
      </c>
      <c r="I8" s="93"/>
      <c r="J8" s="11" t="s">
        <v>54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29"/>
      <c r="N8" s="14" t="s">
        <v>54</v>
      </c>
      <c r="O8" s="130" t="s">
        <v>164</v>
      </c>
      <c r="P8" s="13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None</v>
      </c>
      <c r="Y8" s="129"/>
    </row>
    <row r="9" spans="1:25" ht="20.149999999999999" customHeight="1" x14ac:dyDescent="0.9">
      <c r="A9" s="16" t="s">
        <v>48</v>
      </c>
      <c r="B9" s="102" t="s">
        <v>195</v>
      </c>
      <c r="C9" s="103"/>
      <c r="D9" s="110" t="str">
        <f>IF(K10="Middle","RUN 2 UP",IF(AND(O8="Centrefold Roll",B8=380),"RUN 2 UP",""))</f>
        <v/>
      </c>
      <c r="E9" s="111"/>
      <c r="F9" s="112"/>
      <c r="G9" s="16" t="s">
        <v>48</v>
      </c>
      <c r="H9" s="102" t="s">
        <v>196</v>
      </c>
      <c r="I9" s="103"/>
      <c r="J9" s="11" t="s">
        <v>55</v>
      </c>
      <c r="K9" s="90" t="s">
        <v>30</v>
      </c>
      <c r="L9" s="91"/>
      <c r="M9" s="29"/>
      <c r="N9" s="17"/>
      <c r="O9" s="132" t="str">
        <f>IF(O8="Poly Bag","PB",IF(O8="Poly Bag Roll","PBR",IF(O8="Centrefold Roll","CFR",IF(O8="Sheet","S",IF(O8="Sheet Roll","SR")))))</f>
        <v>PB</v>
      </c>
      <c r="P9" s="133"/>
      <c r="Q9" s="17"/>
      <c r="R9" s="30">
        <v>290</v>
      </c>
      <c r="S9" s="18" t="s">
        <v>78</v>
      </c>
      <c r="T9" s="30">
        <v>570</v>
      </c>
      <c r="U9" s="18" t="s">
        <v>78</v>
      </c>
      <c r="V9" s="30">
        <v>70</v>
      </c>
      <c r="W9" s="17"/>
      <c r="X9" s="141"/>
      <c r="Y9" s="142"/>
    </row>
    <row r="10" spans="1:25" ht="20.149999999999999" customHeight="1" x14ac:dyDescent="0.8">
      <c r="A10" s="11" t="s">
        <v>51</v>
      </c>
      <c r="B10" s="90">
        <v>11</v>
      </c>
      <c r="C10" s="91"/>
      <c r="D10" s="47" t="s">
        <v>134</v>
      </c>
      <c r="E10" s="104">
        <f>IF(ISNUMBER(SEARCH("sheet",O8,1)),((R9*T9*H8/540000)*U7/2000*1.3),((R9*T9*H8/540000)*U7/1000*1.08))</f>
        <v>231.42000000000002</v>
      </c>
      <c r="F10" s="105"/>
      <c r="G10" s="11" t="s">
        <v>53</v>
      </c>
      <c r="H10" s="108">
        <f>IF(ISNUMBER(SEARCH("sheet",O8,1)),(U7*T9/2000*1.08),(U7*T9/1000*1.08))</f>
        <v>6156</v>
      </c>
      <c r="I10" s="109"/>
      <c r="J10" s="11" t="s">
        <v>41</v>
      </c>
      <c r="K10" s="90" t="s">
        <v>44</v>
      </c>
      <c r="L10" s="91"/>
      <c r="M10" s="29"/>
      <c r="N10" s="14" t="s">
        <v>141</v>
      </c>
      <c r="O10" s="130" t="s">
        <v>44</v>
      </c>
      <c r="P10" s="131"/>
      <c r="Q10" s="14" t="s">
        <v>50</v>
      </c>
      <c r="R10" s="128" t="str">
        <f>IF(K11="NONE","None",IF(K11="INLINE","Yes",IF(K11="OUT OF LINE","Yes")))</f>
        <v>None</v>
      </c>
      <c r="S10" s="128"/>
      <c r="T10" s="14" t="s">
        <v>100</v>
      </c>
      <c r="U10" s="135"/>
      <c r="V10" s="135"/>
      <c r="W10" s="135"/>
      <c r="X10" s="135"/>
      <c r="Y10" s="13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1" t="s">
        <v>135</v>
      </c>
      <c r="E11" s="106">
        <f>E10/B10</f>
        <v>21.038181818181819</v>
      </c>
      <c r="F11" s="107"/>
      <c r="G11" s="11" t="s">
        <v>15</v>
      </c>
      <c r="H11" s="106">
        <f>H10/B10</f>
        <v>559.63636363636363</v>
      </c>
      <c r="I11" s="107"/>
      <c r="J11" s="11" t="s">
        <v>50</v>
      </c>
      <c r="K11" s="90" t="s">
        <v>44</v>
      </c>
      <c r="L11" s="91"/>
      <c r="M11" s="29"/>
      <c r="N11" s="13"/>
      <c r="O11" s="92" t="str">
        <f>IF(O10="NONE","","V")</f>
        <v/>
      </c>
      <c r="P11" s="93"/>
      <c r="Q11" s="13"/>
      <c r="R11" s="92" t="str">
        <f>IF(R10="None","","P")</f>
        <v/>
      </c>
      <c r="S11" s="93"/>
      <c r="T11" s="13"/>
      <c r="U11" s="137"/>
      <c r="V11" s="137"/>
      <c r="W11" s="137"/>
      <c r="X11" s="137"/>
      <c r="Y11" s="138"/>
    </row>
    <row r="12" spans="1:25" ht="20.149999999999999" customHeight="1" x14ac:dyDescent="0.75">
      <c r="A12" s="94" t="s">
        <v>13</v>
      </c>
      <c r="B12" s="95"/>
      <c r="C12" s="95"/>
      <c r="D12" s="95"/>
      <c r="E12" s="96"/>
      <c r="F12" s="96"/>
      <c r="G12" s="96"/>
      <c r="H12" s="96"/>
      <c r="I12" s="96"/>
      <c r="J12" s="96"/>
      <c r="K12" s="96"/>
      <c r="L12" s="97"/>
      <c r="M12" s="29"/>
      <c r="N12" s="134" t="s">
        <v>71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0.149999999999999" customHeight="1" x14ac:dyDescent="0.8">
      <c r="A13" s="11" t="s">
        <v>68</v>
      </c>
      <c r="B13" s="90" t="s">
        <v>44</v>
      </c>
      <c r="C13" s="90"/>
      <c r="D13" s="91"/>
      <c r="E13" s="19" t="s">
        <v>61</v>
      </c>
      <c r="F13" s="90" t="s">
        <v>44</v>
      </c>
      <c r="G13" s="90"/>
      <c r="H13" s="91"/>
      <c r="I13" s="11" t="s">
        <v>62</v>
      </c>
      <c r="J13" s="90" t="s">
        <v>44</v>
      </c>
      <c r="K13" s="90"/>
      <c r="L13" s="91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60" t="s">
        <v>75</v>
      </c>
      <c r="W13" s="59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29"/>
      <c r="N14" s="134" t="s">
        <v>110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1"/>
    </row>
    <row r="15" spans="1:25" ht="20.149999999999999" customHeight="1" x14ac:dyDescent="0.75">
      <c r="A15" s="113" t="s">
        <v>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29"/>
      <c r="N15" s="75" t="s">
        <v>108</v>
      </c>
      <c r="O15" s="78"/>
      <c r="P15" s="76"/>
      <c r="Q15" s="75" t="s">
        <v>107</v>
      </c>
      <c r="R15" s="78"/>
      <c r="S15" s="76"/>
      <c r="T15" s="75" t="s">
        <v>118</v>
      </c>
      <c r="U15" s="78"/>
      <c r="V15" s="76"/>
      <c r="W15" s="75" t="s">
        <v>117</v>
      </c>
      <c r="X15" s="78"/>
      <c r="Y15" s="76"/>
    </row>
    <row r="16" spans="1:25" ht="20.149999999999999" customHeight="1" x14ac:dyDescent="0.8">
      <c r="A16" s="75" t="s">
        <v>3</v>
      </c>
      <c r="B16" s="76"/>
      <c r="C16" s="75" t="s">
        <v>142</v>
      </c>
      <c r="D16" s="76"/>
      <c r="E16" s="79" t="s">
        <v>4</v>
      </c>
      <c r="F16" s="79"/>
      <c r="G16" s="79" t="s">
        <v>5</v>
      </c>
      <c r="H16" s="79"/>
      <c r="I16" s="78" t="s">
        <v>11</v>
      </c>
      <c r="J16" s="76"/>
      <c r="K16" s="78" t="s">
        <v>12</v>
      </c>
      <c r="L16" s="76"/>
      <c r="M16" s="29"/>
      <c r="N16" s="11" t="s">
        <v>28</v>
      </c>
      <c r="O16" s="90">
        <v>110</v>
      </c>
      <c r="P16" s="91"/>
      <c r="Q16" s="11" t="s">
        <v>105</v>
      </c>
      <c r="R16" s="90" t="s">
        <v>31</v>
      </c>
      <c r="S16" s="91"/>
      <c r="T16" s="12" t="s">
        <v>103</v>
      </c>
      <c r="U16" s="90" t="s">
        <v>31</v>
      </c>
      <c r="V16" s="91"/>
      <c r="W16" s="11" t="str">
        <f>IF(ISNUMBER(SEARCH("bag",O8,1)),"Total Bags","Total Sheets")</f>
        <v>Total Bags</v>
      </c>
      <c r="X16" s="144"/>
      <c r="Y16" s="145"/>
    </row>
    <row r="17" spans="1:25" ht="20.149999999999999" customHeight="1" x14ac:dyDescent="0.8">
      <c r="A17" s="77" t="s">
        <v>6</v>
      </c>
      <c r="B17" s="77"/>
      <c r="C17" s="80" t="s">
        <v>147</v>
      </c>
      <c r="D17" s="81"/>
      <c r="E17" s="85"/>
      <c r="F17" s="86"/>
      <c r="G17" s="48" t="s">
        <v>81</v>
      </c>
      <c r="H17" s="32"/>
      <c r="I17" s="85"/>
      <c r="J17" s="86"/>
      <c r="K17" s="85"/>
      <c r="L17" s="86"/>
      <c r="M17" s="29"/>
      <c r="N17" s="11" t="s">
        <v>26</v>
      </c>
      <c r="O17" s="90" t="s">
        <v>35</v>
      </c>
      <c r="P17" s="91"/>
      <c r="Q17" s="11" t="s">
        <v>104</v>
      </c>
      <c r="R17" s="90" t="s">
        <v>31</v>
      </c>
      <c r="S17" s="91"/>
      <c r="T17" s="12" t="str">
        <f>IF(ISNUMBER(SEARCH("roll",O8,1)),"Part Rolls","Part Ctns")</f>
        <v>Part Ctns</v>
      </c>
      <c r="U17" s="90" t="s">
        <v>31</v>
      </c>
      <c r="V17" s="91"/>
      <c r="W17" s="11" t="str">
        <f>IF(ISNUMBER(SEARCH("roll",O8,1)),"Total Rolls","Total Ctns")</f>
        <v>Total Ctns</v>
      </c>
      <c r="X17" s="144"/>
      <c r="Y17" s="145"/>
    </row>
    <row r="18" spans="1:25" ht="20.149999999999999" customHeight="1" x14ac:dyDescent="0.8">
      <c r="A18" s="77" t="s">
        <v>7</v>
      </c>
      <c r="B18" s="77"/>
      <c r="C18" s="80" t="s">
        <v>146</v>
      </c>
      <c r="D18" s="81"/>
      <c r="E18" s="85"/>
      <c r="F18" s="86"/>
      <c r="G18" s="48" t="s">
        <v>82</v>
      </c>
      <c r="H18" s="32"/>
      <c r="I18" s="85"/>
      <c r="J18" s="86"/>
      <c r="K18" s="85"/>
      <c r="L18" s="86"/>
      <c r="M18" s="29"/>
      <c r="N18" s="11" t="s">
        <v>101</v>
      </c>
      <c r="O18" s="90" t="s">
        <v>38</v>
      </c>
      <c r="P18" s="91"/>
      <c r="Q18" s="11" t="s">
        <v>106</v>
      </c>
      <c r="R18" s="90" t="s">
        <v>31</v>
      </c>
      <c r="S18" s="91"/>
      <c r="T18" s="21" t="s">
        <v>27</v>
      </c>
      <c r="U18" s="90" t="s">
        <v>36</v>
      </c>
      <c r="V18" s="91"/>
      <c r="W18" s="11" t="s">
        <v>109</v>
      </c>
      <c r="X18" s="144"/>
      <c r="Y18" s="145"/>
    </row>
    <row r="19" spans="1:25" ht="20.149999999999999" customHeight="1" x14ac:dyDescent="0.75">
      <c r="A19" s="77" t="s">
        <v>8</v>
      </c>
      <c r="B19" s="77"/>
      <c r="C19" s="80" t="s">
        <v>145</v>
      </c>
      <c r="D19" s="81"/>
      <c r="E19" s="85"/>
      <c r="F19" s="86"/>
      <c r="G19" s="48" t="s">
        <v>83</v>
      </c>
      <c r="H19" s="32"/>
      <c r="I19" s="85"/>
      <c r="J19" s="86"/>
      <c r="K19" s="85"/>
      <c r="L19" s="86"/>
      <c r="M19" s="29"/>
      <c r="N19" s="63" t="s">
        <v>116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9</v>
      </c>
      <c r="B20" s="77"/>
      <c r="C20" s="80" t="s">
        <v>144</v>
      </c>
      <c r="D20" s="81"/>
      <c r="E20" s="85"/>
      <c r="F20" s="86"/>
      <c r="G20" s="48" t="s">
        <v>84</v>
      </c>
      <c r="H20" s="32"/>
      <c r="I20" s="85"/>
      <c r="J20" s="86"/>
      <c r="K20" s="85"/>
      <c r="L20" s="86"/>
      <c r="M20" s="29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10</v>
      </c>
      <c r="B21" s="77"/>
      <c r="C21" s="80" t="s">
        <v>143</v>
      </c>
      <c r="D21" s="81"/>
      <c r="E21" s="85"/>
      <c r="F21" s="86"/>
      <c r="G21" s="48" t="s">
        <v>85</v>
      </c>
      <c r="H21" s="32"/>
      <c r="I21" s="85"/>
      <c r="J21" s="86"/>
      <c r="K21" s="85"/>
      <c r="L21" s="86"/>
      <c r="M21" s="29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48" t="s">
        <v>86</v>
      </c>
      <c r="H22" s="32"/>
      <c r="I22" s="85"/>
      <c r="J22" s="86"/>
      <c r="K22" s="85"/>
      <c r="L22" s="86"/>
      <c r="M22" s="29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2" t="s">
        <v>199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/>
      <c r="F23" s="86"/>
      <c r="G23" s="48" t="s">
        <v>87</v>
      </c>
      <c r="H23" s="32"/>
      <c r="I23" s="85"/>
      <c r="J23" s="86"/>
      <c r="K23" s="85"/>
      <c r="L23" s="86"/>
      <c r="M23" s="29"/>
      <c r="N23" s="134" t="s">
        <v>133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48" t="s">
        <v>88</v>
      </c>
      <c r="H24" s="32"/>
      <c r="I24" s="85"/>
      <c r="J24" s="86"/>
      <c r="K24" s="85"/>
      <c r="L24" s="86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3" t="s">
        <v>1</v>
      </c>
      <c r="B25" s="96"/>
      <c r="C25" s="96"/>
      <c r="D25" s="96"/>
      <c r="E25" s="96"/>
      <c r="F25" s="95"/>
      <c r="G25" s="95"/>
      <c r="H25" s="95"/>
      <c r="I25" s="95"/>
      <c r="J25" s="95"/>
      <c r="K25" s="96"/>
      <c r="L25" s="97"/>
      <c r="M25" s="29"/>
      <c r="N25" s="22" t="s">
        <v>96</v>
      </c>
      <c r="O25" s="10" t="s">
        <v>198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3" t="s">
        <v>132</v>
      </c>
      <c r="H26" s="143"/>
      <c r="I26" s="143" t="s">
        <v>131</v>
      </c>
      <c r="J26" s="143"/>
      <c r="K26" s="24" t="s">
        <v>94</v>
      </c>
      <c r="L26" s="24" t="s">
        <v>95</v>
      </c>
      <c r="M26" s="29"/>
      <c r="N26" s="113" t="s">
        <v>137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62"/>
      <c r="H27" s="62"/>
      <c r="I27" s="62"/>
      <c r="J27" s="6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62"/>
      <c r="H28" s="62"/>
      <c r="I28" s="62"/>
      <c r="J28" s="6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4" t="s">
        <v>99</v>
      </c>
      <c r="B29" s="95"/>
      <c r="C29" s="95"/>
      <c r="D29" s="95"/>
      <c r="E29" s="95"/>
      <c r="F29" s="139"/>
      <c r="G29" s="139"/>
      <c r="H29" s="139"/>
      <c r="I29" s="139"/>
      <c r="J29" s="139"/>
      <c r="K29" s="95"/>
      <c r="L29" s="140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3" t="s">
        <v>116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72" t="s">
        <v>136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45969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45959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4C3CA1-74D9-4894-9AFC-54E9914436E2}"/>
</file>

<file path=customXml/itemProps2.xml><?xml version="1.0" encoding="utf-8"?>
<ds:datastoreItem xmlns:ds="http://schemas.openxmlformats.org/officeDocument/2006/customXml" ds:itemID="{1495D0F6-3DBE-4801-9780-65440D088437}"/>
</file>

<file path=customXml/itemProps3.xml><?xml version="1.0" encoding="utf-8"?>
<ds:datastoreItem xmlns:ds="http://schemas.openxmlformats.org/officeDocument/2006/customXml" ds:itemID="{73964C71-8B7A-4E92-A639-669CE9676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2025-10-02T04:29:41Z</cp:lastPrinted>
  <dcterms:created xsi:type="dcterms:W3CDTF">2019-11-27T23:28:06Z</dcterms:created>
  <dcterms:modified xsi:type="dcterms:W3CDTF">2025-10-09T00:32:40Z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