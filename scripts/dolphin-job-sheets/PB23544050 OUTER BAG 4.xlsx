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C338D29-4C27-4E05-8D3B-D25FC4D51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<sst xmlns="http://schemas.openxmlformats.org/spreadsheetml/2006/main" count="306" uniqueCount="202">
  <si>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</si>
  <si>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</si>
  <si>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</si>
  <si>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</si>
  <si>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</si>
  <si>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</si>
  <si>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</si>
  <si>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</si>
  <si>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</si>
  <si>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</si>
  <si>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</si>
  <si>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</si>
  <si>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</si>
  <si>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</si>
  <si>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</si>
  <si>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</si>
  <si>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</si>
  <si>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</si>
  <si>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</si>
  <si>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</si>
  <si>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</si>
  <si>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</si>
  <si>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</si>
  <si>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</si>
  <si>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</si>
  <si>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</si>
  <si>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</si>
  <si>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</si>
  <si>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</si>
  <si>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</si>
  <si>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</si>
  <si>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</si>
  <si>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</si>
  <si>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</si>
  <si>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</si>
  <si>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</si>
  <si>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</si>
  <si>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</si>
  <si>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</si>
  <si>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</si>
  <si>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</si>
  <si>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</si>
  <si>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</si>
  <si>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</si>
  <si>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</si>
  <si>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</si>
  <si>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</si>
  <si>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</si>
  <si>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</si>
  <si>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</si>
  <si>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</si>
  <si>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</si>
  <si>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</si>
  <si>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</si>
  <si>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</si>
  <si>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</si>
  <si>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</si>
  <si>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</si>
  <si>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</si>
  <si>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</si>
  <si>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</si>
  <si>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</si>
  <si>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</si>
  <si>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</si>
  <si>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</si>
  <si>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</si>
  <si>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</si>
  <si>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</si>
  <si>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</si>
  <si>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</si>
  <si>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</si>
  <si>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</si>
  <si>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</si>
  <si>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</si>
  <si>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</si>
  <si>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</si>
  <si>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</si>
  <si>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</si>
  <si>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</si>
  <si>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</si>
  <si>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</si>
  <si>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</si>
  <si>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</si>
  <si>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</si>
  <si>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</si>
  <si>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</si>
  <si>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</si>
  <si>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</si>
  <si>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</si>
  <si>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</si>
  <si>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</si>
  <si>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</si>
  <si>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</si>
  <si>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</si>
  <si>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</si>
  <si>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</si>
  <si>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</si>
  <si>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</si>
  <si>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</si>
  <si>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</si>
  <si>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</si>
  <si>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</si>
  <si>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</si>
  <si>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</si>
  <si>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</si>
  <si>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</si>
  <si>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</si>
  <si>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</si>
  <si>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</si>
  <si>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</si>
  <si>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</si>
  <si>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</si>
  <si>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</si>
  <si>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</si>
  <si>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</si>
  <si>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</si>
  <si>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</si>
  <si>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</si>
  <si>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</si>
  <si>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</si>
  <si>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</si>
  <si>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</si>
  <si>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</si>
  <si>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</si>
  <si>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</si>
  <si>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</si>
  <si>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</si>
  <si>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</si>
  <si>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</si>
  <si>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</si>
  <si>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</si>
  <si>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</si>
  <si>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</si>
  <si>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</si>
  <si>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</si>
  <si>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</si>
  <si>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</si>
  <si>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</si>
  <si>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</si>
  <si>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</si>
  <si>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</si>
  <si>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</si>
  <si>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</si>
  <si>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</si>
  <si>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</si>
  <si>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</si>
  <si>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</si>
  <si>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</si>
  <si>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</si>
  <si>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</si>
  <si>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</si>
  <si>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</si>
  <si>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</si>
  <si>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</si>
  <si>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</si>
  <si>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</si>
  <si>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</si>
  <si>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</si>
  <si>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</si>
  <si>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</si>
  <si>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</si>
  <si>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</si>
  <si>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</si>
  <si>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</si>
  <si>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</si>
  <si>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</si>
  <si>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</si>
  <si>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</si>
  <si>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</si>
  <si>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</si>
  <si>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</si>
  <si>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</si>
  <si>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</si>
  <si>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</si>
  <si>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</si>
  <si>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</si>
  <si>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</si>
  <si>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</si>
  <si>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</si>
  <si>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</si>
  <si>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</si>
  <si>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</si>
  <si>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</si>
  <si>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</si>
  <si>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</si>
  <si>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</si>
  <si>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</si>
  <si>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</si>
  <si>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</si>
  <si>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</si>
  <si>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</si>
  <si>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</si>
  <si>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</si>
  <si>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</si>
  <si>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</si>
  <si>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</si>
  <si>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</si>
  <si>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BARRIER REEF CORALS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</si>
  <si>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</si>
  <si>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PB23544050</t>
  </si>
  <si>
    <t xml:space="preserve">OUTER BAG 4 </t>
  </si>
  <si>
    <t>OUTER BAG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</si>
</sst>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9" fillId="5" borderId="4" xfId="0" applyFont="1" applyFill="1" applyBorder="1" applyProtection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14" fontId="18" fillId="5" borderId="2" xfId="0" applyNumberFormat="1" applyFont="1" applyFill="1" applyBorder="1" applyAlignment="1" applyProtection="1">
      <alignment horizontal="center"/>
      <protection locked="0"/>
    </xf>
    <xf numFmtId="14" fontId="18" fillId="5" borderId="5" xfId="0" applyNumberFormat="1" applyFont="1" applyFill="1" applyBorder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">
        <v>199</v>
      </c>
      <c r="C1" s="124"/>
      <c r="D1" s="125"/>
      <c r="E1" s="12" t="s">
        <v>57</v>
      </c>
      <c r="F1" s="137" t="s">
        <v>197</v>
      </c>
      <c r="G1" s="138"/>
      <c r="H1" s="139"/>
      <c r="I1" s="13" t="s">
        <v>181</v>
      </c>
      <c r="J1" s="96">
        <f ca="1">TODAY()</f>
        <v>44372</v>
      </c>
      <c r="K1" s="96"/>
      <c r="L1" s="97"/>
      <c r="M1" s="34"/>
      <c r="N1" s="12" t="s">
        <v>56</v>
      </c>
      <c r="O1" s="124" t="str">
        <f>B1</f>
        <v>PB23544050</v>
      </c>
      <c r="P1" s="124"/>
      <c r="Q1" s="125"/>
      <c r="R1" s="12" t="s">
        <v>57</v>
      </c>
      <c r="S1" s="124" t="str">
        <f>F1</f>
        <v>BARRIER REEF CORALS</v>
      </c>
      <c r="T1" s="124"/>
      <c r="U1" s="125"/>
      <c r="V1" s="12" t="s">
        <v>181</v>
      </c>
      <c r="W1" s="96">
        <f ca="1">J1</f>
        <v>44372</v>
      </c>
      <c r="X1" s="96"/>
      <c r="Y1" s="97"/>
    </row>
    <row r="2" spans="1:28" ht="20.100000000000001" customHeight="1" x14ac:dyDescent="0.35">
      <c r="A2" s="12" t="s">
        <v>100</v>
      </c>
      <c r="B2" s="126" t="s">
        <v>200</v>
      </c>
      <c r="C2" s="126"/>
      <c r="D2" s="127"/>
      <c r="E2" s="12" t="s">
        <v>58</v>
      </c>
      <c r="F2" s="98">
        <v>940653</v>
      </c>
      <c r="G2" s="98"/>
      <c r="H2" s="99"/>
      <c r="I2" s="12" t="s">
        <v>59</v>
      </c>
      <c r="J2" s="182">
        <v>44393</v>
      </c>
      <c r="K2" s="182"/>
      <c r="L2" s="183"/>
      <c r="M2" s="34"/>
      <c r="N2" s="12" t="s">
        <v>100</v>
      </c>
      <c r="O2" s="126" t="str">
        <f>IF(B2="","",B2)</f>
        <v xml:space="preserve">OUTER BAG 4 </v>
      </c>
      <c r="P2" s="126"/>
      <c r="Q2" s="127"/>
      <c r="R2" s="12" t="s">
        <v>58</v>
      </c>
      <c r="S2" s="124">
        <f>IF(F2="","",F2)</f>
        <v>940653</v>
      </c>
      <c r="T2" s="124"/>
      <c r="U2" s="125"/>
      <c r="V2" s="12" t="s">
        <v>59</v>
      </c>
      <c r="W2" s="149">
        <f>J2</f>
        <v>44393</v>
      </c>
      <c r="X2" s="124"/>
      <c r="Y2" s="125"/>
    </row>
    <row r="3" spans="1:28" ht="20.100000000000001" customHeight="1" x14ac:dyDescent="0.25">
      <c r="A3" s="128" t="s">
        <v>195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40" t="str">
        <f>A3</f>
        <v>MUST HAVE WATER TIGHT SEALS - PLEASE CHECK FREQUENTLY</v>
      </c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2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43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5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46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8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3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21" t="s">
        <v>163</v>
      </c>
      <c r="C7" s="121"/>
      <c r="D7" s="121"/>
      <c r="E7" s="121"/>
      <c r="F7" s="121"/>
      <c r="G7" s="121"/>
      <c r="H7" s="121"/>
      <c r="I7" s="122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8">
        <v>14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4">
        <f>R7*O7</f>
        <v>7000</v>
      </c>
      <c r="V7" s="125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235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v>50</v>
      </c>
      <c r="I8" s="101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52" t="s">
        <v>164</v>
      </c>
      <c r="P8" s="153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50" t="str">
        <f>IF(AND(W8="Gusset",X9=""), "None",IF(AND(W8="Centrefold",X9=""),"None",IF(W8="Gusset","G",IF(W8="Centrefold","CF"))))</f>
        <v>None</v>
      </c>
      <c r="Y8" s="151"/>
    </row>
    <row r="9" spans="1:28" ht="20.100000000000001" customHeight="1" x14ac:dyDescent="0.55000000000000004">
      <c r="A9" s="70" t="s">
        <v>48</v>
      </c>
      <c r="B9" s="112" t="s">
        <v>198</v>
      </c>
      <c r="C9" s="113"/>
      <c r="D9" s="120" t="str">
        <f>IF(K10="Middle","RUN 2 UP",IF(AND(O8="Centrefold Roll",B8=380),"RUN 2 UP",""))</f>
        <v/>
      </c>
      <c r="E9" s="121"/>
      <c r="F9" s="122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54" t="str">
        <f>IF(O8="Poly Bag","PB",IF(O8="Poly Bag Roll","PBR",IF(O8="Centrefold Roll","CFR",IF(O8="Sheet","S",IF(O8="Sheet Roll","SR")))))</f>
        <v>PB</v>
      </c>
      <c r="P9" s="155"/>
      <c r="Q9" s="19"/>
      <c r="R9" s="35">
        <v>235</v>
      </c>
      <c r="S9" s="20" t="s">
        <v>78</v>
      </c>
      <c r="T9" s="35">
        <v>440</v>
      </c>
      <c r="U9" s="20" t="s">
        <v>78</v>
      </c>
      <c r="V9" s="35">
        <v>50</v>
      </c>
      <c r="W9" s="19"/>
      <c r="X9" s="165"/>
      <c r="Y9" s="166"/>
    </row>
    <row r="10" spans="1:28" ht="20.100000000000001" customHeight="1" x14ac:dyDescent="0.25">
      <c r="A10" s="12" t="s">
        <v>51</v>
      </c>
      <c r="B10" s="98">
        <v>6</v>
      </c>
      <c r="C10" s="99"/>
      <c r="D10" s="54" t="s">
        <v>134</v>
      </c>
      <c r="E10" s="114">
        <f>IF(ISNUMBER(SEARCH("sheet",O8,1)),((R9*T9*H8/540000)*U7/2000*1.3),((R9*T9*H8/540000)*U7/1000*1.08))</f>
        <v>72.38000000000001</v>
      </c>
      <c r="F10" s="115"/>
      <c r="G10" s="12" t="s">
        <v>53</v>
      </c>
      <c r="H10" s="118">
        <f>IF(ISNUMBER(SEARCH("sheet",O8,1)),(U7*T9/2000*1.08),(U7*T9/1000*1.08))</f>
        <v>3326.4</v>
      </c>
      <c r="I10" s="119"/>
      <c r="J10" s="12" t="s">
        <v>41</v>
      </c>
      <c r="K10" s="98" t="s">
        <v>44</v>
      </c>
      <c r="L10" s="99"/>
      <c r="M10" s="34"/>
      <c r="N10" s="21" t="s">
        <v>141</v>
      </c>
      <c r="O10" s="152" t="s">
        <v>44</v>
      </c>
      <c r="P10" s="153"/>
      <c r="Q10" s="16" t="s">
        <v>50</v>
      </c>
      <c r="R10" s="150" t="str">
        <f>IF(K11="NONE","None",IF(K11="INLINE","Yes",IF(K11="OUT OF LINE","Yes")))</f>
        <v>None</v>
      </c>
      <c r="S10" s="150"/>
      <c r="T10" s="16" t="s">
        <v>100</v>
      </c>
      <c r="U10" s="157" t="s">
        <v>201</v>
      </c>
      <c r="V10" s="157"/>
      <c r="W10" s="157"/>
      <c r="X10" s="157"/>
      <c r="Y10" s="158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12.063333333333334</v>
      </c>
      <c r="F11" s="117"/>
      <c r="G11" s="12" t="s">
        <v>15</v>
      </c>
      <c r="H11" s="116">
        <f>H10/B10</f>
        <v>554.4</v>
      </c>
      <c r="I11" s="117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59"/>
      <c r="V11" s="159"/>
      <c r="W11" s="159"/>
      <c r="X11" s="159"/>
      <c r="Y11" s="160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56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14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4"/>
      <c r="N14" s="156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3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8">
        <v>150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71"/>
      <c r="Y16" s="172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94"/>
      <c r="J17" s="95"/>
      <c r="K17" s="94"/>
      <c r="L17" s="95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71"/>
      <c r="Y17" s="172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94"/>
      <c r="J18" s="95"/>
      <c r="K18" s="94"/>
      <c r="L18" s="95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71"/>
      <c r="Y18" s="172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94"/>
      <c r="J19" s="95"/>
      <c r="K19" s="94"/>
      <c r="L19" s="95"/>
      <c r="M19" s="34"/>
      <c r="N19" s="173" t="s">
        <v>116</v>
      </c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5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94"/>
      <c r="J20" s="95"/>
      <c r="K20" s="94"/>
      <c r="L20" s="95"/>
      <c r="M20" s="34"/>
      <c r="N20" s="176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8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94"/>
      <c r="J21" s="95"/>
      <c r="K21" s="94"/>
      <c r="L21" s="95"/>
      <c r="M21" s="34"/>
      <c r="N21" s="176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8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94"/>
      <c r="J22" s="95"/>
      <c r="K22" s="94"/>
      <c r="L22" s="95"/>
      <c r="M22" s="34"/>
      <c r="N22" s="179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1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94"/>
      <c r="J23" s="95"/>
      <c r="K23" s="94"/>
      <c r="L23" s="95"/>
      <c r="M23" s="34"/>
      <c r="N23" s="156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94"/>
      <c r="J24" s="95"/>
      <c r="K24" s="94"/>
      <c r="L24" s="95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3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70" t="s">
        <v>132</v>
      </c>
      <c r="H26" s="170"/>
      <c r="I26" s="170" t="s">
        <v>131</v>
      </c>
      <c r="J26" s="170"/>
      <c r="K26" s="28" t="s">
        <v>94</v>
      </c>
      <c r="L26" s="28" t="s">
        <v>95</v>
      </c>
      <c r="M26" s="34"/>
      <c r="N26" s="167" t="s">
        <v>137</v>
      </c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9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61" t="s">
        <v>99</v>
      </c>
      <c r="B29" s="162"/>
      <c r="C29" s="162"/>
      <c r="D29" s="162"/>
      <c r="E29" s="162"/>
      <c r="F29" s="163"/>
      <c r="G29" s="163"/>
      <c r="H29" s="163"/>
      <c r="I29" s="163"/>
      <c r="J29" s="163"/>
      <c r="K29" s="162"/>
      <c r="L29" s="164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44402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44393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BCFAF8A-F060-411B-9DD4-18CD8ACA65E8}"/>
</file>

<file path=customXml/itemProps2.xml><?xml version="1.0" encoding="utf-8"?>
<ds:datastoreItem xmlns:ds="http://schemas.openxmlformats.org/officeDocument/2006/customXml" ds:itemID="{79773E61-5439-4424-AD28-455400246463}"/>
</file>

<file path=customXml/itemProps3.xml><?xml version="1.0" encoding="utf-8"?>
<ds:datastoreItem xmlns:ds="http://schemas.openxmlformats.org/officeDocument/2006/customXml" ds:itemID="{CF679B85-F962-487C-90EC-49A92E0CC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2021-06-25T02:35:04Z</cp:lastPrinted>
  <dcterms:created xsi:type="dcterms:W3CDTF">2019-11-27T23:28:06Z</dcterms:created>
  <dcterms:modified xsi:type="dcterms:W3CDTF">2021-06-25T02:49:21Z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