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364642F-D437-4118-89B9-D43EF344E69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" l="1"/>
  <c r="E8" i="1"/>
  <c r="D8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A4" i="2" l="1"/>
  <c r="A5" i="2"/>
</calcChain>
</file>

<file path=xl/sharedStrings.xml><?xml version="1.0" encoding="utf-8"?>
<sst xmlns="http://schemas.openxmlformats.org/spreadsheetml/2006/main" count="227" uniqueCount="169">
  <si>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</si>
  <si>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</si>
  <si>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</si>
  <si>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</si>
  <si>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</si>
  <si>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</si>
  <si>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</si>
  <si>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</si>
  <si>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</si>
  <si>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</si>
  <si>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</si>
  <si>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</si>
  <si>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</si>
  <si>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</si>
  <si>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</si>
  <si>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</si>
  <si>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</si>
  <si>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</si>
  <si>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</si>
  <si>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</si>
  <si>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</si>
  <si>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</si>
  <si>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</si>
  <si>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</si>
  <si>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</si>
  <si>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</si>
  <si>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</si>
  <si>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</si>
  <si>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</si>
  <si>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</si>
  <si>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</si>
  <si>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</si>
  <si>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</si>
  <si>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</si>
  <si>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</si>
  <si>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</si>
  <si>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</si>
  <si>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</si>
  <si>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</si>
  <si>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</si>
  <si>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</si>
  <si>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</si>
  <si>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</si>
  <si>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</si>
  <si>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</si>
  <si>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</si>
  <si>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</si>
  <si>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</si>
  <si>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</si>
  <si>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</si>
  <si>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</si>
  <si>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</si>
  <si>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</si>
  <si>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</si>
  <si>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</si>
  <si>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</si>
  <si>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</si>
  <si>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</si>
  <si>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</si>
  <si>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</si>
  <si>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</si>
  <si>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</si>
  <si>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</si>
  <si>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</si>
  <si>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</si>
  <si>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</si>
  <si>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</si>
  <si>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</si>
  <si>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</si>
  <si>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</si>
  <si>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</si>
  <si>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</si>
  <si>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</si>
  <si>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</si>
  <si>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</si>
  <si>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</si>
  <si>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</si>
  <si>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</si>
  <si>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</si>
  <si>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</si>
  <si>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</si>
  <si>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</si>
  <si>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</si>
  <si>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</si>
  <si>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</si>
  <si>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</si>
  <si>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</si>
  <si>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</si>
  <si>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</si>
  <si>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</si>
  <si>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</si>
  <si>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</si>
  <si>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</si>
  <si>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</si>
  <si>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</si>
  <si>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</si>
  <si>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</si>
  <si>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</si>
  <si>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</si>
  <si>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</si>
  <si>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</si>
  <si>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</si>
  <si>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</si>
  <si>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</si>
  <si>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</si>
  <si>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</si>
  <si>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</si>
  <si>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</si>
  <si>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</si>
  <si>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</si>
  <si>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</si>
  <si>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</si>
  <si>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</si>
  <si>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</si>
  <si>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</si>
  <si>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</si>
  <si>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</si>
  <si>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</si>
  <si>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</si>
  <si>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</si>
  <si>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</si>
  <si>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</si>
  <si>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</si>
  <si>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</si>
  <si>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</si>
  <si>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</si>
  <si>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</si>
  <si>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</si>
  <si>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</si>
  <si>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</si>
  <si>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</si>
  <si>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</si>
  <si>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</si>
  <si>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</si>
  <si>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</si>
  <si>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</si>
  <si>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</si>
  <si>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</si>
  <si>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</si>
  <si>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</si>
  <si>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</si>
  <si>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</si>
  <si>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</si>
  <si>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</si>
  <si>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</si>
  <si>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</si>
  <si>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</si>
  <si>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</si>
  <si>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</si>
  <si>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</si>
  <si>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</si>
  <si>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</si>
  <si>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</si>
  <si>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</si>
  <si>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</si>
  <si>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</si>
  <si>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</si>
  <si>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</si>
  <si>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</si>
  <si>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</si>
  <si>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</si>
  <si>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</si>
  <si>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</si>
  <si>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</si>
  <si>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NOT OVER</t>
  </si>
  <si>
    <t>04.07.2022</t>
  </si>
  <si>
    <t>SPEEDWAY PANELS</t>
  </si>
  <si>
    <t>22.09.2023</t>
  </si>
  <si>
    <t>NEW SIZE - NEW CUSTOMER - NEAT ROLLS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</si>
</sst>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P5" sqref="P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T92060</v>
      </c>
      <c r="C1" s="101"/>
      <c r="D1" s="102"/>
      <c r="E1" s="11" t="s">
        <v>55</v>
      </c>
      <c r="F1" s="46" t="s">
        <v>166</v>
      </c>
      <c r="G1" s="46"/>
      <c r="H1" s="47"/>
      <c r="I1" s="11" t="s">
        <v>147</v>
      </c>
      <c r="J1" s="103" t="s">
        <v>165</v>
      </c>
      <c r="K1" s="103"/>
      <c r="L1" s="104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25KG</v>
      </c>
      <c r="C2" s="92"/>
      <c r="D2" s="93"/>
      <c r="E2" s="11" t="s">
        <v>56</v>
      </c>
      <c r="F2" s="46">
        <v>946382</v>
      </c>
      <c r="G2" s="46"/>
      <c r="H2" s="47"/>
      <c r="I2" s="11" t="s">
        <v>57</v>
      </c>
      <c r="J2" s="105" t="s">
        <v>167</v>
      </c>
      <c r="K2" s="105"/>
      <c r="L2" s="106"/>
    </row>
    <row r="3" spans="1:14" ht="20.149999999999999" customHeight="1" x14ac:dyDescent="0.75">
      <c r="A3" s="113" t="s">
        <v>168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</row>
    <row r="4" spans="1:14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</row>
    <row r="5" spans="1:14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920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60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163</v>
      </c>
      <c r="C9" s="85"/>
      <c r="D9" s="108" t="str">
        <f>IF(K10="Middle","RUN 2 UP",IF(AND(B7="Cont Centrefold",B8=380),"RUN 2 UP",""))</f>
        <v/>
      </c>
      <c r="E9" s="109"/>
      <c r="F9" s="110"/>
      <c r="G9" s="13" t="s">
        <v>46</v>
      </c>
      <c r="H9" s="84" t="s">
        <v>164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4</v>
      </c>
      <c r="C10" s="47"/>
      <c r="D10" s="36" t="s">
        <v>104</v>
      </c>
      <c r="E10" s="88">
        <f>E11*B10</f>
        <v>100</v>
      </c>
      <c r="F10" s="89"/>
      <c r="G10" s="11" t="s">
        <v>51</v>
      </c>
      <c r="H10" s="92">
        <f>H11*B10</f>
        <v>978.26086956521738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25</v>
      </c>
      <c r="F11" s="91"/>
      <c r="G11" s="42" t="s">
        <v>13</v>
      </c>
      <c r="H11" s="94">
        <f>E11*540000/B8/H8</f>
        <v>244.56521739130434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12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4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1" t="s">
        <v>103</v>
      </c>
      <c r="H27" s="111"/>
      <c r="I27" s="111" t="s">
        <v>102</v>
      </c>
      <c r="J27" s="111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07"/>
      <c r="H28" s="107"/>
      <c r="I28" s="107"/>
      <c r="J28" s="107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07"/>
      <c r="H29" s="107"/>
      <c r="I29" s="107"/>
      <c r="J29" s="107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 t="e">
        <f>DATE(YEAR(Sheet1!J1),MONTH(Sheet1!J1)+1,DAY(Sheet1!J1))</f>
        <v>#VALUE!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 t="e">
        <f>DATE(YEAR(Sheet1!J1),MONTH(Sheet1!J1),DAY(Sheet1!J1)+21)</f>
        <v>#VALUE!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9D197C1-AACB-4C60-A131-48698ACAB619}"/>
</file>

<file path=customXml/itemProps2.xml><?xml version="1.0" encoding="utf-8"?>
<ds:datastoreItem xmlns:ds="http://schemas.openxmlformats.org/officeDocument/2006/customXml" ds:itemID="{EEFFD430-9F5A-4AB2-B3F4-7D7ABF2C1951}"/>
</file>

<file path=customXml/itemProps3.xml><?xml version="1.0" encoding="utf-8"?>
<ds:datastoreItem xmlns:ds="http://schemas.openxmlformats.org/officeDocument/2006/customXml" ds:itemID="{F1037320-4D98-48E5-93E5-D31E2B2C8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2023-08-29T23:56:04Z</cp:lastPrinted>
  <dcterms:created xsi:type="dcterms:W3CDTF">2019-11-27T23:28:06Z</dcterms:created>
  <dcterms:modified xsi:type="dcterms:W3CDTF">2023-08-30T00:57:02Z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