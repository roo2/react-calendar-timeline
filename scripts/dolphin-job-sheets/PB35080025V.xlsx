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EE485FF-3D56-442C-B572-847D3270D7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C22" i="1" l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<sst xmlns="http://schemas.openxmlformats.org/spreadsheetml/2006/main" count="306" uniqueCount="202">
  <si>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</si>
  <si>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</si>
  <si>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</si>
  <si>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</si>
  <si>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</si>
  <si>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</si>
  <si>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</si>
  <si>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</si>
  <si>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</si>
  <si>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</si>
  <si>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</si>
  <si>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</si>
  <si>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</si>
  <si>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</si>
  <si>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</si>
  <si>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</si>
  <si>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</si>
  <si>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</si>
  <si>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</si>
  <si>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</si>
  <si>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</si>
  <si>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</si>
  <si>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</si>
  <si>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</si>
  <si>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</si>
  <si>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</si>
  <si>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</si>
  <si>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</si>
  <si>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</si>
  <si>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</si>
  <si>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</si>
  <si>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</si>
  <si>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</si>
  <si>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</si>
  <si>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</si>
  <si>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</si>
  <si>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</si>
  <si>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</si>
  <si>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</si>
  <si>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</si>
  <si>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</si>
  <si>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</si>
  <si>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</si>
  <si>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</si>
  <si>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</si>
  <si>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</si>
  <si>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</si>
  <si>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</si>
  <si>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</si>
  <si>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</si>
  <si>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</si>
  <si>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</si>
  <si>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</si>
  <si>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</si>
  <si>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</si>
  <si>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</si>
  <si>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</si>
  <si>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</si>
  <si>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</si>
  <si>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</si>
  <si>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</si>
  <si>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</si>
  <si>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</si>
  <si>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</si>
  <si>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</si>
  <si>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</si>
  <si>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</si>
  <si>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</si>
  <si>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</si>
  <si>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</si>
  <si>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</si>
  <si>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</si>
  <si>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</si>
  <si>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</si>
  <si>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</si>
  <si>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</si>
  <si>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</si>
  <si>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</si>
  <si>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</si>
  <si>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</si>
  <si>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</si>
  <si>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</si>
  <si>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</si>
  <si>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</si>
  <si>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</si>
  <si>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</si>
  <si>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</si>
  <si>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</si>
  <si>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</si>
  <si>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</si>
  <si>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</si>
  <si>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</si>
  <si>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</si>
  <si>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</si>
  <si>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</si>
  <si>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</si>
  <si>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</si>
  <si>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</si>
  <si>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</si>
  <si>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</si>
  <si>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</si>
  <si>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</si>
  <si>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</si>
  <si>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</si>
  <si>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</si>
  <si>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</si>
  <si>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</si>
  <si>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</si>
  <si>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</si>
  <si>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</si>
  <si>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</si>
  <si>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</si>
  <si>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</si>
  <si>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</si>
  <si>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</si>
  <si>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</si>
  <si>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</si>
  <si>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</si>
  <si>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</si>
  <si>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</si>
  <si>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</si>
  <si>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</si>
  <si>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</si>
  <si>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</si>
  <si>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</si>
  <si>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</si>
  <si>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</si>
  <si>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</si>
  <si>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</si>
  <si>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</si>
  <si>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</si>
  <si>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</si>
  <si>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</si>
  <si>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</si>
  <si>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</si>
  <si>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</si>
  <si>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</si>
  <si>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</si>
  <si>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</si>
  <si>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</si>
  <si>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</si>
  <si>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</si>
  <si>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</si>
  <si>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</si>
  <si>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</si>
  <si>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</si>
  <si>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</si>
  <si>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</si>
  <si>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</si>
  <si>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</si>
  <si>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</si>
  <si>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</si>
  <si>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</si>
  <si>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</si>
  <si>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</si>
  <si>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</si>
  <si>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</si>
  <si>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</si>
  <si>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</si>
  <si>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</si>
  <si>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</si>
  <si>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</si>
  <si>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</si>
  <si>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</si>
  <si>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</si>
  <si>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</si>
  <si>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</si>
  <si>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</si>
  <si>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</si>
  <si>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</si>
  <si>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</si>
  <si>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</si>
  <si>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</si>
  <si>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</si>
  <si>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</si>
  <si>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</si>
  <si>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</si>
  <si>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</si>
  <si>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</si>
  <si>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</si>
  <si>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</si>
  <si>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</si>
  <si>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</si>
  <si>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</si>
  <si>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</si>
  <si>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</si>
  <si>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</si>
  <si>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</si>
  <si>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</si>
  <si>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</si>
  <si>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</si>
  <si>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</si>
  <si>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</si>
  <si>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</si>
  <si>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</si>
  <si>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K:\PRODUCTION - PRINTING &amp; VENTING\HOLE PUNCH DIAGRAMS\HYQUAL PB35080025V.doc</t>
  </si>
  <si>
    <t>RUN AT 25um</t>
  </si>
  <si>
    <t>HYQUAL</t>
  </si>
  <si>
    <t>PERF</t>
  </si>
  <si>
    <t>ANTISTATIC</t>
  </si>
  <si>
    <t>ANTIBLOCK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</si>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</sst>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2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2" applyBorder="1" applyAlignment="1" applyProtection="1">
      <alignment horizontal="center" vertical="top"/>
      <protection locked="0"/>
    </xf>
    <xf numFmtId="0" fontId="16" fillId="0" borderId="3" xfId="2" applyBorder="1" applyAlignment="1" applyProtection="1">
      <alignment horizontal="center" vertical="top"/>
      <protection locked="0"/>
    </xf>
    <xf numFmtId="0" fontId="16" fillId="0" borderId="8" xfId="2" applyBorder="1" applyAlignment="1" applyProtection="1">
      <alignment horizontal="center" vertical="top"/>
      <protection locked="0"/>
    </xf>
    <xf numFmtId="0" fontId="16" fillId="0" borderId="9" xfId="2" applyBorder="1" applyAlignment="1" applyProtection="1">
      <alignment horizontal="center" vertical="top"/>
      <protection locked="0"/>
    </xf>
    <xf numFmtId="0" fontId="16" fillId="0" borderId="0" xfId="2" applyBorder="1" applyAlignment="1" applyProtection="1">
      <alignment horizontal="center" vertical="top"/>
      <protection locked="0"/>
    </xf>
    <xf numFmtId="0" fontId="16" fillId="0" borderId="10" xfId="2" applyBorder="1" applyAlignment="1" applyProtection="1">
      <alignment horizontal="center" vertical="top"/>
      <protection locked="0"/>
    </xf>
    <xf numFmtId="0" fontId="16" fillId="0" borderId="11" xfId="2" applyBorder="1" applyAlignment="1" applyProtection="1">
      <alignment horizontal="center" vertical="top"/>
      <protection locked="0"/>
    </xf>
    <xf numFmtId="0" fontId="16" fillId="0" borderId="1" xfId="2" applyBorder="1" applyAlignment="1" applyProtection="1">
      <alignment horizontal="center" vertical="top"/>
      <protection locked="0"/>
    </xf>
    <xf numFmtId="0" fontId="16" fillId="0" borderId="12" xfId="2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..\PRODUCTION%20-%20PRINTING%20&amp;%20VENTING\HOLE%20PUNCH%20DIAGRAMS\HYQUAL%20PB35080025V.d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PB350800250ASV</v>
      </c>
      <c r="C1" s="108"/>
      <c r="D1" s="109"/>
      <c r="E1" s="10" t="s">
        <v>57</v>
      </c>
      <c r="F1" s="62" t="s">
        <v>197</v>
      </c>
      <c r="G1" s="62"/>
      <c r="H1" s="63"/>
      <c r="I1" s="11" t="s">
        <v>181</v>
      </c>
      <c r="J1" s="119">
        <f ca="1">TODAY()</f>
        <v>45511</v>
      </c>
      <c r="K1" s="119"/>
      <c r="L1" s="120"/>
      <c r="M1" s="28"/>
      <c r="N1" s="10" t="s">
        <v>56</v>
      </c>
      <c r="O1" s="108" t="str">
        <f>B1</f>
        <v>PB350800250ASV</v>
      </c>
      <c r="P1" s="108"/>
      <c r="Q1" s="109"/>
      <c r="R1" s="10" t="s">
        <v>57</v>
      </c>
      <c r="S1" s="108" t="str">
        <f>F1</f>
        <v>HYQUAL</v>
      </c>
      <c r="T1" s="108"/>
      <c r="U1" s="109"/>
      <c r="V1" s="10" t="s">
        <v>181</v>
      </c>
      <c r="W1" s="119">
        <f ca="1">J1</f>
        <v>45511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2">
        <v>948161</v>
      </c>
      <c r="G2" s="62"/>
      <c r="H2" s="63"/>
      <c r="I2" s="10" t="s">
        <v>59</v>
      </c>
      <c r="J2" s="122">
        <v>45499</v>
      </c>
      <c r="K2" s="62"/>
      <c r="L2" s="63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948161</v>
      </c>
      <c r="T2" s="108"/>
      <c r="U2" s="109"/>
      <c r="V2" s="10" t="s">
        <v>59</v>
      </c>
      <c r="W2" s="121">
        <f>J2</f>
        <v>45499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6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6000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350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 t="str">
        <f>(IF(V9&lt;30,"30",V9))</f>
        <v>30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196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350</v>
      </c>
      <c r="S9" s="17" t="s">
        <v>78</v>
      </c>
      <c r="T9" s="29">
        <v>800</v>
      </c>
      <c r="U9" s="17" t="s">
        <v>78</v>
      </c>
      <c r="V9" s="29">
        <v>25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5</v>
      </c>
      <c r="C10" s="63"/>
      <c r="D10" s="46" t="s">
        <v>134</v>
      </c>
      <c r="E10" s="127">
        <f>IF(ISNUMBER(SEARCH("sheet",O8,1)),((R9*T9*H8/540000)*U7/2000*1.3),((R9*T9*H8/540000)*U7/1000*1.08))</f>
        <v>100.8</v>
      </c>
      <c r="F10" s="128"/>
      <c r="G10" s="10" t="s">
        <v>53</v>
      </c>
      <c r="H10" s="131">
        <f>IF(ISNUMBER(SEARCH("sheet",O8,1)),(U7*T9/2000*1.08),(U7*T9/1000*1.08))</f>
        <v>5184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140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20.16</v>
      </c>
      <c r="F11" s="130"/>
      <c r="G11" s="10" t="s">
        <v>15</v>
      </c>
      <c r="H11" s="129">
        <f>H10/B10</f>
        <v>1036.8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>V</v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6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 t="s">
        <v>169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195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">
        <v>200</v>
      </c>
      <c r="B22" s="61"/>
      <c r="C22" s="92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7" t="s">
        <v>199</v>
      </c>
      <c r="B23" s="147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198</v>
      </c>
      <c r="P25" s="33"/>
      <c r="Q25" s="9">
        <v>28</v>
      </c>
      <c r="R25" s="9">
        <v>6</v>
      </c>
      <c r="S25" s="9">
        <v>0</v>
      </c>
      <c r="T25" s="9">
        <v>8</v>
      </c>
      <c r="U25" s="58"/>
      <c r="V25" s="58">
        <v>2.5</v>
      </c>
      <c r="W25" s="9">
        <v>125</v>
      </c>
      <c r="X25" s="9">
        <v>125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150">
        <v>15</v>
      </c>
      <c r="E27" s="151">
        <v>3.2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hyperlinks>
    <hyperlink ref="N19:Y22" r:id="rId1" display="K:\PRODUCTION - PRINTING &amp; VENTING\HOLE PUNCH DIAGRAMS\HYQUAL PB35080025V.doc" xr:uid="{8215A52E-E03A-488F-AB6F-B9D53EBEF845}"/>
  </hyperlink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2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45542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45532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BD2E1A0-C4C9-43E3-B3F6-AC7A093687D8}"/>
</file>

<file path=customXml/itemProps2.xml><?xml version="1.0" encoding="utf-8"?>
<ds:datastoreItem xmlns:ds="http://schemas.openxmlformats.org/officeDocument/2006/customXml" ds:itemID="{A6B45E06-1314-4DA0-BB01-47A3F7C1C414}"/>
</file>

<file path=customXml/itemProps3.xml><?xml version="1.0" encoding="utf-8"?>
<ds:datastoreItem xmlns:ds="http://schemas.openxmlformats.org/officeDocument/2006/customXml" ds:itemID="{E48EB356-FFE5-45CE-B4C9-EAC210E15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2024-07-05T01:38:27Z</cp:lastPrinted>
  <dcterms:created xsi:type="dcterms:W3CDTF">2019-11-27T23:28:06Z</dcterms:created>
  <dcterms:modified xsi:type="dcterms:W3CDTF">2024-08-07T00:33:25Z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