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FAE3CF18-6CD4-4F07-A97F-5DA268042BAD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<sst xmlns="http://schemas.openxmlformats.org/spreadsheetml/2006/main" count="303" uniqueCount="199">
  <si>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</si>
  <si>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</si>
  <si>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</si>
  <si>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</si>
  <si>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</si>
  <si>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</si>
  <si>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</si>
  <si>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</si>
  <si>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</si>
  <si>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</si>
  <si>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</si>
  <si>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</si>
  <si>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</si>
  <si>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</si>
  <si>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</si>
  <si>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</si>
  <si>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</si>
  <si>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</si>
  <si>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</si>
  <si>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</si>
  <si>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</si>
  <si>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</si>
  <si>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</si>
  <si>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</si>
  <si>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</si>
  <si>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</si>
  <si>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</si>
  <si>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</si>
  <si>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</si>
  <si>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</si>
  <si>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</si>
  <si>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</si>
  <si>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</si>
  <si>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</si>
  <si>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</si>
  <si>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</si>
  <si>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</si>
  <si>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</si>
  <si>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</si>
  <si>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</si>
  <si>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</si>
  <si>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</si>
  <si>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</si>
  <si>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</si>
  <si>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</si>
  <si>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</si>
  <si>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</si>
  <si>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</si>
  <si>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</si>
  <si>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</si>
  <si>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</si>
  <si>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</si>
  <si>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</si>
  <si>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</si>
  <si>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</si>
  <si>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</si>
  <si>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</si>
  <si>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</si>
  <si>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</si>
  <si>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</si>
  <si>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</si>
  <si>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</si>
  <si>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</si>
  <si>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</si>
  <si>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</si>
  <si>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</si>
  <si>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</si>
  <si>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</si>
  <si>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</si>
  <si>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</si>
  <si>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</si>
  <si>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</si>
  <si>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</si>
  <si>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</si>
  <si>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</si>
  <si>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</si>
  <si>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</si>
  <si>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</si>
  <si>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</si>
  <si>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</si>
  <si>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</si>
  <si>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</si>
  <si>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</si>
  <si>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</si>
  <si>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</si>
  <si>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</si>
  <si>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</si>
  <si>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</si>
  <si>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</si>
  <si>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</si>
  <si>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</si>
  <si>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</si>
  <si>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</si>
  <si>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</si>
  <si>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</si>
  <si>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</si>
  <si>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</si>
  <si>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</si>
  <si>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</si>
  <si>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</si>
  <si>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</si>
  <si>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</si>
  <si>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</si>
  <si>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</si>
  <si>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</si>
  <si>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</si>
  <si>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</si>
  <si>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</si>
  <si>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</si>
  <si>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</si>
  <si>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</si>
  <si>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</si>
  <si>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</si>
  <si>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</si>
  <si>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</si>
  <si>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</si>
  <si>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</si>
  <si>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</si>
  <si>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</si>
  <si>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</si>
  <si>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</si>
  <si>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</si>
  <si>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</si>
  <si>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</si>
  <si>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</si>
  <si>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</si>
  <si>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</si>
  <si>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</si>
  <si>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</si>
  <si>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</si>
  <si>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</si>
  <si>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</si>
  <si>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</si>
  <si>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</si>
  <si>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</si>
  <si>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</si>
  <si>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</si>
  <si>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</si>
  <si>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</si>
  <si>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</si>
  <si>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</si>
  <si>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</si>
  <si>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</si>
  <si>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</si>
  <si>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</si>
  <si>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</si>
  <si>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</si>
  <si>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</si>
  <si>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</si>
  <si>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</si>
  <si>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</si>
  <si>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</si>
  <si>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</si>
  <si>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</si>
  <si>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</si>
  <si>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</si>
  <si>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</si>
  <si>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</si>
  <si>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</si>
  <si>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</si>
  <si>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</si>
  <si>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</si>
  <si>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</si>
  <si>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</si>
  <si>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</si>
  <si>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</si>
  <si>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</si>
  <si>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</si>
  <si>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</si>
  <si>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</si>
  <si>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</si>
  <si>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</si>
  <si>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</si>
  <si>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</si>
  <si>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</si>
  <si>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</si>
  <si>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</si>
  <si>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</si>
  <si>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</si>
  <si>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</si>
  <si>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</si>
  <si>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</si>
  <si>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</si>
  <si>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</si>
  <si>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</si>
  <si>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</si>
  <si>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</si>
  <si>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</si>
  <si>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</si>
  <si>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</si>
  <si>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</si>
  <si>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</si>
  <si>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</si>
  <si>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</si>
  <si>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</si>
  <si>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WILMAR</t>
  </si>
  <si>
    <t>RUN AT 32 - 35UM</t>
  </si>
  <si>
    <t>MUST BE SOLID YELLOW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</si>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</sst>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PB35551035Y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43991</v>
      </c>
      <c r="K1" s="95"/>
      <c r="L1" s="96"/>
      <c r="M1" s="34"/>
      <c r="N1" s="12" t="s">
        <v>56</v>
      </c>
      <c r="O1" s="122" t="str">
        <f>B1</f>
        <v>PB35551035Y</v>
      </c>
      <c r="P1" s="122"/>
      <c r="Q1" s="123"/>
      <c r="R1" s="12" t="s">
        <v>57</v>
      </c>
      <c r="S1" s="122" t="str">
        <f>F1</f>
        <v>WILMAR</v>
      </c>
      <c r="T1" s="122"/>
      <c r="U1" s="123"/>
      <c r="V1" s="12" t="s">
        <v>181</v>
      </c>
      <c r="W1" s="95">
        <f ca="1">J1</f>
        <v>43991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937458</v>
      </c>
      <c r="G2" s="98"/>
      <c r="H2" s="99"/>
      <c r="I2" s="12" t="s">
        <v>59</v>
      </c>
      <c r="J2" s="97">
        <v>44012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937458</v>
      </c>
      <c r="T2" s="122"/>
      <c r="U2" s="123"/>
      <c r="V2" s="12" t="s">
        <v>59</v>
      </c>
      <c r="W2" s="135">
        <f>J2</f>
        <v>44012</v>
      </c>
      <c r="X2" s="122"/>
      <c r="Y2" s="123"/>
    </row>
    <row r="3" spans="1:28" ht="20.05" customHeight="1" x14ac:dyDescent="0.3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BE SOLID YELLOW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148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9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9000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355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355</v>
      </c>
      <c r="S9" s="20" t="s">
        <v>78</v>
      </c>
      <c r="T9" s="35">
        <v>510</v>
      </c>
      <c r="U9" s="20" t="s">
        <v>78</v>
      </c>
      <c r="V9" s="35">
        <v>35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114.06150000000001</v>
      </c>
      <c r="F10" s="113"/>
      <c r="G10" s="12" t="s">
        <v>53</v>
      </c>
      <c r="H10" s="116">
        <f>IF(ISNUMBER(SEARCH("sheet",O8,1)),(U7*T9/2000*1.08),(U7*T9/1000*1.08))</f>
        <v>4957.2000000000007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28.515375000000002</v>
      </c>
      <c r="F11" s="115"/>
      <c r="G11" s="12" t="s">
        <v>15</v>
      </c>
      <c r="H11" s="114">
        <f>H10/B10</f>
        <v>1239.3000000000002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4</v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130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>YELLOW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34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44021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44012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2F5FDE-4938-4D24-81A9-A5D0B2DEE493}"/>
</file>

<file path=customXml/itemProps2.xml><?xml version="1.0" encoding="utf-8"?>
<ds:datastoreItem xmlns:ds="http://schemas.openxmlformats.org/officeDocument/2006/customXml" ds:itemID="{FAA82E18-1D2C-44D3-810D-B1B9948995E9}"/>
</file>

<file path=customXml/itemProps3.xml><?xml version="1.0" encoding="utf-8"?>
<ds:datastoreItem xmlns:ds="http://schemas.openxmlformats.org/officeDocument/2006/customXml" ds:itemID="{3273FD51-D5CC-4728-8C17-A9D891E6C8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2020-06-08T23:45:06Z</cp:lastPrinted>
  <dcterms:created xsi:type="dcterms:W3CDTF">2019-11-27T23:28:06Z</dcterms:created>
  <dcterms:modified xsi:type="dcterms:W3CDTF">2020-06-08T23:45:06Z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