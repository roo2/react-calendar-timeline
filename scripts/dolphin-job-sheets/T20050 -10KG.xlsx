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8527F42-9266-4D3C-A0CC-FDD61B367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<sst xmlns="http://schemas.openxmlformats.org/spreadsheetml/2006/main" count="226" uniqueCount="167">
  <si>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</si>
  <si>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</si>
  <si>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</si>
  <si>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</si>
  <si>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</si>
  <si>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</si>
  <si>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</si>
  <si>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</si>
  <si>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</si>
  <si>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</si>
  <si>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</si>
  <si>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</si>
  <si>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</si>
  <si>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</si>
  <si>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</si>
  <si>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</si>
  <si>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</si>
  <si>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</si>
  <si>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</si>
  <si>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</si>
  <si>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</si>
  <si>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</si>
  <si>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</si>
  <si>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</si>
  <si>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</si>
  <si>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</si>
  <si>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</si>
  <si>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</si>
  <si>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</si>
  <si>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</si>
  <si>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</si>
  <si>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</si>
  <si>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</si>
  <si>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</si>
  <si>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</si>
  <si>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</si>
  <si>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</si>
  <si>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</si>
  <si>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</si>
  <si>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</si>
  <si>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</si>
  <si>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</si>
  <si>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</si>
  <si>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</si>
  <si>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</si>
  <si>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</si>
  <si>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</si>
  <si>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</si>
  <si>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</si>
  <si>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</si>
  <si>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</si>
  <si>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</si>
  <si>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</si>
  <si>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</si>
  <si>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</si>
  <si>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</si>
  <si>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</si>
  <si>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</si>
  <si>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</si>
  <si>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</si>
  <si>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</si>
  <si>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</si>
  <si>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</si>
  <si>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</si>
  <si>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</si>
  <si>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</si>
  <si>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</si>
  <si>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</si>
  <si>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</si>
  <si>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</si>
  <si>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</si>
  <si>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</si>
  <si>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</si>
  <si>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</si>
  <si>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</si>
  <si>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</si>
  <si>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</si>
  <si>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</si>
  <si>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</si>
  <si>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</si>
  <si>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</si>
  <si>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</si>
  <si>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</si>
  <si>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</si>
  <si>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</si>
  <si>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</si>
  <si>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</si>
  <si>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</si>
  <si>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</si>
  <si>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</si>
  <si>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</si>
  <si>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</si>
  <si>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</si>
  <si>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</si>
  <si>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</si>
  <si>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</si>
  <si>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</si>
  <si>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</si>
  <si>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</si>
  <si>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</si>
  <si>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</si>
  <si>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</si>
  <si>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</si>
  <si>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</si>
  <si>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</si>
  <si>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</si>
  <si>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</si>
  <si>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</si>
  <si>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</si>
  <si>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</si>
  <si>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</si>
  <si>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</si>
  <si>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</si>
  <si>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</si>
  <si>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</si>
  <si>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</si>
  <si>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</si>
  <si>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</si>
  <si>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</si>
  <si>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</si>
  <si>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</si>
  <si>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</si>
  <si>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</si>
  <si>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</si>
  <si>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</si>
  <si>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</si>
  <si>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</si>
  <si>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</si>
  <si>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</si>
  <si>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</si>
  <si>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</si>
  <si>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</si>
  <si>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</si>
  <si>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</si>
  <si>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</si>
  <si>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</si>
  <si>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</si>
  <si>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</si>
  <si>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</si>
  <si>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</si>
  <si>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</si>
  <si>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</si>
  <si>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</si>
  <si>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</si>
  <si>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</si>
  <si>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</si>
  <si>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</si>
  <si>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</si>
  <si>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</si>
  <si>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</si>
  <si>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</si>
  <si>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</si>
  <si>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</si>
  <si>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</si>
  <si>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</si>
  <si>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</si>
  <si>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</si>
  <si>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</si>
  <si>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</si>
  <si>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</si>
  <si>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</si>
  <si>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</si>
  <si>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</si>
  <si>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</si>
  <si>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PACPLUS</t>
  </si>
  <si>
    <t>#3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</si>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</sst>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T20050</v>
      </c>
      <c r="C1" s="61"/>
      <c r="D1" s="62"/>
      <c r="E1" s="10" t="s">
        <v>55</v>
      </c>
      <c r="F1" s="51" t="s">
        <v>164</v>
      </c>
      <c r="G1" s="51"/>
      <c r="H1" s="52"/>
      <c r="I1" s="10" t="s">
        <v>148</v>
      </c>
      <c r="J1" s="76">
        <f ca="1">TODAY()</f>
        <v>45575</v>
      </c>
      <c r="K1" s="76"/>
      <c r="L1" s="77"/>
    </row>
    <row r="2" spans="1:14" ht="20.100000000000001" customHeight="1" x14ac:dyDescent="0.25">
      <c r="A2" s="10" t="s">
        <v>94</v>
      </c>
      <c r="B2" s="65" t="str">
        <f>IF(B7="Tube",(ROUNDUP(E11,0)&amp;"KG"),(ROUNDUP(H11,0)&amp;"M"))</f>
        <v>10KG</v>
      </c>
      <c r="C2" s="65"/>
      <c r="D2" s="66"/>
      <c r="E2" s="10" t="s">
        <v>56</v>
      </c>
      <c r="F2" s="51">
        <v>947681</v>
      </c>
      <c r="G2" s="51"/>
      <c r="H2" s="52"/>
      <c r="I2" s="10" t="s">
        <v>57</v>
      </c>
      <c r="J2" s="78">
        <v>45419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0" t="s">
        <v>158</v>
      </c>
      <c r="B7" s="51" t="s">
        <v>159</v>
      </c>
      <c r="C7" s="52"/>
      <c r="D7" s="10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1" t="s">
        <v>14</v>
      </c>
      <c r="B8" s="97">
        <v>200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50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2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146</v>
      </c>
      <c r="I9" s="82"/>
      <c r="J9" s="10" t="s">
        <v>53</v>
      </c>
      <c r="K9" s="51" t="s">
        <v>28</v>
      </c>
      <c r="L9" s="52"/>
    </row>
    <row r="10" spans="1:14" ht="20.100000000000001" customHeight="1" x14ac:dyDescent="0.25">
      <c r="A10" s="10" t="s">
        <v>49</v>
      </c>
      <c r="B10" s="51">
        <v>5</v>
      </c>
      <c r="C10" s="52"/>
      <c r="D10" s="35" t="s">
        <v>104</v>
      </c>
      <c r="E10" s="85">
        <f>E11*B10</f>
        <v>50</v>
      </c>
      <c r="F10" s="86"/>
      <c r="G10" s="10" t="s">
        <v>51</v>
      </c>
      <c r="H10" s="65">
        <f>H11*B10</f>
        <v>2700</v>
      </c>
      <c r="I10" s="66"/>
      <c r="J10" s="10" t="s">
        <v>39</v>
      </c>
      <c r="K10" s="51" t="s">
        <v>42</v>
      </c>
      <c r="L10" s="52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10</v>
      </c>
      <c r="F11" s="88"/>
      <c r="G11" s="41" t="s">
        <v>13</v>
      </c>
      <c r="H11" s="89">
        <f>E11*540000/B8/H8</f>
        <v>540</v>
      </c>
      <c r="I11" s="90"/>
      <c r="J11" s="41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00000000000001" customHeight="1" x14ac:dyDescent="0.3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5</v>
      </c>
      <c r="G16" s="61"/>
      <c r="H16" s="62"/>
      <c r="I16" s="10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9" t="s">
        <v>76</v>
      </c>
      <c r="H19" s="30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9" t="s">
        <v>77</v>
      </c>
      <c r="H20" s="30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9" t="s">
        <v>78</v>
      </c>
      <c r="H21" s="30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9" t="s">
        <v>79</v>
      </c>
      <c r="H22" s="30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9" t="s">
        <v>80</v>
      </c>
      <c r="H23" s="30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9" t="s">
        <v>81</v>
      </c>
      <c r="H24" s="30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 t="s">
        <v>166</v>
      </c>
      <c r="F25" s="104"/>
      <c r="G25" s="9" t="s">
        <v>82</v>
      </c>
      <c r="H25" s="30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165</v>
      </c>
      <c r="C28" s="6"/>
      <c r="D28" s="22">
        <v>18</v>
      </c>
      <c r="E28" s="44">
        <v>4.4000000000000004</v>
      </c>
      <c r="F28" s="6"/>
      <c r="G28" s="45"/>
      <c r="H28" s="45"/>
      <c r="I28" s="45"/>
      <c r="J28" s="45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45606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45596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DC4358D-4919-433C-958A-D19E48E773DD}"/>
</file>

<file path=customXml/itemProps2.xml><?xml version="1.0" encoding="utf-8"?>
<ds:datastoreItem xmlns:ds="http://schemas.openxmlformats.org/officeDocument/2006/customXml" ds:itemID="{0137EA18-FF5C-47F9-8836-CB55B061C22E}"/>
</file>

<file path=customXml/itemProps3.xml><?xml version="1.0" encoding="utf-8"?>
<ds:datastoreItem xmlns:ds="http://schemas.openxmlformats.org/officeDocument/2006/customXml" ds:itemID="{CA5367AA-D452-4DA1-BC0E-79AFC8BA5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2024-04-15T23:27:12Z</cp:lastPrinted>
  <dcterms:created xsi:type="dcterms:W3CDTF">2019-11-27T23:28:06Z</dcterms:created>
  <dcterms:modified xsi:type="dcterms:W3CDTF">2024-10-10T01:42:13Z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