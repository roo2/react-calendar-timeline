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82DE1AA-391B-4477-B119-DD8889E57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<sst xmlns="http://schemas.openxmlformats.org/spreadsheetml/2006/main" count="226" uniqueCount="167">
  <si>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</si>
  <si>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</si>
  <si>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</si>
  <si>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</si>
  <si>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</si>
  <si>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</si>
  <si>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</si>
  <si>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</si>
  <si>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</si>
  <si>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</si>
  <si>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</si>
  <si>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</si>
  <si>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</si>
  <si>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</si>
  <si>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</si>
  <si>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</si>
  <si>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</si>
  <si>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</si>
  <si>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</si>
  <si>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</si>
  <si>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</si>
  <si>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</si>
  <si>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</si>
  <si>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</si>
  <si>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</si>
  <si>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</si>
  <si>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</si>
  <si>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</si>
  <si>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</si>
  <si>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</si>
  <si>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</si>
  <si>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</si>
  <si>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</si>
  <si>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</si>
  <si>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</si>
  <si>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</si>
  <si>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</si>
  <si>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</si>
  <si>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</si>
  <si>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</si>
  <si>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</si>
  <si>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</si>
  <si>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</si>
  <si>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</si>
  <si>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</si>
  <si>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</si>
  <si>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</si>
  <si>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</si>
  <si>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</si>
  <si>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</si>
  <si>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</si>
  <si>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</si>
  <si>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</si>
  <si>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</si>
  <si>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</si>
  <si>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</si>
  <si>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</si>
  <si>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</si>
  <si>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</si>
  <si>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</si>
  <si>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</si>
  <si>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</si>
  <si>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</si>
  <si>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</si>
  <si>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</si>
  <si>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</si>
  <si>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</si>
  <si>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</si>
  <si>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</si>
  <si>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</si>
  <si>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</si>
  <si>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</si>
  <si>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</si>
  <si>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</si>
  <si>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</si>
  <si>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</si>
  <si>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</si>
  <si>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</si>
  <si>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</si>
  <si>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</si>
  <si>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</si>
  <si>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</si>
  <si>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</si>
  <si>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</si>
  <si>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</si>
  <si>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</si>
  <si>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</si>
  <si>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</si>
  <si>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</si>
  <si>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</si>
  <si>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</si>
  <si>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</si>
  <si>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</si>
  <si>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</si>
  <si>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</si>
  <si>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</si>
  <si>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</si>
  <si>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</si>
  <si>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</si>
  <si>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</si>
  <si>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</si>
  <si>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</si>
  <si>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</si>
  <si>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</si>
  <si>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</si>
  <si>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</si>
  <si>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</si>
  <si>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</si>
  <si>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</si>
  <si>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</si>
  <si>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</si>
  <si>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</si>
  <si>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</si>
  <si>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</si>
  <si>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</si>
  <si>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</si>
  <si>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</si>
  <si>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</si>
  <si>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</si>
  <si>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</si>
  <si>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</si>
  <si>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</si>
  <si>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</si>
  <si>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</si>
  <si>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</si>
  <si>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</si>
  <si>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</si>
  <si>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</si>
  <si>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</si>
  <si>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</si>
  <si>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</si>
  <si>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</si>
  <si>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</si>
  <si>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</si>
  <si>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</si>
  <si>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</si>
  <si>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</si>
  <si>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</si>
  <si>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</si>
  <si>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</si>
  <si>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</si>
  <si>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</si>
  <si>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</si>
  <si>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</si>
  <si>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</si>
  <si>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</si>
  <si>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</si>
  <si>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</si>
  <si>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</si>
  <si>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</si>
  <si>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</si>
  <si>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</si>
  <si>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</si>
  <si>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</si>
  <si>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</si>
  <si>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</si>
  <si>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</si>
  <si>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</si>
  <si>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</si>
  <si>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</si>
  <si>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</si>
  <si>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</si>
  <si>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</si>
  <si>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</si>
  <si>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PROTECTIVE PLASTICS</t>
  </si>
  <si>
    <t>#2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</si>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</sst>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wrapText="1"/>
      <protection locked="0"/>
    </xf>
    <xf numFmtId="0" fontId="10" fillId="0" borderId="5" xfId="0" applyFont="1" applyBorder="1" applyAlignment="1" applyProtection="1">
      <alignment horizont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4" sqref="E24:F24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T35075</v>
      </c>
      <c r="C1" s="100"/>
      <c r="D1" s="101"/>
      <c r="E1" s="10" t="s">
        <v>55</v>
      </c>
      <c r="F1" s="111" t="s">
        <v>164</v>
      </c>
      <c r="G1" s="111"/>
      <c r="H1" s="112"/>
      <c r="I1" s="10" t="s">
        <v>148</v>
      </c>
      <c r="J1" s="113">
        <f ca="1">TODAY()</f>
        <v>45504</v>
      </c>
      <c r="K1" s="113"/>
      <c r="L1" s="114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25KG</v>
      </c>
      <c r="C2" s="91"/>
      <c r="D2" s="92"/>
      <c r="E2" s="10" t="s">
        <v>56</v>
      </c>
      <c r="F2" s="45">
        <v>948078</v>
      </c>
      <c r="G2" s="45"/>
      <c r="H2" s="46"/>
      <c r="I2" s="10" t="s">
        <v>57</v>
      </c>
      <c r="J2" s="115">
        <v>45496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158</v>
      </c>
      <c r="B7" s="45" t="s">
        <v>159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350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75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146</v>
      </c>
      <c r="C9" s="84"/>
      <c r="D9" s="117" t="str">
        <f>IF(K10="Middle","RUN 2 UP",IF(AND(B7="Cont Centrefold",B8=380),"RUN 2 UP",""))</f>
        <v/>
      </c>
      <c r="E9" s="118"/>
      <c r="F9" s="119"/>
      <c r="G9" s="12" t="s">
        <v>46</v>
      </c>
      <c r="H9" s="83" t="s">
        <v>146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12</v>
      </c>
      <c r="C10" s="46"/>
      <c r="D10" s="35" t="s">
        <v>104</v>
      </c>
      <c r="E10" s="87">
        <f>E11*B10</f>
        <v>300</v>
      </c>
      <c r="F10" s="88"/>
      <c r="G10" s="10" t="s">
        <v>51</v>
      </c>
      <c r="H10" s="91">
        <f>H11*B10</f>
        <v>6171.4285714285725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25</v>
      </c>
      <c r="F11" s="90"/>
      <c r="G11" s="41" t="s">
        <v>13</v>
      </c>
      <c r="H11" s="93">
        <f>E11*540000/B8/H8</f>
        <v>514.28571428571433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21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12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 t="s">
        <v>166</v>
      </c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20" t="s">
        <v>103</v>
      </c>
      <c r="H27" s="120"/>
      <c r="I27" s="120" t="s">
        <v>102</v>
      </c>
      <c r="J27" s="120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165</v>
      </c>
      <c r="C28" s="6"/>
      <c r="D28" s="122">
        <v>69</v>
      </c>
      <c r="E28" s="123">
        <v>3.4</v>
      </c>
      <c r="F28" s="6"/>
      <c r="G28" s="116"/>
      <c r="H28" s="116"/>
      <c r="I28" s="116"/>
      <c r="J28" s="116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6"/>
      <c r="H29" s="116"/>
      <c r="I29" s="116"/>
      <c r="J29" s="116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45535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45525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128FF70-D0DD-4C4D-9EAB-5B4D2B928951}"/>
</file>

<file path=customXml/itemProps2.xml><?xml version="1.0" encoding="utf-8"?>
<ds:datastoreItem xmlns:ds="http://schemas.openxmlformats.org/officeDocument/2006/customXml" ds:itemID="{4785E415-1BDC-49F4-9187-09727D7DA886}"/>
</file>

<file path=customXml/itemProps3.xml><?xml version="1.0" encoding="utf-8"?>
<ds:datastoreItem xmlns:ds="http://schemas.openxmlformats.org/officeDocument/2006/customXml" ds:itemID="{CBF33330-8DAC-465C-85CC-2C5EAC7CB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2024-07-02T01:13:59Z</cp:lastPrinted>
  <dcterms:created xsi:type="dcterms:W3CDTF">2019-11-27T23:28:06Z</dcterms:created>
  <dcterms:modified xsi:type="dcterms:W3CDTF">2024-07-31T05:24:10Z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