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C51A7884-0BE4-4410-B4B5-8A7D95FB5F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W8" i="1" l="1"/>
  <c r="X8" i="1" s="1"/>
  <c r="D8" i="1"/>
  <c r="E8" i="1"/>
  <c r="O9" i="1" l="1"/>
  <c r="K8" i="1" l="1"/>
  <c r="A11" i="1"/>
  <c r="W13" i="1" l="1"/>
  <c r="W16" i="1" l="1"/>
  <c r="B2" i="1" l="1"/>
  <c r="T7" i="1"/>
  <c r="T17" i="1"/>
  <c r="W17" i="1"/>
  <c r="Q7" i="1"/>
  <c r="N7" i="1"/>
  <c r="O11" i="1"/>
  <c r="C24" i="1" l="1"/>
  <c r="C23" i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D9" i="1" s="1"/>
  <c r="B11" i="1" s="1"/>
  <c r="S2" i="1"/>
  <c r="O2" i="1"/>
  <c r="A22" i="1" l="1"/>
  <c r="C22" i="1" s="1"/>
  <c r="B1" i="1" s="1"/>
  <c r="A4" i="2" l="1"/>
  <c r="A5" i="2" l="1"/>
  <c r="W2" i="1"/>
  <c r="W1" i="1"/>
  <c r="S1" i="1" l="1"/>
  <c r="O1" i="1" l="1"/>
</calcChain>
</file>

<file path=xl/sharedStrings.xml><?xml version="1.0" encoding="utf-8"?>
<sst xmlns="http://schemas.openxmlformats.org/spreadsheetml/2006/main" count="310" uniqueCount="205">
  <si>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</si>
  <si>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</si>
  <si>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</si>
  <si>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</si>
  <si>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</si>
  <si>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</si>
  <si>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</si>
  <si>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</si>
  <si>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</si>
  <si>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</si>
  <si>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</si>
  <si>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</si>
  <si>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</si>
  <si>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</si>
  <si>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</si>
  <si>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</si>
  <si>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</si>
  <si>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</si>
  <si>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</si>
  <si>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</si>
  <si>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</si>
  <si>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</si>
  <si>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</si>
  <si>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</si>
  <si>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</si>
  <si>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</si>
  <si>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</si>
  <si>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</si>
  <si>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</si>
  <si>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</si>
  <si>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</si>
  <si>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</si>
  <si>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</si>
  <si>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</si>
  <si>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</si>
  <si>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</si>
  <si>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</si>
  <si>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</si>
  <si>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</si>
  <si>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</si>
  <si>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</si>
  <si>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</si>
  <si>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</si>
  <si>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</si>
  <si>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</si>
  <si>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</si>
  <si>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</si>
  <si>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</si>
  <si>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</si>
  <si>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</si>
  <si>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</si>
  <si>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</si>
  <si>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</si>
  <si>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</si>
  <si>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</si>
  <si>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</si>
  <si>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</si>
  <si>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</si>
  <si>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</si>
  <si>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</si>
  <si>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</si>
  <si>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</si>
  <si>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</si>
  <si>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</si>
  <si>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</si>
  <si>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</si>
  <si>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</si>
  <si>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</si>
  <si>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</si>
  <si>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</si>
  <si>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</si>
  <si>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</si>
  <si>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</si>
  <si>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</si>
  <si>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</si>
  <si>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</si>
  <si>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</si>
  <si>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</si>
  <si>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</si>
  <si>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</si>
  <si>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</si>
  <si>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</si>
  <si>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</si>
  <si>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</si>
  <si>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</si>
  <si>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</si>
  <si>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</si>
  <si>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</si>
  <si>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</si>
  <si>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</si>
  <si>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</si>
  <si>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</si>
  <si>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</si>
  <si>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</si>
  <si>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</si>
  <si>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</si>
  <si>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</si>
  <si>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</si>
  <si>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</si>
  <si>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</si>
  <si>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</si>
  <si>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</si>
  <si>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</si>
  <si>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</si>
  <si>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</si>
  <si>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</si>
  <si>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</si>
  <si>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</si>
  <si>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</si>
  <si>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</si>
  <si>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</si>
  <si>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</si>
  <si>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</si>
  <si>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</si>
  <si>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</si>
  <si>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</si>
  <si>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</si>
  <si>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</si>
  <si>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</si>
  <si>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</si>
  <si>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</si>
  <si>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</si>
  <si>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</si>
  <si>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</si>
  <si>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</si>
  <si>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</si>
  <si>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</si>
  <si>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</si>
  <si>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</si>
  <si>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</si>
  <si>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</si>
  <si>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</si>
  <si>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</si>
  <si>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</si>
  <si>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</si>
  <si>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</si>
  <si>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</si>
  <si>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</si>
  <si>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</si>
  <si>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</si>
  <si>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</si>
  <si>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</si>
  <si>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</si>
  <si>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</si>
  <si>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</si>
  <si>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</si>
  <si>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</si>
  <si>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</si>
  <si>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</si>
  <si>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</si>
  <si>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</si>
  <si>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</si>
  <si>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</si>
  <si>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</si>
  <si>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</si>
  <si>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</si>
  <si>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</si>
  <si>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</si>
  <si>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</si>
  <si>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</si>
  <si>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</si>
  <si>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</si>
  <si>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</si>
  <si>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</si>
  <si>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</si>
  <si>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</si>
  <si>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</si>
  <si>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</si>
  <si>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</si>
  <si>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</si>
  <si>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</si>
  <si>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</si>
  <si>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</si>
  <si>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</si>
  <si>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</si>
  <si>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</si>
  <si>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</si>
  <si>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</si>
  <si>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</si>
  <si>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</si>
  <si>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</si>
  <si>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</si>
  <si>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</si>
  <si>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</si>
  <si>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</si>
  <si>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</si>
  <si>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</si>
  <si>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</si>
  <si>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</si>
  <si>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</si>
  <si>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</si>
  <si>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</si>
  <si>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SPOT ON FINISH. USE DOLPHIN REMILL, MUST NOT BE BLOCKED.</t>
  </si>
  <si>
    <t>UV</t>
  </si>
  <si>
    <t xml:space="preserve"> +/- 5mm</t>
  </si>
  <si>
    <t>ASAP</t>
  </si>
  <si>
    <t>RUN AT 140UM</t>
  </si>
  <si>
    <t>Centrefold Roll</t>
  </si>
  <si>
    <t>PERF Q</t>
  </si>
  <si>
    <t>130 Meat</t>
  </si>
  <si>
    <t>150 Meat</t>
  </si>
  <si>
    <t>22.06.2022</t>
  </si>
  <si>
    <t>(245+230)</t>
  </si>
  <si>
    <t>FERNLAND AGENCIES</t>
  </si>
  <si>
    <t>SAME VENTING AS HT CONCEPTS 20LT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</si>
</sst>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20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6" fillId="5" borderId="7" xfId="0" applyFont="1" applyFill="1" applyBorder="1" applyAlignment="1" applyProtection="1">
      <alignment horizontal="center" vertical="top" wrapText="1"/>
      <protection locked="0"/>
    </xf>
    <xf numFmtId="0" fontId="17" fillId="5" borderId="3" xfId="0" applyFont="1" applyFill="1" applyBorder="1" applyAlignment="1" applyProtection="1">
      <alignment horizontal="center" vertical="top" wrapText="1"/>
      <protection locked="0"/>
    </xf>
    <xf numFmtId="0" fontId="17" fillId="5" borderId="8" xfId="0" applyFont="1" applyFill="1" applyBorder="1" applyAlignment="1" applyProtection="1">
      <alignment horizontal="center" vertical="top" wrapText="1"/>
      <protection locked="0"/>
    </xf>
    <xf numFmtId="0" fontId="17" fillId="5" borderId="9" xfId="0" applyFont="1" applyFill="1" applyBorder="1" applyAlignment="1" applyProtection="1">
      <alignment horizontal="center" vertical="top" wrapText="1"/>
      <protection locked="0"/>
    </xf>
    <xf numFmtId="0" fontId="17" fillId="5" borderId="0" xfId="0" applyFont="1" applyFill="1" applyAlignment="1" applyProtection="1">
      <alignment horizontal="center" vertical="top" wrapText="1"/>
      <protection locked="0"/>
    </xf>
    <xf numFmtId="0" fontId="17" fillId="5" borderId="10" xfId="0" applyFont="1" applyFill="1" applyBorder="1" applyAlignment="1" applyProtection="1">
      <alignment horizontal="center" vertical="top" wrapText="1"/>
      <protection locked="0"/>
    </xf>
    <xf numFmtId="0" fontId="17" fillId="5" borderId="11" xfId="0" applyFont="1" applyFill="1" applyBorder="1" applyAlignment="1" applyProtection="1">
      <alignment horizontal="center" vertical="top" wrapText="1"/>
      <protection locked="0"/>
    </xf>
    <xf numFmtId="0" fontId="17" fillId="5" borderId="1" xfId="0" applyFont="1" applyFill="1" applyBorder="1" applyAlignment="1" applyProtection="1">
      <alignment horizontal="center" vertical="top" wrapText="1"/>
      <protection locked="0"/>
    </xf>
    <xf numFmtId="0" fontId="17" fillId="5" borderId="12" xfId="0" applyFont="1" applyFill="1" applyBorder="1" applyAlignment="1" applyProtection="1">
      <alignment horizontal="center" vertical="top" wrapText="1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9" fillId="5" borderId="3" xfId="0" applyFont="1" applyFill="1" applyBorder="1" applyAlignment="1" applyProtection="1">
      <alignment horizontal="center"/>
      <protection locked="0"/>
    </xf>
    <xf numFmtId="0" fontId="19" fillId="5" borderId="8" xfId="0" applyFont="1" applyFill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8" fillId="5" borderId="3" xfId="0" applyFont="1" applyFill="1" applyBorder="1" applyAlignment="1" applyProtection="1">
      <alignment horizontal="center" vertical="center" wrapText="1"/>
      <protection locked="0"/>
    </xf>
    <xf numFmtId="0" fontId="18" fillId="5" borderId="8" xfId="0" applyFont="1" applyFill="1" applyBorder="1" applyAlignment="1" applyProtection="1">
      <alignment horizontal="center" vertical="center" wrapText="1"/>
      <protection locked="0"/>
    </xf>
    <xf numFmtId="0" fontId="18" fillId="5" borderId="1" xfId="0" applyFont="1" applyFill="1" applyBorder="1" applyAlignment="1" applyProtection="1">
      <alignment horizontal="center" vertical="center" wrapText="1"/>
      <protection locked="0"/>
    </xf>
    <xf numFmtId="0" fontId="18" fillId="5" borderId="12" xfId="0" applyFont="1" applyFill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N3" sqref="N3:Y5"/>
    </sheetView>
  </sheetViews>
  <sheetFormatPr defaultRowHeight="15" x14ac:dyDescent="0.25"/>
  <sheetData>
    <row r="1" spans="1:25" ht="20.100000000000001" customHeight="1" x14ac:dyDescent="0.25">
      <c r="A1" s="11" t="s">
        <v>56</v>
      </c>
      <c r="B1" s="110" t="str">
        <f>O9&amp;R9&amp;IF(X8="G","G","")&amp;IF(O8="Centrefold Roll","("&amp;E8&amp;")","")&amp;T9&amp;V9&amp;C22&amp;C23&amp;C24&amp;O11&amp;R11</f>
        <v>PB475G430150BKUVV</v>
      </c>
      <c r="C1" s="110"/>
      <c r="D1" s="111"/>
      <c r="E1" s="11" t="s">
        <v>57</v>
      </c>
      <c r="F1" s="62" t="s">
        <v>203</v>
      </c>
      <c r="G1" s="62"/>
      <c r="H1" s="63"/>
      <c r="I1" s="12" t="s">
        <v>181</v>
      </c>
      <c r="J1" s="121" t="s">
        <v>201</v>
      </c>
      <c r="K1" s="121"/>
      <c r="L1" s="122"/>
      <c r="M1" s="29"/>
      <c r="N1" s="11" t="s">
        <v>56</v>
      </c>
      <c r="O1" s="110" t="str">
        <f>B1</f>
        <v>PB475G430150BKUVV</v>
      </c>
      <c r="P1" s="110"/>
      <c r="Q1" s="111"/>
      <c r="R1" s="11" t="s">
        <v>57</v>
      </c>
      <c r="S1" s="110" t="str">
        <f>F1</f>
        <v>FERNLAND AGENCIES</v>
      </c>
      <c r="T1" s="110"/>
      <c r="U1" s="111"/>
      <c r="V1" s="11" t="s">
        <v>181</v>
      </c>
      <c r="W1" s="121" t="str">
        <f>J1</f>
        <v>22.06.2022</v>
      </c>
      <c r="X1" s="121"/>
      <c r="Y1" s="122"/>
    </row>
    <row r="2" spans="1:25" ht="20.100000000000001" customHeight="1" x14ac:dyDescent="0.25">
      <c r="A2" s="11" t="s">
        <v>100</v>
      </c>
      <c r="B2" s="110" t="str">
        <f>IF(U10="","",U10)</f>
        <v/>
      </c>
      <c r="C2" s="110"/>
      <c r="D2" s="111"/>
      <c r="E2" s="11" t="s">
        <v>58</v>
      </c>
      <c r="F2" s="62">
        <v>948272</v>
      </c>
      <c r="G2" s="62"/>
      <c r="H2" s="63"/>
      <c r="I2" s="11" t="s">
        <v>59</v>
      </c>
      <c r="J2" s="124" t="s">
        <v>195</v>
      </c>
      <c r="K2" s="62"/>
      <c r="L2" s="63"/>
      <c r="M2" s="29"/>
      <c r="N2" s="11" t="s">
        <v>100</v>
      </c>
      <c r="O2" s="110" t="str">
        <f>IF(B2="","",B2)</f>
        <v/>
      </c>
      <c r="P2" s="110"/>
      <c r="Q2" s="111"/>
      <c r="R2" s="11" t="s">
        <v>58</v>
      </c>
      <c r="S2" s="110">
        <f>IF(F2="","",F2)</f>
        <v>948272</v>
      </c>
      <c r="T2" s="110"/>
      <c r="U2" s="111"/>
      <c r="V2" s="11" t="s">
        <v>59</v>
      </c>
      <c r="W2" s="123" t="str">
        <f>J2</f>
        <v>ASAP</v>
      </c>
      <c r="X2" s="110"/>
      <c r="Y2" s="111"/>
    </row>
    <row r="3" spans="1:25" ht="20.100000000000001" customHeight="1" x14ac:dyDescent="0.25">
      <c r="A3" s="112" t="s">
        <v>192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9"/>
      <c r="N3" s="112" t="str">
        <f>A3</f>
        <v>SPOT ON FINISH. USE DOLPHIN REMILL, MUST NOT BE BLOCKED.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00000000000001" customHeight="1" x14ac:dyDescent="0.2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9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00000000000001" customHeight="1" x14ac:dyDescent="0.2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9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00000000000001" customHeight="1" x14ac:dyDescent="0.25">
      <c r="A6" s="125" t="s">
        <v>2</v>
      </c>
      <c r="B6" s="126"/>
      <c r="C6" s="126"/>
      <c r="D6" s="126"/>
      <c r="E6" s="126"/>
      <c r="F6" s="126"/>
      <c r="G6" s="126"/>
      <c r="H6" s="126"/>
      <c r="I6" s="126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00000000000001" customHeight="1" x14ac:dyDescent="0.3">
      <c r="A7" s="11" t="s">
        <v>49</v>
      </c>
      <c r="B7" s="100" t="s">
        <v>177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30</v>
      </c>
      <c r="P7" s="63"/>
      <c r="Q7" s="11" t="str">
        <f>IF(ISNUMBER(SEARCH("roll",O8,1)),"Per Roll","Per Carton")</f>
        <v>Per Carton</v>
      </c>
      <c r="R7" s="62">
        <v>200</v>
      </c>
      <c r="S7" s="63"/>
      <c r="T7" s="11" t="str">
        <f>IF(ISNUMBER(SEARCH("bag",O8,1)),"Total Bags","Total Sheets")</f>
        <v>Total Bags</v>
      </c>
      <c r="U7" s="110">
        <f>R7*O7</f>
        <v>6000</v>
      </c>
      <c r="V7" s="111"/>
      <c r="W7" s="11" t="s">
        <v>102</v>
      </c>
      <c r="X7" s="62" t="s">
        <v>23</v>
      </c>
      <c r="Y7" s="63"/>
    </row>
    <row r="8" spans="1:25" ht="20.100000000000001" customHeight="1" x14ac:dyDescent="0.25">
      <c r="A8" s="13" t="s">
        <v>16</v>
      </c>
      <c r="B8" s="96">
        <f>R9</f>
        <v>475</v>
      </c>
      <c r="C8" s="97"/>
      <c r="D8" s="27" t="str">
        <f>IF(ISNUMBER(SEARCH("bag",O8,1)),"Gusset","Centrefold")</f>
        <v>Gusset</v>
      </c>
      <c r="E8" s="96" t="str">
        <f>IF(O8="Centrefold Roll",B8*2,IF(X9="","None",X9))</f>
        <v>(245+230)</v>
      </c>
      <c r="F8" s="97"/>
      <c r="G8" s="13" t="s">
        <v>52</v>
      </c>
      <c r="H8" s="96">
        <f>(IF(V9&lt;30,"30",V9))</f>
        <v>150</v>
      </c>
      <c r="I8" s="97"/>
      <c r="J8" s="11" t="s">
        <v>54</v>
      </c>
      <c r="K8" s="110" t="str">
        <f>IF(X8="None","Layflat Tube",IF(X8="","Layflat Tube",IF(X8="CF","Layflat Tube",IF(X8="G","Gusset Tube",IF(X9="","Layflat Tube",)))))</f>
        <v>Gusset Tube</v>
      </c>
      <c r="L8" s="111"/>
      <c r="M8" s="29"/>
      <c r="N8" s="14" t="s">
        <v>54</v>
      </c>
      <c r="O8" s="102" t="s">
        <v>164</v>
      </c>
      <c r="P8" s="103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G</v>
      </c>
      <c r="Y8" s="95"/>
    </row>
    <row r="9" spans="1:25" ht="20.100000000000001" customHeight="1" x14ac:dyDescent="0.3">
      <c r="A9" s="16" t="s">
        <v>48</v>
      </c>
      <c r="B9" s="127" t="s">
        <v>194</v>
      </c>
      <c r="C9" s="128"/>
      <c r="D9" s="135" t="str">
        <f>IF(K10="Middle","RUN 2 UP",IF(AND(O8="Centrefold Roll",B8=380),"RUN 2 UP",""))</f>
        <v/>
      </c>
      <c r="E9" s="100"/>
      <c r="F9" s="101"/>
      <c r="G9" s="16" t="s">
        <v>48</v>
      </c>
      <c r="H9" s="127" t="s">
        <v>196</v>
      </c>
      <c r="I9" s="128"/>
      <c r="J9" s="11" t="s">
        <v>55</v>
      </c>
      <c r="K9" s="62" t="s">
        <v>30</v>
      </c>
      <c r="L9" s="63"/>
      <c r="M9" s="29"/>
      <c r="N9" s="17"/>
      <c r="O9" s="104" t="str">
        <f>IF(O8="Poly Bag","PB",IF(O8="Poly Bag Roll","PBR",IF(O8="Centrefold Roll","CFR",IF(O8="Sheet","S",IF(O8="Sheet Roll","SR")))))</f>
        <v>PB</v>
      </c>
      <c r="P9" s="105"/>
      <c r="Q9" s="17"/>
      <c r="R9" s="30">
        <v>475</v>
      </c>
      <c r="S9" s="18" t="s">
        <v>78</v>
      </c>
      <c r="T9" s="30">
        <v>430</v>
      </c>
      <c r="U9" s="18" t="s">
        <v>78</v>
      </c>
      <c r="V9" s="30">
        <v>150</v>
      </c>
      <c r="W9" s="17"/>
      <c r="X9" s="88" t="s">
        <v>202</v>
      </c>
      <c r="Y9" s="89"/>
    </row>
    <row r="10" spans="1:25" ht="20.100000000000001" customHeight="1" x14ac:dyDescent="0.25">
      <c r="A10" s="11" t="s">
        <v>51</v>
      </c>
      <c r="B10" s="62">
        <v>14</v>
      </c>
      <c r="C10" s="63"/>
      <c r="D10" s="47" t="s">
        <v>134</v>
      </c>
      <c r="E10" s="129">
        <f>IF(ISNUMBER(SEARCH("sheet",O8,1)),((R9*T9*H8/540000)*U7/2000*1.3),((R9*T9*H8/540000)*U7/1000*1.08))</f>
        <v>367.65000000000003</v>
      </c>
      <c r="F10" s="130"/>
      <c r="G10" s="11" t="s">
        <v>53</v>
      </c>
      <c r="H10" s="133">
        <f>IF(ISNUMBER(SEARCH("sheet",O8,1)),(U7*T9/2000*1.08),(U7*T9/1000*1.08))</f>
        <v>2786.4</v>
      </c>
      <c r="I10" s="134"/>
      <c r="J10" s="11" t="s">
        <v>41</v>
      </c>
      <c r="K10" s="62" t="s">
        <v>44</v>
      </c>
      <c r="L10" s="63"/>
      <c r="M10" s="29"/>
      <c r="N10" s="14" t="s">
        <v>141</v>
      </c>
      <c r="O10" s="98" t="s">
        <v>140</v>
      </c>
      <c r="P10" s="99"/>
      <c r="Q10" s="14" t="s">
        <v>50</v>
      </c>
      <c r="R10" s="94" t="str">
        <f>IF(K11="NONE","None",IF(K11="INLINE","Yes",IF(K11="OUT OF LINE","Yes")))</f>
        <v>None</v>
      </c>
      <c r="S10" s="94"/>
      <c r="T10" s="14" t="s">
        <v>100</v>
      </c>
      <c r="U10" s="106"/>
      <c r="V10" s="106"/>
      <c r="W10" s="106"/>
      <c r="X10" s="106"/>
      <c r="Y10" s="107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11" t="s">
        <v>135</v>
      </c>
      <c r="E11" s="131">
        <f>E10/B10</f>
        <v>26.26071428571429</v>
      </c>
      <c r="F11" s="132"/>
      <c r="G11" s="11" t="s">
        <v>15</v>
      </c>
      <c r="H11" s="131">
        <f>H10/B10</f>
        <v>199.02857142857144</v>
      </c>
      <c r="I11" s="132"/>
      <c r="J11" s="11" t="s">
        <v>50</v>
      </c>
      <c r="K11" s="62" t="s">
        <v>44</v>
      </c>
      <c r="L11" s="63"/>
      <c r="M11" s="29"/>
      <c r="N11" s="13"/>
      <c r="O11" s="96" t="str">
        <f>IF(O10="NONE","","V")</f>
        <v>V</v>
      </c>
      <c r="P11" s="97"/>
      <c r="Q11" s="13"/>
      <c r="R11" s="96" t="str">
        <f>IF(R10="None","","P")</f>
        <v/>
      </c>
      <c r="S11" s="97"/>
      <c r="T11" s="13"/>
      <c r="U11" s="108"/>
      <c r="V11" s="108"/>
      <c r="W11" s="108"/>
      <c r="X11" s="108"/>
      <c r="Y11" s="109"/>
    </row>
    <row r="12" spans="1:25" ht="20.100000000000001" customHeight="1" x14ac:dyDescent="0.2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00000000000001" customHeight="1" x14ac:dyDescent="0.25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30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00000000000001" customHeight="1" x14ac:dyDescent="0.3">
      <c r="A14" s="13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00000000000001" customHeight="1" x14ac:dyDescent="0.2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00000000000001" customHeight="1" x14ac:dyDescent="0.25">
      <c r="A16" s="66" t="s">
        <v>3</v>
      </c>
      <c r="B16" s="68"/>
      <c r="C16" s="66" t="s">
        <v>142</v>
      </c>
      <c r="D16" s="68"/>
      <c r="E16" s="148" t="s">
        <v>4</v>
      </c>
      <c r="F16" s="148"/>
      <c r="G16" s="148" t="s">
        <v>5</v>
      </c>
      <c r="H16" s="148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 t="s">
        <v>170</v>
      </c>
      <c r="P16" s="63"/>
      <c r="Q16" s="11" t="s">
        <v>105</v>
      </c>
      <c r="R16" s="62" t="s">
        <v>23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00000000000001" customHeight="1" x14ac:dyDescent="0.25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37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31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00000000000001" customHeight="1" x14ac:dyDescent="0.25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185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00000000000001" customHeight="1" x14ac:dyDescent="0.2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204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00000000000001" customHeight="1" x14ac:dyDescent="0.2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00000000000001" customHeight="1" x14ac:dyDescent="0.2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00000000000001" customHeight="1" x14ac:dyDescent="0.25">
      <c r="A22" s="61" t="str">
        <f>(IF(B7="NATURAL","",B7))</f>
        <v>BLACK</v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93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00000000000001" customHeight="1" x14ac:dyDescent="0.25">
      <c r="A23" s="149" t="s">
        <v>193</v>
      </c>
      <c r="B23" s="149"/>
      <c r="C23" s="92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93"/>
      <c r="E23" s="59"/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00000000000001" customHeight="1" x14ac:dyDescent="0.25">
      <c r="A24" s="150"/>
      <c r="B24" s="151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198</v>
      </c>
      <c r="P25" s="34"/>
      <c r="Q25" s="10">
        <v>24</v>
      </c>
      <c r="R25" s="10">
        <v>6.5</v>
      </c>
      <c r="S25" s="10"/>
      <c r="T25" s="10">
        <v>11</v>
      </c>
      <c r="U25" s="10"/>
      <c r="V25" s="10">
        <v>3</v>
      </c>
      <c r="W25" s="10">
        <v>250</v>
      </c>
      <c r="X25" s="10">
        <v>250</v>
      </c>
      <c r="Y25" s="10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00000000000001" customHeight="1" x14ac:dyDescent="0.25">
      <c r="A27" s="22" t="s">
        <v>96</v>
      </c>
      <c r="B27" s="7"/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136" t="s">
        <v>116</v>
      </c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8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139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1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142"/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4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145" t="s">
        <v>136</v>
      </c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147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1" priority="5" operator="containsText" text="MAROON">
      <formula>NOT(ISERROR(SEARCH("MAROON",B7)))</formula>
    </cfRule>
    <cfRule type="containsText" dxfId="10" priority="6" operator="containsText" text="ORANGE">
      <formula>NOT(ISERROR(SEARCH("ORANGE",B7)))</formula>
    </cfRule>
    <cfRule type="containsText" dxfId="9" priority="7" operator="containsText" text="GREEN">
      <formula>NOT(ISERROR(SEARCH("GREEN",B7)))</formula>
    </cfRule>
    <cfRule type="containsText" dxfId="8" priority="8" operator="containsText" text="RED">
      <formula>NOT(ISERROR(SEARCH("RED",B7)))</formula>
    </cfRule>
    <cfRule type="containsText" dxfId="7" priority="9" operator="containsText" text="WHITE">
      <formula>NOT(ISERROR(SEARCH("WHITE",B7)))</formula>
    </cfRule>
    <cfRule type="containsText" dxfId="6" priority="10" operator="containsText" text="PURPLE">
      <formula>NOT(ISERROR(SEARCH("PURPLE",B7)))</formula>
    </cfRule>
    <cfRule type="containsText" dxfId="5" priority="11" operator="containsText" text="BLUE">
      <formula>NOT(ISERROR(SEARCH("BLUE",B7)))</formula>
    </cfRule>
    <cfRule type="containsText" dxfId="4" priority="12" operator="containsText" text="YELLOW">
      <formula>NOT(ISERROR(SEARCH("YELLOW",B7)))</formula>
    </cfRule>
  </conditionalFormatting>
  <conditionalFormatting sqref="B7:I7">
    <cfRule type="containsText" dxfId="3" priority="2" operator="containsText" text="BLACK">
      <formula>NOT(ISERROR(SEARCH("BLACK",B7)))</formula>
    </cfRule>
  </conditionalFormatting>
  <conditionalFormatting sqref="J2 W2">
    <cfRule type="containsText" dxfId="2" priority="1" operator="containsText" text="ASAP">
      <formula>NOT(ISERROR(SEARCH("ASAP",J2)))</formula>
    </cfRule>
  </conditionalFormatting>
  <conditionalFormatting sqref="J13 B7">
    <cfRule type="containsText" dxfId="1" priority="4" operator="containsText" text="LILAC">
      <formula>NOT(ISERROR(SEARCH("LILAC",B7)))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="90" zoomScaleNormal="90" workbookViewId="0">
      <selection activeCell="H18" sqref="H18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 t="e">
        <f>DATE(YEAR(Sheet1!J1),MONTH(Sheet1!J1)+1,DAY(Sheet1!J1))</f>
        <v>#VALUE!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 t="e">
        <f>DATE(YEAR(Sheet1!J1),MONTH(Sheet1!J1),DAY(Sheet1!J1)+21)</f>
        <v>#VALUE!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195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197</v>
      </c>
      <c r="T19" s="1"/>
      <c r="V19" s="1"/>
    </row>
    <row r="20" spans="1:23" x14ac:dyDescent="0.2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 t="s">
        <v>199</v>
      </c>
      <c r="U33" s="1"/>
      <c r="V33" s="1"/>
    </row>
    <row r="34" spans="1:22" x14ac:dyDescent="0.2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 t="s">
        <v>200</v>
      </c>
      <c r="U34" s="1"/>
      <c r="V34" s="1"/>
    </row>
    <row r="35" spans="1:22" x14ac:dyDescent="0.2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2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2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148</v>
      </c>
    </row>
    <row r="60" spans="1:20" x14ac:dyDescent="0.25">
      <c r="A60" s="55" t="s">
        <v>149</v>
      </c>
      <c r="O60" s="1"/>
      <c r="Q60" s="1"/>
      <c r="R60" s="3"/>
      <c r="S60" s="1"/>
    </row>
    <row r="61" spans="1:20" x14ac:dyDescent="0.25">
      <c r="A61" s="55" t="s">
        <v>150</v>
      </c>
      <c r="O61" s="1"/>
      <c r="Q61" s="1"/>
      <c r="R61" s="1"/>
      <c r="S61" s="1"/>
    </row>
    <row r="62" spans="1:20" x14ac:dyDescent="0.25">
      <c r="A62" s="55" t="s">
        <v>151</v>
      </c>
      <c r="O62" s="1"/>
      <c r="Q62" s="1"/>
      <c r="R62" s="1"/>
      <c r="S62" s="1"/>
    </row>
    <row r="63" spans="1:20" x14ac:dyDescent="0.25">
      <c r="A63" s="55" t="s">
        <v>152</v>
      </c>
      <c r="O63" s="1"/>
      <c r="Q63" s="1"/>
      <c r="R63" s="1"/>
      <c r="S63" s="1"/>
      <c r="T63" s="1"/>
    </row>
    <row r="64" spans="1:20" x14ac:dyDescent="0.25">
      <c r="A64" s="55" t="s">
        <v>153</v>
      </c>
      <c r="O64" s="1"/>
      <c r="Q64" s="1"/>
      <c r="R64" s="1"/>
      <c r="S64" s="1"/>
      <c r="T64" s="1"/>
    </row>
    <row r="65" spans="1:20" x14ac:dyDescent="0.2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6CE3AF6-2C8B-41F2-B0E0-CE1963A44E2E}"/>
</file>

<file path=customXml/itemProps2.xml><?xml version="1.0" encoding="utf-8"?>
<ds:datastoreItem xmlns:ds="http://schemas.openxmlformats.org/officeDocument/2006/customXml" ds:itemID="{3196B38E-E5FB-4EF5-8829-EDDEE9DDB495}"/>
</file>

<file path=customXml/itemProps3.xml><?xml version="1.0" encoding="utf-8"?>
<ds:datastoreItem xmlns:ds="http://schemas.openxmlformats.org/officeDocument/2006/customXml" ds:itemID="{0607E96F-6E12-4816-ABCE-4770BAE725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2024-07-26T01:46:20Z</cp:lastPrinted>
  <dcterms:created xsi:type="dcterms:W3CDTF">2019-11-27T23:28:06Z</dcterms:created>
  <dcterms:modified xsi:type="dcterms:W3CDTF">2025-11-12T05:43:40Z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