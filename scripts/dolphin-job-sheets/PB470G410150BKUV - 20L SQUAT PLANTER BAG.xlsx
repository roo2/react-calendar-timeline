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8D68CC0-1F10-4304-90C4-B9BCDFA63D4E}" xr6:coauthVersionLast="47" xr6:coauthVersionMax="47" xr10:uidLastSave="{00000000-0000-0000-0000-000000000000}"/>
  <bookViews>
    <workbookView xWindow="30210" yWindow="309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3" i="1" l="1"/>
  <c r="N3" i="1"/>
  <c r="W8" i="1" l="1"/>
  <c r="X8" i="1" s="1"/>
  <c r="D8" i="1"/>
  <c r="E8" i="1"/>
  <c r="O9" i="1" l="1"/>
  <c r="K8" i="1" l="1"/>
  <c r="A11" i="1"/>
  <c r="W16" i="1" l="1"/>
  <c r="B2" i="1" l="1"/>
  <c r="T7" i="1"/>
  <c r="T17" i="1"/>
  <c r="W17" i="1"/>
  <c r="Q7" i="1"/>
  <c r="N7" i="1"/>
  <c r="O11" i="1"/>
  <c r="C24" i="1" l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S2" i="1"/>
  <c r="O2" i="1"/>
  <c r="A22" i="1" l="1"/>
  <c r="C22" i="1" s="1"/>
  <c r="B1" i="1" s="1"/>
  <c r="A4" i="2" l="1"/>
  <c r="A5" i="2" l="1"/>
  <c r="W2" i="1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<sst xmlns="http://schemas.openxmlformats.org/spreadsheetml/2006/main" count="311" uniqueCount="206">
  <si>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</si>
  <si>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</si>
  <si>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</si>
  <si>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</si>
  <si>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</si>
  <si>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</si>
  <si>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</si>
  <si>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</si>
  <si>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</si>
  <si>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</si>
  <si>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</si>
  <si>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</si>
  <si>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</si>
  <si>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</si>
  <si>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</si>
  <si>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</si>
  <si>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</si>
  <si>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</si>
  <si>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</si>
  <si>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</si>
  <si>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</si>
  <si>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</si>
  <si>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</si>
  <si>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</si>
  <si>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</si>
  <si>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</si>
  <si>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</si>
  <si>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</si>
  <si>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</si>
  <si>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</si>
  <si>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</si>
  <si>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</si>
  <si>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</si>
  <si>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</si>
  <si>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</si>
  <si>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</si>
  <si>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</si>
  <si>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</si>
  <si>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</si>
  <si>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</si>
  <si>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</si>
  <si>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</si>
  <si>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</si>
  <si>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</si>
  <si>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</si>
  <si>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</si>
  <si>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</si>
  <si>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</si>
  <si>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</si>
  <si>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</si>
  <si>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</si>
  <si>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</si>
  <si>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</si>
  <si>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</si>
  <si>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</si>
  <si>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</si>
  <si>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</si>
  <si>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</si>
  <si>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</si>
  <si>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</si>
  <si>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</si>
  <si>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</si>
  <si>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</si>
  <si>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</si>
  <si>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</si>
  <si>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</si>
  <si>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</si>
  <si>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</si>
  <si>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</si>
  <si>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</si>
  <si>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</si>
  <si>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</si>
  <si>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</si>
  <si>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</si>
  <si>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</si>
  <si>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</si>
  <si>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</si>
  <si>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</si>
  <si>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</si>
  <si>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</si>
  <si>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</si>
  <si>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</si>
  <si>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</si>
  <si>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</si>
  <si>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</si>
  <si>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</si>
  <si>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</si>
  <si>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</si>
  <si>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</si>
  <si>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</si>
  <si>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</si>
  <si>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</si>
  <si>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</si>
  <si>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</si>
  <si>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</si>
  <si>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</si>
  <si>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</si>
  <si>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</si>
  <si>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</si>
  <si>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</si>
  <si>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</si>
  <si>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</si>
  <si>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</si>
  <si>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</si>
  <si>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</si>
  <si>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</si>
  <si>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</si>
  <si>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</si>
  <si>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</si>
  <si>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</si>
  <si>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</si>
  <si>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</si>
  <si>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</si>
  <si>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</si>
  <si>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</si>
  <si>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</si>
  <si>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</si>
  <si>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</si>
  <si>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</si>
  <si>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</si>
  <si>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</si>
  <si>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</si>
  <si>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</si>
  <si>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</si>
  <si>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</si>
  <si>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</si>
  <si>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</si>
  <si>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</si>
  <si>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</si>
  <si>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</si>
  <si>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</si>
  <si>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</si>
  <si>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</si>
  <si>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</si>
  <si>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</si>
  <si>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</si>
  <si>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</si>
  <si>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</si>
  <si>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</si>
  <si>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</si>
  <si>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</si>
  <si>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</si>
  <si>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</si>
  <si>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</si>
  <si>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</si>
  <si>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</si>
  <si>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</si>
  <si>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</si>
  <si>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</si>
  <si>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</si>
  <si>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</si>
  <si>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</si>
  <si>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</si>
  <si>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</si>
  <si>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</si>
  <si>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</si>
  <si>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</si>
  <si>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</si>
  <si>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</si>
  <si>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</si>
  <si>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</si>
  <si>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</si>
  <si>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</si>
  <si>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</si>
  <si>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</si>
  <si>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</si>
  <si>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</si>
  <si>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</si>
  <si>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</si>
  <si>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</si>
  <si>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</si>
  <si>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</si>
  <si>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</si>
  <si>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</si>
  <si>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</si>
  <si>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</si>
  <si>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</si>
  <si>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</si>
  <si>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</si>
  <si>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</si>
  <si>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</si>
  <si>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</si>
  <si>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</si>
  <si>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</si>
  <si>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</si>
  <si>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</si>
  <si>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</si>
  <si>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</si>
  <si>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</si>
  <si>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</si>
  <si>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</si>
  <si>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</si>
  <si>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</si>
  <si>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</si>
  <si>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 xml:space="preserve"> +/- 5mm</t>
  </si>
  <si>
    <t>ASAP</t>
  </si>
  <si>
    <t>RUN AT 140UM</t>
  </si>
  <si>
    <t>Centrefold Roll</t>
  </si>
  <si>
    <t>PERF Q</t>
  </si>
  <si>
    <t>130 Meat</t>
  </si>
  <si>
    <t>150 Meat</t>
  </si>
  <si>
    <t>(245+225)</t>
  </si>
  <si>
    <t>HT CONCEPTS</t>
  </si>
  <si>
    <t>04.11.2023</t>
  </si>
  <si>
    <t>20LT SQUAT BAGS</t>
  </si>
  <si>
    <t xml:space="preserve"> 130 MEAT CARTONS ONLY  - MUST PACK IN BUNDLES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</si>
</sst>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9" fillId="5" borderId="5" xfId="0" applyFont="1" applyFill="1" applyBorder="1" applyAlignment="1" applyProtection="1">
      <alignment horizontal="center"/>
      <protection locked="0"/>
    </xf>
    <xf numFmtId="0" fontId="20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5" borderId="7" xfId="0" applyFont="1" applyFill="1" applyBorder="1" applyAlignment="1" applyProtection="1">
      <alignment horizontal="center" vertical="top" wrapText="1"/>
      <protection locked="0"/>
    </xf>
    <xf numFmtId="0" fontId="17" fillId="5" borderId="3" xfId="0" applyFont="1" applyFill="1" applyBorder="1" applyAlignment="1" applyProtection="1">
      <alignment horizontal="center" vertical="top" wrapText="1"/>
      <protection locked="0"/>
    </xf>
    <xf numFmtId="0" fontId="17" fillId="5" borderId="8" xfId="0" applyFont="1" applyFill="1" applyBorder="1" applyAlignment="1" applyProtection="1">
      <alignment horizontal="center" vertical="top" wrapText="1"/>
      <protection locked="0"/>
    </xf>
    <xf numFmtId="0" fontId="17" fillId="5" borderId="9" xfId="0" applyFont="1" applyFill="1" applyBorder="1" applyAlignment="1" applyProtection="1">
      <alignment horizontal="center" vertical="top" wrapText="1"/>
      <protection locked="0"/>
    </xf>
    <xf numFmtId="0" fontId="17" fillId="5" borderId="0" xfId="0" applyFont="1" applyFill="1" applyAlignment="1" applyProtection="1">
      <alignment horizontal="center" vertical="top" wrapText="1"/>
      <protection locked="0"/>
    </xf>
    <xf numFmtId="0" fontId="17" fillId="5" borderId="10" xfId="0" applyFont="1" applyFill="1" applyBorder="1" applyAlignment="1" applyProtection="1">
      <alignment horizontal="center" vertical="top" wrapText="1"/>
      <protection locked="0"/>
    </xf>
    <xf numFmtId="0" fontId="17" fillId="5" borderId="11" xfId="0" applyFont="1" applyFill="1" applyBorder="1" applyAlignment="1" applyProtection="1">
      <alignment horizontal="center" vertical="top" wrapText="1"/>
      <protection locked="0"/>
    </xf>
    <xf numFmtId="0" fontId="17" fillId="5" borderId="1" xfId="0" applyFont="1" applyFill="1" applyBorder="1" applyAlignment="1" applyProtection="1">
      <alignment horizontal="center" vertical="top" wrapText="1"/>
      <protection locked="0"/>
    </xf>
    <xf numFmtId="0" fontId="17" fillId="5" borderId="12" xfId="0" applyFont="1" applyFill="1" applyBorder="1" applyAlignment="1" applyProtection="1">
      <alignment horizontal="center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9" fillId="5" borderId="3" xfId="0" applyFont="1" applyFill="1" applyBorder="1" applyAlignment="1" applyProtection="1">
      <alignment horizontal="center"/>
      <protection locked="0"/>
    </xf>
    <xf numFmtId="0" fontId="19" fillId="5" borderId="8" xfId="0" applyFont="1" applyFill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8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2" t="str">
        <f>O9&amp;R9&amp;IF(X8="G","G","")&amp;IF(O8="Centrefold Roll","("&amp;E8&amp;")","")&amp;T9&amp;V9&amp;C22&amp;C23&amp;C24&amp;O11&amp;R11</f>
        <v>PB470G410150BKUVV</v>
      </c>
      <c r="C1" s="112"/>
      <c r="D1" s="113"/>
      <c r="E1" s="11" t="s">
        <v>57</v>
      </c>
      <c r="F1" s="64" t="s">
        <v>202</v>
      </c>
      <c r="G1" s="64"/>
      <c r="H1" s="65"/>
      <c r="I1" s="12" t="s">
        <v>181</v>
      </c>
      <c r="J1" s="125" t="s">
        <v>203</v>
      </c>
      <c r="K1" s="125"/>
      <c r="L1" s="126"/>
      <c r="M1" s="29"/>
      <c r="N1" s="11" t="s">
        <v>56</v>
      </c>
      <c r="O1" s="112" t="str">
        <f>B1</f>
        <v>PB470G410150BKUVV</v>
      </c>
      <c r="P1" s="112"/>
      <c r="Q1" s="113"/>
      <c r="R1" s="11" t="s">
        <v>57</v>
      </c>
      <c r="S1" s="112" t="str">
        <f>F1</f>
        <v>HT CONCEPTS</v>
      </c>
      <c r="T1" s="112"/>
      <c r="U1" s="113"/>
      <c r="V1" s="11" t="s">
        <v>181</v>
      </c>
      <c r="W1" s="125" t="str">
        <f>J1</f>
        <v>04.11.2023</v>
      </c>
      <c r="X1" s="125"/>
      <c r="Y1" s="126"/>
    </row>
    <row r="2" spans="1:25" ht="20.100000000000001" customHeight="1" x14ac:dyDescent="0.25">
      <c r="A2" s="11" t="s">
        <v>100</v>
      </c>
      <c r="B2" s="112" t="str">
        <f>IF(U10="","",U10)</f>
        <v>20LT SQUAT BAGS</v>
      </c>
      <c r="C2" s="112"/>
      <c r="D2" s="113"/>
      <c r="E2" s="11" t="s">
        <v>58</v>
      </c>
      <c r="F2" s="64">
        <v>946782</v>
      </c>
      <c r="G2" s="64"/>
      <c r="H2" s="65"/>
      <c r="I2" s="11" t="s">
        <v>59</v>
      </c>
      <c r="J2" s="128" t="s">
        <v>195</v>
      </c>
      <c r="K2" s="64"/>
      <c r="L2" s="65"/>
      <c r="M2" s="29"/>
      <c r="N2" s="11" t="s">
        <v>100</v>
      </c>
      <c r="O2" s="112" t="str">
        <f>IF(B2="","",B2)</f>
        <v>20LT SQUAT BAGS</v>
      </c>
      <c r="P2" s="112"/>
      <c r="Q2" s="113"/>
      <c r="R2" s="11" t="s">
        <v>58</v>
      </c>
      <c r="S2" s="112">
        <f>IF(F2="","",F2)</f>
        <v>946782</v>
      </c>
      <c r="T2" s="112"/>
      <c r="U2" s="113"/>
      <c r="V2" s="11" t="s">
        <v>59</v>
      </c>
      <c r="W2" s="127" t="str">
        <f>J2</f>
        <v>ASAP</v>
      </c>
      <c r="X2" s="112"/>
      <c r="Y2" s="113"/>
    </row>
    <row r="3" spans="1:25" ht="20.100000000000001" customHeight="1" x14ac:dyDescent="0.25">
      <c r="A3" s="114" t="s">
        <v>192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 t="str">
        <f>A3</f>
        <v>SPOT ON FINISH. USE DOLPHIN REMILL, MUST NOT BE BLOCKED.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129" t="s">
        <v>2</v>
      </c>
      <c r="B6" s="130"/>
      <c r="C6" s="130"/>
      <c r="D6" s="130"/>
      <c r="E6" s="130"/>
      <c r="F6" s="130"/>
      <c r="G6" s="130"/>
      <c r="H6" s="130"/>
      <c r="I6" s="130"/>
      <c r="J6" s="72"/>
      <c r="K6" s="72"/>
      <c r="L6" s="73"/>
      <c r="M6" s="29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29"/>
      <c r="N7" s="11" t="str">
        <f>IF(ISNUMBER(SEARCH("roll",O8,1)),"No. Rolls","No. Cartons")</f>
        <v>No. Cartons</v>
      </c>
      <c r="O7" s="64">
        <v>20</v>
      </c>
      <c r="P7" s="65"/>
      <c r="Q7" s="11" t="str">
        <f>IF(ISNUMBER(SEARCH("roll",O8,1)),"Per Roll","Per Carton")</f>
        <v>Per Carton</v>
      </c>
      <c r="R7" s="123">
        <v>250</v>
      </c>
      <c r="S7" s="124"/>
      <c r="T7" s="11" t="str">
        <f>IF(ISNUMBER(SEARCH("bag",O8,1)),"Total Bags","Total Sheets")</f>
        <v>Total Bags</v>
      </c>
      <c r="U7" s="112">
        <f>R7*O7</f>
        <v>5000</v>
      </c>
      <c r="V7" s="113"/>
      <c r="W7" s="11" t="s">
        <v>102</v>
      </c>
      <c r="X7" s="64" t="s">
        <v>23</v>
      </c>
      <c r="Y7" s="65"/>
    </row>
    <row r="8" spans="1:25" ht="20.100000000000001" customHeight="1" x14ac:dyDescent="0.25">
      <c r="A8" s="13" t="s">
        <v>16</v>
      </c>
      <c r="B8" s="98">
        <f>R9</f>
        <v>470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(245+225)</v>
      </c>
      <c r="F8" s="99"/>
      <c r="G8" s="13" t="s">
        <v>52</v>
      </c>
      <c r="H8" s="98">
        <f>(IF(V9&lt;30,"30",V9))</f>
        <v>150</v>
      </c>
      <c r="I8" s="99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29"/>
      <c r="N8" s="14" t="s">
        <v>54</v>
      </c>
      <c r="O8" s="104" t="s">
        <v>164</v>
      </c>
      <c r="P8" s="105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6" t="s">
        <v>48</v>
      </c>
      <c r="B9" s="131" t="s">
        <v>194</v>
      </c>
      <c r="C9" s="132"/>
      <c r="D9" s="139" t="str">
        <f>IF(K10="Middle","RUN 2 UP",IF(AND(O8="Centrefold Roll",B8=380),"RUN 2 UP",""))</f>
        <v/>
      </c>
      <c r="E9" s="102"/>
      <c r="F9" s="103"/>
      <c r="G9" s="16" t="s">
        <v>48</v>
      </c>
      <c r="H9" s="131" t="s">
        <v>196</v>
      </c>
      <c r="I9" s="132"/>
      <c r="J9" s="11" t="s">
        <v>55</v>
      </c>
      <c r="K9" s="64" t="s">
        <v>30</v>
      </c>
      <c r="L9" s="65"/>
      <c r="M9" s="29"/>
      <c r="N9" s="17"/>
      <c r="O9" s="106" t="str">
        <f>IF(O8="Poly Bag","PB",IF(O8="Poly Bag Roll","PBR",IF(O8="Centrefold Roll","CFR",IF(O8="Sheet","S",IF(O8="Sheet Roll","SR")))))</f>
        <v>PB</v>
      </c>
      <c r="P9" s="107"/>
      <c r="Q9" s="17"/>
      <c r="R9" s="30">
        <v>470</v>
      </c>
      <c r="S9" s="18" t="s">
        <v>78</v>
      </c>
      <c r="T9" s="30">
        <v>410</v>
      </c>
      <c r="U9" s="18" t="s">
        <v>78</v>
      </c>
      <c r="V9" s="30">
        <v>150</v>
      </c>
      <c r="W9" s="17"/>
      <c r="X9" s="90" t="s">
        <v>201</v>
      </c>
      <c r="Y9" s="91"/>
    </row>
    <row r="10" spans="1:25" ht="20.100000000000001" customHeight="1" x14ac:dyDescent="0.25">
      <c r="A10" s="11" t="s">
        <v>51</v>
      </c>
      <c r="B10" s="64">
        <v>18</v>
      </c>
      <c r="C10" s="65"/>
      <c r="D10" s="47" t="s">
        <v>134</v>
      </c>
      <c r="E10" s="133">
        <f>IF(ISNUMBER(SEARCH("sheet",O8,1)),((R9*T9*H8/540000)*U7/2000*1.3),((R9*T9*H8/540000)*U7/1000*1.08))</f>
        <v>289.05</v>
      </c>
      <c r="F10" s="134"/>
      <c r="G10" s="11" t="s">
        <v>53</v>
      </c>
      <c r="H10" s="137">
        <f>IF(ISNUMBER(SEARCH("sheet",O8,1)),(U7*T9/2000*1.08),(U7*T9/1000*1.08))</f>
        <v>2214</v>
      </c>
      <c r="I10" s="138"/>
      <c r="J10" s="11" t="s">
        <v>41</v>
      </c>
      <c r="K10" s="64" t="s">
        <v>44</v>
      </c>
      <c r="L10" s="65"/>
      <c r="M10" s="29"/>
      <c r="N10" s="14" t="s">
        <v>141</v>
      </c>
      <c r="O10" s="100" t="s">
        <v>140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8" t="s">
        <v>204</v>
      </c>
      <c r="V10" s="108"/>
      <c r="W10" s="108"/>
      <c r="X10" s="108"/>
      <c r="Y10" s="109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2"/>
      <c r="C11" s="113"/>
      <c r="D11" s="11" t="s">
        <v>135</v>
      </c>
      <c r="E11" s="135">
        <f>E10/B10</f>
        <v>16.058333333333334</v>
      </c>
      <c r="F11" s="136"/>
      <c r="G11" s="11" t="s">
        <v>15</v>
      </c>
      <c r="H11" s="135">
        <f>H10/B10</f>
        <v>123</v>
      </c>
      <c r="I11" s="136"/>
      <c r="J11" s="11" t="s">
        <v>50</v>
      </c>
      <c r="K11" s="64" t="s">
        <v>44</v>
      </c>
      <c r="L11" s="65"/>
      <c r="M11" s="29"/>
      <c r="N11" s="13"/>
      <c r="O11" s="98" t="str">
        <f>IF(O10="NONE","","V")</f>
        <v>V</v>
      </c>
      <c r="P11" s="99"/>
      <c r="Q11" s="13"/>
      <c r="R11" s="98" t="str">
        <f>IF(R10="None","","P")</f>
        <v/>
      </c>
      <c r="S11" s="99"/>
      <c r="T11" s="13"/>
      <c r="U11" s="110"/>
      <c r="V11" s="110"/>
      <c r="W11" s="110"/>
      <c r="X11" s="110"/>
      <c r="Y11" s="111"/>
    </row>
    <row r="12" spans="1:25" ht="20.100000000000001" customHeight="1" x14ac:dyDescent="0.2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29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 x14ac:dyDescent="0.25">
      <c r="A13" s="11" t="s">
        <v>68</v>
      </c>
      <c r="B13" s="64" t="s">
        <v>44</v>
      </c>
      <c r="C13" s="64"/>
      <c r="D13" s="65"/>
      <c r="E13" s="19" t="s">
        <v>61</v>
      </c>
      <c r="F13" s="64" t="s">
        <v>44</v>
      </c>
      <c r="G13" s="64"/>
      <c r="H13" s="65"/>
      <c r="I13" s="11" t="s">
        <v>62</v>
      </c>
      <c r="J13" s="64" t="s">
        <v>44</v>
      </c>
      <c r="K13" s="64"/>
      <c r="L13" s="65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60" t="s">
        <v>75</v>
      </c>
      <c r="W13" s="59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00000000000001" customHeight="1" x14ac:dyDescent="0.2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29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00000000000001" customHeight="1" x14ac:dyDescent="0.25">
      <c r="A16" s="68" t="s">
        <v>3</v>
      </c>
      <c r="B16" s="70"/>
      <c r="C16" s="68" t="s">
        <v>142</v>
      </c>
      <c r="D16" s="70"/>
      <c r="E16" s="152" t="s">
        <v>4</v>
      </c>
      <c r="F16" s="152"/>
      <c r="G16" s="152" t="s">
        <v>5</v>
      </c>
      <c r="H16" s="152"/>
      <c r="I16" s="69" t="s">
        <v>11</v>
      </c>
      <c r="J16" s="70"/>
      <c r="K16" s="69" t="s">
        <v>12</v>
      </c>
      <c r="L16" s="70"/>
      <c r="M16" s="29"/>
      <c r="N16" s="11" t="s">
        <v>28</v>
      </c>
      <c r="O16" s="64" t="s">
        <v>199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00000000000001" customHeight="1" x14ac:dyDescent="0.25">
      <c r="A17" s="63" t="s">
        <v>6</v>
      </c>
      <c r="B17" s="63"/>
      <c r="C17" s="94" t="s">
        <v>147</v>
      </c>
      <c r="D17" s="95"/>
      <c r="E17" s="61"/>
      <c r="F17" s="62"/>
      <c r="G17" s="48" t="s">
        <v>81</v>
      </c>
      <c r="H17" s="32"/>
      <c r="I17" s="61"/>
      <c r="J17" s="62"/>
      <c r="K17" s="61"/>
      <c r="L17" s="62"/>
      <c r="M17" s="29"/>
      <c r="N17" s="11" t="s">
        <v>26</v>
      </c>
      <c r="O17" s="64" t="s">
        <v>37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23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00000000000001" customHeight="1" x14ac:dyDescent="0.25">
      <c r="A18" s="63" t="s">
        <v>7</v>
      </c>
      <c r="B18" s="63"/>
      <c r="C18" s="94" t="s">
        <v>146</v>
      </c>
      <c r="D18" s="95"/>
      <c r="E18" s="61"/>
      <c r="F18" s="62"/>
      <c r="G18" s="48" t="s">
        <v>82</v>
      </c>
      <c r="H18" s="32"/>
      <c r="I18" s="61"/>
      <c r="J18" s="62"/>
      <c r="K18" s="61"/>
      <c r="L18" s="62"/>
      <c r="M18" s="29"/>
      <c r="N18" s="11" t="s">
        <v>101</v>
      </c>
      <c r="O18" s="64" t="s">
        <v>185</v>
      </c>
      <c r="P18" s="65"/>
      <c r="Q18" s="11" t="s">
        <v>106</v>
      </c>
      <c r="R18" s="64" t="s">
        <v>31</v>
      </c>
      <c r="S18" s="65"/>
      <c r="T18" s="21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00000000000001" customHeight="1" x14ac:dyDescent="0.25">
      <c r="A19" s="63" t="s">
        <v>8</v>
      </c>
      <c r="B19" s="63"/>
      <c r="C19" s="94" t="s">
        <v>145</v>
      </c>
      <c r="D19" s="95"/>
      <c r="E19" s="61"/>
      <c r="F19" s="62"/>
      <c r="G19" s="48" t="s">
        <v>83</v>
      </c>
      <c r="H19" s="32"/>
      <c r="I19" s="61"/>
      <c r="J19" s="62"/>
      <c r="K19" s="61"/>
      <c r="L19" s="62"/>
      <c r="M19" s="29"/>
      <c r="N19" s="77" t="s">
        <v>205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00000000000001" customHeight="1" x14ac:dyDescent="0.25">
      <c r="A20" s="63" t="s">
        <v>9</v>
      </c>
      <c r="B20" s="63"/>
      <c r="C20" s="94" t="s">
        <v>144</v>
      </c>
      <c r="D20" s="95"/>
      <c r="E20" s="61"/>
      <c r="F20" s="62"/>
      <c r="G20" s="48" t="s">
        <v>84</v>
      </c>
      <c r="H20" s="32"/>
      <c r="I20" s="61"/>
      <c r="J20" s="62"/>
      <c r="K20" s="61"/>
      <c r="L20" s="62"/>
      <c r="M20" s="29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00000000000001" customHeight="1" x14ac:dyDescent="0.25">
      <c r="A21" s="63" t="s">
        <v>10</v>
      </c>
      <c r="B21" s="63"/>
      <c r="C21" s="94" t="s">
        <v>143</v>
      </c>
      <c r="D21" s="95"/>
      <c r="E21" s="61"/>
      <c r="F21" s="62"/>
      <c r="G21" s="48" t="s">
        <v>85</v>
      </c>
      <c r="H21" s="32"/>
      <c r="I21" s="61"/>
      <c r="J21" s="62"/>
      <c r="K21" s="61"/>
      <c r="L21" s="62"/>
      <c r="M21" s="29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00000000000001" customHeight="1" x14ac:dyDescent="0.2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8" t="s">
        <v>86</v>
      </c>
      <c r="H22" s="32"/>
      <c r="I22" s="61"/>
      <c r="J22" s="62"/>
      <c r="K22" s="61"/>
      <c r="L22" s="62"/>
      <c r="M22" s="29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00000000000001" customHeight="1" x14ac:dyDescent="0.25">
      <c r="A23" s="153" t="s">
        <v>193</v>
      </c>
      <c r="B23" s="153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8" t="s">
        <v>87</v>
      </c>
      <c r="H23" s="32"/>
      <c r="I23" s="61"/>
      <c r="J23" s="62"/>
      <c r="K23" s="61"/>
      <c r="L23" s="62"/>
      <c r="M23" s="29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00000000000001" customHeight="1" x14ac:dyDescent="0.25">
      <c r="A24" s="154"/>
      <c r="B24" s="155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8" t="s">
        <v>88</v>
      </c>
      <c r="H24" s="32"/>
      <c r="I24" s="61"/>
      <c r="J24" s="62"/>
      <c r="K24" s="61"/>
      <c r="L24" s="6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29"/>
      <c r="N25" s="22" t="s">
        <v>96</v>
      </c>
      <c r="O25" s="10" t="s">
        <v>198</v>
      </c>
      <c r="P25" s="34"/>
      <c r="Q25" s="10">
        <v>24</v>
      </c>
      <c r="R25" s="10">
        <v>6.5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40" t="s">
        <v>116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9" t="s">
        <v>136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H18" sqref="H1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197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199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3A5E0C7-7606-4B09-92E8-CD58A25B5BD3}"/>
</file>

<file path=customXml/itemProps2.xml><?xml version="1.0" encoding="utf-8"?>
<ds:datastoreItem xmlns:ds="http://schemas.openxmlformats.org/officeDocument/2006/customXml" ds:itemID="{A87F22C5-87C8-472D-BB74-3253AC61CC97}"/>
</file>

<file path=customXml/itemProps3.xml><?xml version="1.0" encoding="utf-8"?>
<ds:datastoreItem xmlns:ds="http://schemas.openxmlformats.org/officeDocument/2006/customXml" ds:itemID="{ED7CD73B-95F2-4E25-99FA-2DCBB4ADC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2026-02-13T01:17:51Z</cp:lastPrinted>
  <dcterms:created xsi:type="dcterms:W3CDTF">2019-11-27T23:28:06Z</dcterms:created>
  <dcterms:modified xsi:type="dcterms:W3CDTF">2026-02-23T23:23:33Z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