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46F16EF-2375-4688-B7B8-490C63B3E81E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<sst xmlns="http://schemas.openxmlformats.org/spreadsheetml/2006/main" count="303" uniqueCount="200">
  <si>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</si>
  <si>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</si>
  <si>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</si>
  <si>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</si>
  <si>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</si>
  <si>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</si>
  <si>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</si>
  <si>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</si>
  <si>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</si>
  <si>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</si>
  <si>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</si>
  <si>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</si>
  <si>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</si>
  <si>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</si>
  <si>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</si>
  <si>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</si>
  <si>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</si>
  <si>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</si>
  <si>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</si>
  <si>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</si>
  <si>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</si>
  <si>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</si>
  <si>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</si>
  <si>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</si>
  <si>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</si>
  <si>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</si>
  <si>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</si>
  <si>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</si>
  <si>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</si>
  <si>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</si>
  <si>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</si>
  <si>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</si>
  <si>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</si>
  <si>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</si>
  <si>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</si>
  <si>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</si>
  <si>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</si>
  <si>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</si>
  <si>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</si>
  <si>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</si>
  <si>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</si>
  <si>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</si>
  <si>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</si>
  <si>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</si>
  <si>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</si>
  <si>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</si>
  <si>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</si>
  <si>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</si>
  <si>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</si>
  <si>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</si>
  <si>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</si>
  <si>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</si>
  <si>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</si>
  <si>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</si>
  <si>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</si>
  <si>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</si>
  <si>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</si>
  <si>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</si>
  <si>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</si>
  <si>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</si>
  <si>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</si>
  <si>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</si>
  <si>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</si>
  <si>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</si>
  <si>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</si>
  <si>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</si>
  <si>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</si>
  <si>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</si>
  <si>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</si>
  <si>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</si>
  <si>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</si>
  <si>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</si>
  <si>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</si>
  <si>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</si>
  <si>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</si>
  <si>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</si>
  <si>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</si>
  <si>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</si>
  <si>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</si>
  <si>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</si>
  <si>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</si>
  <si>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</si>
  <si>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</si>
  <si>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</si>
  <si>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</si>
  <si>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</si>
  <si>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</si>
  <si>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</si>
  <si>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</si>
  <si>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</si>
  <si>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</si>
  <si>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</si>
  <si>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</si>
  <si>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</si>
  <si>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</si>
  <si>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</si>
  <si>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</si>
  <si>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</si>
  <si>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</si>
  <si>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</si>
  <si>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</si>
  <si>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</si>
  <si>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</si>
  <si>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</si>
  <si>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</si>
  <si>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</si>
  <si>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</si>
  <si>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</si>
  <si>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</si>
  <si>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</si>
  <si>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</si>
  <si>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</si>
  <si>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</si>
  <si>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</si>
  <si>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</si>
  <si>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</si>
  <si>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</si>
  <si>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</si>
  <si>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</si>
  <si>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</si>
  <si>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</si>
  <si>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</si>
  <si>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</si>
  <si>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</si>
  <si>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</si>
  <si>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</si>
  <si>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</si>
  <si>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</si>
  <si>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</si>
  <si>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</si>
  <si>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</si>
  <si>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</si>
  <si>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</si>
  <si>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</si>
  <si>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</si>
  <si>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</si>
  <si>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</si>
  <si>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</si>
  <si>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</si>
  <si>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</si>
  <si>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</si>
  <si>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</si>
  <si>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</si>
  <si>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</si>
  <si>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</si>
  <si>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</si>
  <si>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</si>
  <si>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</si>
  <si>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</si>
  <si>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</si>
  <si>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</si>
  <si>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</si>
  <si>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</si>
  <si>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</si>
  <si>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</si>
  <si>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</si>
  <si>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</si>
  <si>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</si>
  <si>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</si>
  <si>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</si>
  <si>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</si>
  <si>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</si>
  <si>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</si>
  <si>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</si>
  <si>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</si>
  <si>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</si>
  <si>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</si>
  <si>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</si>
  <si>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</si>
  <si>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</si>
  <si>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</si>
  <si>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</si>
  <si>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</si>
  <si>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</si>
  <si>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</si>
  <si>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</si>
  <si>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</si>
  <si>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</si>
  <si>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</si>
  <si>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</si>
  <si>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</si>
  <si>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</si>
  <si>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</si>
  <si>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</si>
  <si>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</si>
  <si>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</si>
  <si>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</si>
  <si>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</si>
  <si>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</si>
  <si>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</si>
  <si>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</si>
  <si>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</si>
  <si>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</si>
  <si>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</si>
  <si>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</si>
  <si>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+/- 5mm</t>
  </si>
  <si>
    <t xml:space="preserve">LIMAX </t>
  </si>
  <si>
    <r>
      <t xml:space="preserve">Notes           </t>
    </r>
    <r>
      <rPr>
        <b/>
        <sz val="26"/>
        <color rgb="FFFF0000"/>
        <rFont val="Calibri"/>
        <family val="2"/>
        <scheme val="minor"/>
      </rPr>
      <t xml:space="preserve">VENTED 3 HOLES </t>
    </r>
  </si>
  <si>
    <t>HYQUAL</t>
  </si>
  <si>
    <t xml:space="preserve">VENTED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</si>
</sst>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PB21055035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44964</v>
      </c>
      <c r="K1" s="119"/>
      <c r="L1" s="120"/>
      <c r="M1" s="29"/>
      <c r="N1" s="11" t="s">
        <v>56</v>
      </c>
      <c r="O1" s="108" t="str">
        <f>B1</f>
        <v>PB21055035</v>
      </c>
      <c r="P1" s="108"/>
      <c r="Q1" s="109"/>
      <c r="R1" s="11" t="s">
        <v>57</v>
      </c>
      <c r="S1" s="108" t="str">
        <f>F1</f>
        <v>HYQUAL</v>
      </c>
      <c r="T1" s="108"/>
      <c r="U1" s="109"/>
      <c r="V1" s="11" t="s">
        <v>181</v>
      </c>
      <c r="W1" s="119">
        <f ca="1">J1</f>
        <v>44964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 xml:space="preserve">VENTED </v>
      </c>
      <c r="C2" s="108"/>
      <c r="D2" s="109"/>
      <c r="E2" s="11" t="s">
        <v>58</v>
      </c>
      <c r="F2" s="62">
        <v>944943</v>
      </c>
      <c r="G2" s="62"/>
      <c r="H2" s="63"/>
      <c r="I2" s="11" t="s">
        <v>59</v>
      </c>
      <c r="J2" s="122">
        <v>44992</v>
      </c>
      <c r="K2" s="62"/>
      <c r="L2" s="63"/>
      <c r="M2" s="29"/>
      <c r="N2" s="11" t="s">
        <v>100</v>
      </c>
      <c r="O2" s="108" t="str">
        <f>IF(B2="","",B2)</f>
        <v xml:space="preserve">VENTED </v>
      </c>
      <c r="P2" s="108"/>
      <c r="Q2" s="109"/>
      <c r="R2" s="11" t="s">
        <v>58</v>
      </c>
      <c r="S2" s="108">
        <f>IF(F2="","",F2)</f>
        <v>944943</v>
      </c>
      <c r="T2" s="108"/>
      <c r="U2" s="109"/>
      <c r="V2" s="11" t="s">
        <v>59</v>
      </c>
      <c r="W2" s="121">
        <f>J2</f>
        <v>44992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2000</v>
      </c>
      <c r="S7" s="63"/>
      <c r="T7" s="11" t="str">
        <f>IF(ISNUMBER(SEARCH("bag",O8,1)),"Total Bags","Total Sheets")</f>
        <v>Total Bags</v>
      </c>
      <c r="U7" s="108">
        <f>R7*O7</f>
        <v>20000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210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210</v>
      </c>
      <c r="S9" s="18" t="s">
        <v>78</v>
      </c>
      <c r="T9" s="30">
        <v>550</v>
      </c>
      <c r="U9" s="18" t="s">
        <v>78</v>
      </c>
      <c r="V9" s="30">
        <v>35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10</v>
      </c>
      <c r="C10" s="63"/>
      <c r="D10" s="47" t="s">
        <v>134</v>
      </c>
      <c r="E10" s="127">
        <f>IF(ISNUMBER(SEARCH("sheet",O8,1)),((R9*T9*H8/540000)*U7/2000*1.3),((R9*T9*H8/540000)*U7/1000*1.08))</f>
        <v>161.70000000000002</v>
      </c>
      <c r="F10" s="128"/>
      <c r="G10" s="11" t="s">
        <v>53</v>
      </c>
      <c r="H10" s="131">
        <f>IF(ISNUMBER(SEARCH("sheet",O8,1)),(U7*T9/2000*1.08),(U7*T9/1000*1.08))</f>
        <v>11880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199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16.170000000000002</v>
      </c>
      <c r="F11" s="130"/>
      <c r="G11" s="11" t="s">
        <v>15</v>
      </c>
      <c r="H11" s="129">
        <f>H10/B10</f>
        <v>1188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130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197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26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44992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44985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4DFDBB5-15CF-4074-9C75-0FF81B9BE54B}"/>
</file>

<file path=customXml/itemProps2.xml><?xml version="1.0" encoding="utf-8"?>
<ds:datastoreItem xmlns:ds="http://schemas.openxmlformats.org/officeDocument/2006/customXml" ds:itemID="{C9C00705-DC8F-4177-B7FD-08E5FF987CBC}"/>
</file>

<file path=customXml/itemProps3.xml><?xml version="1.0" encoding="utf-8"?>
<ds:datastoreItem xmlns:ds="http://schemas.openxmlformats.org/officeDocument/2006/customXml" ds:itemID="{5C1FDAA2-9D6F-4C6F-A91E-2EB47D0FA2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2023-02-07T01:44:01Z</cp:lastPrinted>
  <dcterms:created xsi:type="dcterms:W3CDTF">2019-11-27T23:28:06Z</dcterms:created>
  <dcterms:modified xsi:type="dcterms:W3CDTF">2023-02-10T04:15:11Z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