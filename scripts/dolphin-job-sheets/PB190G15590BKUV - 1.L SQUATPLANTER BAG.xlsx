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E0B733-1094-4E24-B0F5-F660396213C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<sst xmlns="http://schemas.openxmlformats.org/spreadsheetml/2006/main" count="309" uniqueCount="205">
  <si>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</si>
  <si>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</si>
  <si>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</si>
  <si>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</si>
  <si>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</si>
  <si>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</si>
  <si>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</si>
  <si>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</si>
  <si>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</si>
  <si>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</si>
  <si>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</si>
  <si>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</si>
  <si>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</si>
  <si>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</si>
  <si>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</si>
  <si>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</si>
  <si>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</si>
  <si>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</si>
  <si>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</si>
  <si>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</si>
  <si>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</si>
  <si>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</si>
  <si>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</si>
  <si>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</si>
  <si>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</si>
  <si>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</si>
  <si>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</si>
  <si>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</si>
  <si>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</si>
  <si>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</si>
  <si>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</si>
  <si>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</si>
  <si>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</si>
  <si>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</si>
  <si>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</si>
  <si>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</si>
  <si>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</si>
  <si>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</si>
  <si>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</si>
  <si>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</si>
  <si>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</si>
  <si>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</si>
  <si>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</si>
  <si>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</si>
  <si>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</si>
  <si>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</si>
  <si>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</si>
  <si>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</si>
  <si>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</si>
  <si>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</si>
  <si>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</si>
  <si>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</si>
  <si>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</si>
  <si>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</si>
  <si>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</si>
  <si>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</si>
  <si>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</si>
  <si>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</si>
  <si>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</si>
  <si>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</si>
  <si>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</si>
  <si>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</si>
  <si>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</si>
  <si>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</si>
  <si>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</si>
  <si>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</si>
  <si>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</si>
  <si>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</si>
  <si>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</si>
  <si>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</si>
  <si>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</si>
  <si>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</si>
  <si>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</si>
  <si>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</si>
  <si>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</si>
  <si>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</si>
  <si>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</si>
  <si>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</si>
  <si>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</si>
  <si>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</si>
  <si>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</si>
  <si>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</si>
  <si>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</si>
  <si>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</si>
  <si>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</si>
  <si>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</si>
  <si>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</si>
  <si>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</si>
  <si>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</si>
  <si>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</si>
  <si>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</si>
  <si>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</si>
  <si>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</si>
  <si>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</si>
  <si>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</si>
  <si>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</si>
  <si>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</si>
  <si>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</si>
  <si>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</si>
  <si>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</si>
  <si>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</si>
  <si>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</si>
  <si>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</si>
  <si>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</si>
  <si>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</si>
  <si>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</si>
  <si>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</si>
  <si>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</si>
  <si>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</si>
  <si>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</si>
  <si>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</si>
  <si>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</si>
  <si>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</si>
  <si>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</si>
  <si>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</si>
  <si>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</si>
  <si>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</si>
  <si>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</si>
  <si>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</si>
  <si>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</si>
  <si>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</si>
  <si>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</si>
  <si>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</si>
  <si>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</si>
  <si>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</si>
  <si>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</si>
  <si>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</si>
  <si>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</si>
  <si>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</si>
  <si>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</si>
  <si>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</si>
  <si>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</si>
  <si>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</si>
  <si>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</si>
  <si>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</si>
  <si>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</si>
  <si>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</si>
  <si>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</si>
  <si>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</si>
  <si>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</si>
  <si>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</si>
  <si>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</si>
  <si>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</si>
  <si>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</si>
  <si>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</si>
  <si>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</si>
  <si>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</si>
  <si>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</si>
  <si>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</si>
  <si>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</si>
  <si>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</si>
  <si>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</si>
  <si>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</si>
  <si>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</si>
  <si>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</si>
  <si>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</si>
  <si>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</si>
  <si>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</si>
  <si>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</si>
  <si>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</si>
  <si>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</si>
  <si>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</si>
  <si>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</si>
  <si>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</si>
  <si>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</si>
  <si>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</si>
  <si>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</si>
  <si>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</si>
  <si>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</si>
  <si>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</si>
  <si>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</si>
  <si>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</si>
  <si>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</si>
  <si>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</si>
  <si>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</si>
  <si>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</si>
  <si>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</si>
  <si>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</si>
  <si>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</si>
  <si>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</si>
  <si>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</si>
  <si>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</si>
  <si>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</si>
  <si>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</si>
  <si>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</si>
  <si>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</si>
  <si>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</si>
  <si>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</si>
  <si>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</si>
  <si>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</si>
  <si>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</si>
  <si>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</si>
  <si>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</si>
  <si>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</si>
  <si>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</si>
  <si>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</si>
  <si>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</si>
  <si>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</si>
  <si>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</si>
  <si>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(100+90)</t>
  </si>
  <si>
    <t xml:space="preserve">PERF </t>
  </si>
  <si>
    <t>130 Meat</t>
  </si>
  <si>
    <t>150 Meat</t>
  </si>
  <si>
    <t>1L SQUATBAG</t>
  </si>
  <si>
    <t>130MEAT CARTONS ONLY - ensure pack quanitty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</si>
</sst>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top"/>
      <protection locked="0"/>
    </xf>
    <xf numFmtId="0" fontId="3" fillId="0" borderId="8" xfId="0" applyFont="1" applyBorder="1" applyAlignment="1" applyProtection="1">
      <alignment horizontal="center" vertical="top"/>
      <protection locked="0"/>
    </xf>
    <xf numFmtId="0" fontId="3" fillId="0" borderId="9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10" xfId="0" applyFont="1" applyBorder="1" applyAlignment="1" applyProtection="1">
      <alignment horizontal="center" vertical="top"/>
      <protection locked="0"/>
    </xf>
    <xf numFmtId="0" fontId="3" fillId="0" borderId="1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center"/>
    </xf>
    <xf numFmtId="0" fontId="17" fillId="5" borderId="14" xfId="0" applyFont="1" applyFill="1" applyBorder="1"/>
    <xf numFmtId="0" fontId="17" fillId="5" borderId="1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15" sqref="AC1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PB190G15575BKUVV</v>
      </c>
      <c r="C1" s="110"/>
      <c r="D1" s="111"/>
      <c r="E1" s="11" t="s">
        <v>57</v>
      </c>
      <c r="F1" s="64" t="s">
        <v>196</v>
      </c>
      <c r="G1" s="64"/>
      <c r="H1" s="65"/>
      <c r="I1" s="12" t="s">
        <v>181</v>
      </c>
      <c r="J1" s="121">
        <f ca="1">TODAY()</f>
        <v>44958</v>
      </c>
      <c r="K1" s="121"/>
      <c r="L1" s="122"/>
      <c r="M1" s="30"/>
      <c r="N1" s="11" t="s">
        <v>56</v>
      </c>
      <c r="O1" s="110" t="str">
        <f>B1</f>
        <v>PB190G15575BKUVV</v>
      </c>
      <c r="P1" s="110"/>
      <c r="Q1" s="111"/>
      <c r="R1" s="11" t="s">
        <v>57</v>
      </c>
      <c r="S1" s="110" t="str">
        <f>F1</f>
        <v>HT CONCEPTS</v>
      </c>
      <c r="T1" s="110"/>
      <c r="U1" s="111"/>
      <c r="V1" s="11" t="s">
        <v>181</v>
      </c>
      <c r="W1" s="121">
        <f ca="1">J1</f>
        <v>44958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1L SQUATBAG</v>
      </c>
      <c r="C2" s="110"/>
      <c r="D2" s="111"/>
      <c r="E2" s="11" t="s">
        <v>58</v>
      </c>
      <c r="F2" s="64">
        <v>944971</v>
      </c>
      <c r="G2" s="64"/>
      <c r="H2" s="65"/>
      <c r="I2" s="11" t="s">
        <v>59</v>
      </c>
      <c r="J2" s="124">
        <v>44979</v>
      </c>
      <c r="K2" s="64"/>
      <c r="L2" s="65"/>
      <c r="M2" s="30"/>
      <c r="N2" s="11" t="s">
        <v>100</v>
      </c>
      <c r="O2" s="110" t="str">
        <f>IF(B2="","",B2)</f>
        <v>1L SQUATBAG</v>
      </c>
      <c r="P2" s="110"/>
      <c r="Q2" s="111"/>
      <c r="R2" s="11" t="s">
        <v>58</v>
      </c>
      <c r="S2" s="110">
        <f>IF(F2="","",F2)</f>
        <v>944971</v>
      </c>
      <c r="T2" s="110"/>
      <c r="U2" s="111"/>
      <c r="V2" s="11" t="s">
        <v>59</v>
      </c>
      <c r="W2" s="123">
        <f>J2</f>
        <v>44979</v>
      </c>
      <c r="X2" s="110"/>
      <c r="Y2" s="111"/>
    </row>
    <row r="3" spans="1:25" ht="20.149999999999999" customHeight="1" x14ac:dyDescent="0.75">
      <c r="A3" s="112" t="s">
        <v>193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0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0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0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30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30"/>
      <c r="N7" s="11" t="str">
        <f>IF(ISNUMBER(SEARCH("roll",O8,1)),"No. Rolls","No. Cartons")</f>
        <v>No. Cartons</v>
      </c>
      <c r="O7" s="64">
        <v>14</v>
      </c>
      <c r="P7" s="65"/>
      <c r="Q7" s="11" t="str">
        <f>IF(ISNUMBER(SEARCH("roll",O8,1)),"Per Roll","Per Carton")</f>
        <v>Per Carton</v>
      </c>
      <c r="R7" s="64">
        <v>2500</v>
      </c>
      <c r="S7" s="65"/>
      <c r="T7" s="11" t="str">
        <f>IF(ISNUMBER(SEARCH("bag",O8,1)),"Total Bags","Total Sheets")</f>
        <v>Total Bags</v>
      </c>
      <c r="U7" s="110">
        <f>R7*O7</f>
        <v>35000</v>
      </c>
      <c r="V7" s="111"/>
      <c r="W7" s="11" t="s">
        <v>102</v>
      </c>
      <c r="X7" s="64" t="s">
        <v>23</v>
      </c>
      <c r="Y7" s="65"/>
    </row>
    <row r="8" spans="1:25" ht="20.149999999999999" customHeight="1" x14ac:dyDescent="0.8">
      <c r="A8" s="13" t="s">
        <v>16</v>
      </c>
      <c r="B8" s="98">
        <f>R9</f>
        <v>190</v>
      </c>
      <c r="C8" s="99"/>
      <c r="D8" s="13" t="str">
        <f>IF(ISNUMBER(SEARCH("bag",O8,1)),"Gusset","Centrefold")</f>
        <v>Gusset</v>
      </c>
      <c r="E8" s="98" t="str">
        <f>IF(O8="Centrefold Roll",B8*2,IF(X9="","None",X9))</f>
        <v>(100+90)</v>
      </c>
      <c r="F8" s="99"/>
      <c r="G8" s="13" t="s">
        <v>52</v>
      </c>
      <c r="H8" s="98">
        <f>(IF(V9&lt;30,"30",V9))</f>
        <v>75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30"/>
      <c r="N8" s="14" t="s">
        <v>54</v>
      </c>
      <c r="O8" s="100" t="s">
        <v>164</v>
      </c>
      <c r="P8" s="101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7" t="s">
        <v>48</v>
      </c>
      <c r="B9" s="127" t="s">
        <v>182</v>
      </c>
      <c r="C9" s="128"/>
      <c r="D9" s="135" t="str">
        <f>IF(K10="Middle","RUN 2 UP",IF(AND(O8="Centrefold Roll",B8=380),"RUN 2 UP",""))</f>
        <v/>
      </c>
      <c r="E9" s="102"/>
      <c r="F9" s="103"/>
      <c r="G9" s="17" t="s">
        <v>48</v>
      </c>
      <c r="H9" s="127" t="s">
        <v>194</v>
      </c>
      <c r="I9" s="128"/>
      <c r="J9" s="11" t="s">
        <v>55</v>
      </c>
      <c r="K9" s="64" t="s">
        <v>30</v>
      </c>
      <c r="L9" s="65"/>
      <c r="M9" s="30"/>
      <c r="N9" s="18"/>
      <c r="O9" s="104" t="str">
        <f>IF(O8="Poly Bag","PB",IF(O8="Poly Bag Roll","PBR",IF(O8="Centrefold Roll","CFR",IF(O8="Sheet","S",IF(O8="Sheet Roll","SR")))))</f>
        <v>PB</v>
      </c>
      <c r="P9" s="105"/>
      <c r="Q9" s="18"/>
      <c r="R9" s="31">
        <v>190</v>
      </c>
      <c r="S9" s="19" t="s">
        <v>78</v>
      </c>
      <c r="T9" s="31">
        <v>155</v>
      </c>
      <c r="U9" s="19" t="s">
        <v>78</v>
      </c>
      <c r="V9" s="31">
        <v>75</v>
      </c>
      <c r="W9" s="18"/>
      <c r="X9" s="90" t="s">
        <v>199</v>
      </c>
      <c r="Y9" s="91"/>
    </row>
    <row r="10" spans="1:25" ht="20.149999999999999" customHeight="1" x14ac:dyDescent="0.8">
      <c r="A10" s="11" t="s">
        <v>51</v>
      </c>
      <c r="B10" s="64">
        <v>14</v>
      </c>
      <c r="C10" s="65"/>
      <c r="D10" s="48" t="s">
        <v>134</v>
      </c>
      <c r="E10" s="129">
        <f>IF(ISNUMBER(SEARCH("sheet",O8,1)),((R9*T9*H8/540000)*U7/2000*1.3),((R9*T9*H8/540000)*U7/1000*1.08))</f>
        <v>154.61250000000001</v>
      </c>
      <c r="F10" s="130"/>
      <c r="G10" s="11" t="s">
        <v>53</v>
      </c>
      <c r="H10" s="133">
        <f>IF(ISNUMBER(SEARCH("sheet",O8,1)),(U7*T9/2000*1.08),(U7*T9/1000*1.08))</f>
        <v>5859</v>
      </c>
      <c r="I10" s="134"/>
      <c r="J10" s="11" t="s">
        <v>41</v>
      </c>
      <c r="K10" s="64" t="s">
        <v>44</v>
      </c>
      <c r="L10" s="65"/>
      <c r="M10" s="30"/>
      <c r="N10" s="14" t="s">
        <v>141</v>
      </c>
      <c r="O10" s="100" t="s">
        <v>189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203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11.043750000000001</v>
      </c>
      <c r="F11" s="132"/>
      <c r="G11" s="11" t="s">
        <v>15</v>
      </c>
      <c r="H11" s="131">
        <f>H10/B10</f>
        <v>418.5</v>
      </c>
      <c r="I11" s="132"/>
      <c r="J11" s="11" t="s">
        <v>50</v>
      </c>
      <c r="K11" s="64" t="s">
        <v>44</v>
      </c>
      <c r="L11" s="65"/>
      <c r="M11" s="30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thickBot="1" x14ac:dyDescent="0.9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30"/>
      <c r="N12" s="71" t="s">
        <v>71</v>
      </c>
      <c r="O12" s="72"/>
      <c r="P12" s="72"/>
      <c r="Q12" s="72"/>
      <c r="R12" s="72"/>
      <c r="S12" s="72"/>
      <c r="T12" s="72"/>
      <c r="U12" s="72"/>
      <c r="V12" s="126"/>
      <c r="W12" s="126"/>
      <c r="X12" s="72"/>
      <c r="Y12" s="73"/>
    </row>
    <row r="13" spans="1:25" ht="20.149999999999999" customHeight="1" thickBot="1" x14ac:dyDescent="0.95">
      <c r="A13" s="11" t="s">
        <v>68</v>
      </c>
      <c r="B13" s="64" t="s">
        <v>44</v>
      </c>
      <c r="C13" s="64"/>
      <c r="D13" s="65"/>
      <c r="E13" s="20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30"/>
      <c r="N13" s="11" t="s">
        <v>72</v>
      </c>
      <c r="O13" s="32" t="s">
        <v>57</v>
      </c>
      <c r="P13" s="11" t="s">
        <v>73</v>
      </c>
      <c r="Q13" s="21">
        <f>O7</f>
        <v>14</v>
      </c>
      <c r="R13" s="11" t="s">
        <v>74</v>
      </c>
      <c r="S13" s="32" t="s">
        <v>23</v>
      </c>
      <c r="T13" s="11" t="s">
        <v>178</v>
      </c>
      <c r="U13" s="60" t="str">
        <f>IF(S13="No","",(ROUNDUP(U7/W13/24,0)))</f>
        <v/>
      </c>
      <c r="V13" s="153" t="s">
        <v>75</v>
      </c>
      <c r="W13" s="154">
        <v>50</v>
      </c>
      <c r="X13" s="20" t="s">
        <v>76</v>
      </c>
      <c r="Y13" s="33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30"/>
      <c r="N14" s="71" t="s">
        <v>110</v>
      </c>
      <c r="O14" s="72"/>
      <c r="P14" s="72"/>
      <c r="Q14" s="72"/>
      <c r="R14" s="72"/>
      <c r="S14" s="72"/>
      <c r="T14" s="72"/>
      <c r="U14" s="72"/>
      <c r="V14" s="152"/>
      <c r="W14" s="152"/>
      <c r="X14" s="72"/>
      <c r="Y14" s="73"/>
    </row>
    <row r="15" spans="1:25" ht="20.149999999999999" customHeight="1" x14ac:dyDescent="0.7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30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49999999999999" customHeight="1" x14ac:dyDescent="0.8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30"/>
      <c r="N16" s="11" t="s">
        <v>28</v>
      </c>
      <c r="O16" s="64" t="s">
        <v>201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49999999999999" customHeight="1" x14ac:dyDescent="0.8">
      <c r="A17" s="63" t="s">
        <v>6</v>
      </c>
      <c r="B17" s="63"/>
      <c r="C17" s="94" t="s">
        <v>147</v>
      </c>
      <c r="D17" s="95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31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49999999999999" customHeight="1" x14ac:dyDescent="0.8">
      <c r="A18" s="63" t="s">
        <v>7</v>
      </c>
      <c r="B18" s="63"/>
      <c r="C18" s="94" t="s">
        <v>146</v>
      </c>
      <c r="D18" s="95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4" t="s">
        <v>186</v>
      </c>
      <c r="P18" s="65"/>
      <c r="Q18" s="11" t="s">
        <v>106</v>
      </c>
      <c r="R18" s="64" t="s">
        <v>31</v>
      </c>
      <c r="S18" s="65"/>
      <c r="T18" s="22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49999999999999" customHeight="1" x14ac:dyDescent="0.75">
      <c r="A19" s="63" t="s">
        <v>8</v>
      </c>
      <c r="B19" s="63"/>
      <c r="C19" s="94" t="s">
        <v>145</v>
      </c>
      <c r="D19" s="95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7" t="s">
        <v>204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49999999999999" customHeight="1" x14ac:dyDescent="0.75">
      <c r="A20" s="63" t="s">
        <v>9</v>
      </c>
      <c r="B20" s="63"/>
      <c r="C20" s="94" t="s">
        <v>144</v>
      </c>
      <c r="D20" s="95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49999999999999" customHeight="1" x14ac:dyDescent="0.75">
      <c r="A21" s="63" t="s">
        <v>10</v>
      </c>
      <c r="B21" s="63"/>
      <c r="C21" s="94" t="s">
        <v>143</v>
      </c>
      <c r="D21" s="95"/>
      <c r="E21" s="61"/>
      <c r="F21" s="62"/>
      <c r="G21" s="49" t="s">
        <v>85</v>
      </c>
      <c r="H21" s="33"/>
      <c r="I21" s="61"/>
      <c r="J21" s="62"/>
      <c r="K21" s="61"/>
      <c r="L21" s="62"/>
      <c r="M21" s="3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49999999999999" customHeight="1" x14ac:dyDescent="0.7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9" t="s">
        <v>86</v>
      </c>
      <c r="H22" s="33"/>
      <c r="I22" s="61"/>
      <c r="J22" s="62"/>
      <c r="K22" s="61"/>
      <c r="L22" s="62"/>
      <c r="M22" s="30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49999999999999" customHeight="1" x14ac:dyDescent="0.75">
      <c r="A23" s="149" t="s">
        <v>195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9" t="s">
        <v>87</v>
      </c>
      <c r="H23" s="33"/>
      <c r="I23" s="61"/>
      <c r="J23" s="62"/>
      <c r="K23" s="61"/>
      <c r="L23" s="62"/>
      <c r="M23" s="30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49999999999999" customHeight="1" x14ac:dyDescent="0.7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30"/>
      <c r="N25" s="23" t="s">
        <v>96</v>
      </c>
      <c r="O25" s="10" t="s">
        <v>200</v>
      </c>
      <c r="P25" s="35"/>
      <c r="Q25" s="10">
        <v>21</v>
      </c>
      <c r="R25" s="10">
        <v>6</v>
      </c>
      <c r="S25" s="10"/>
      <c r="T25" s="10">
        <v>8</v>
      </c>
      <c r="U25" s="10"/>
      <c r="V25" s="10">
        <v>3</v>
      </c>
      <c r="W25" s="10">
        <v>200</v>
      </c>
      <c r="X25" s="10">
        <v>200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3" t="s">
        <v>132</v>
      </c>
      <c r="H26" s="93"/>
      <c r="I26" s="93" t="s">
        <v>131</v>
      </c>
      <c r="J26" s="93"/>
      <c r="K26" s="25" t="s">
        <v>94</v>
      </c>
      <c r="L26" s="25" t="s">
        <v>95</v>
      </c>
      <c r="M26" s="30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44986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44979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201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202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8437F9C-A790-4DAD-ACDE-D9A20D401F73}"/>
</file>

<file path=customXml/itemProps2.xml><?xml version="1.0" encoding="utf-8"?>
<ds:datastoreItem xmlns:ds="http://schemas.openxmlformats.org/officeDocument/2006/customXml" ds:itemID="{1EF210F4-3EB3-44F0-AC06-5551692E7824}"/>
</file>

<file path=customXml/itemProps3.xml><?xml version="1.0" encoding="utf-8"?>
<ds:datastoreItem xmlns:ds="http://schemas.openxmlformats.org/officeDocument/2006/customXml" ds:itemID="{6A1FD350-04CB-4F33-8823-7618CAA43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2023-02-01T02:04:24Z</cp:lastPrinted>
  <dcterms:created xsi:type="dcterms:W3CDTF">2019-11-27T23:28:06Z</dcterms:created>
  <dcterms:modified xsi:type="dcterms:W3CDTF">2023-02-03T00:27:55Z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