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5C283B34-547D-4E2E-AA74-3567C62B89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<sst xmlns="http://schemas.openxmlformats.org/spreadsheetml/2006/main" count="311" uniqueCount="206">
  <si>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</si>
  <si>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</si>
  <si>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</si>
  <si>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</si>
  <si>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</si>
  <si>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</si>
  <si>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</si>
  <si>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</si>
  <si>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</si>
  <si>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</si>
  <si>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</si>
  <si>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</si>
  <si>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</si>
  <si>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</si>
  <si>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</si>
  <si>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</si>
  <si>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</si>
  <si>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</si>
  <si>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</si>
  <si>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</si>
  <si>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</si>
  <si>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</si>
  <si>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</si>
  <si>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</si>
  <si>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</si>
  <si>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</si>
  <si>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</si>
  <si>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</si>
  <si>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</si>
  <si>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</si>
  <si>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</si>
  <si>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</si>
  <si>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</si>
  <si>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</si>
  <si>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</si>
  <si>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</si>
  <si>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</si>
  <si>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</si>
  <si>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</si>
  <si>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</si>
  <si>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</si>
  <si>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</si>
  <si>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</si>
  <si>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</si>
  <si>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</si>
  <si>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</si>
  <si>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</si>
  <si>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</si>
  <si>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</si>
  <si>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</si>
  <si>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</si>
  <si>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</si>
  <si>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</si>
  <si>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</si>
  <si>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</si>
  <si>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</si>
  <si>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</si>
  <si>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</si>
  <si>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</si>
  <si>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</si>
  <si>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</si>
  <si>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</si>
  <si>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</si>
  <si>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</si>
  <si>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</si>
  <si>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</si>
  <si>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</si>
  <si>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</si>
  <si>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</si>
  <si>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</si>
  <si>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</si>
  <si>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</si>
  <si>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</si>
  <si>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</si>
  <si>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</si>
  <si>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</si>
  <si>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</si>
  <si>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</si>
  <si>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</si>
  <si>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</si>
  <si>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</si>
  <si>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</si>
  <si>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</si>
  <si>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</si>
  <si>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</si>
  <si>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</si>
  <si>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</si>
  <si>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</si>
  <si>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</si>
  <si>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</si>
  <si>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</si>
  <si>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</si>
  <si>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</si>
  <si>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</si>
  <si>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</si>
  <si>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</si>
  <si>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</si>
  <si>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</si>
  <si>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</si>
  <si>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</si>
  <si>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</si>
  <si>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</si>
  <si>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</si>
  <si>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</si>
  <si>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</si>
  <si>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</si>
  <si>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</si>
  <si>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</si>
  <si>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</si>
  <si>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</si>
  <si>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</si>
  <si>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</si>
  <si>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</si>
  <si>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</si>
  <si>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</si>
  <si>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</si>
  <si>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</si>
  <si>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</si>
  <si>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</si>
  <si>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</si>
  <si>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</si>
  <si>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</si>
  <si>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</si>
  <si>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</si>
  <si>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</si>
  <si>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</si>
  <si>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</si>
  <si>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</si>
  <si>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</si>
  <si>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</si>
  <si>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</si>
  <si>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</si>
  <si>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</si>
  <si>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</si>
  <si>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</si>
  <si>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</si>
  <si>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</si>
  <si>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</si>
  <si>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</si>
  <si>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</si>
  <si>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</si>
  <si>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</si>
  <si>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</si>
  <si>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</si>
  <si>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</si>
  <si>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</si>
  <si>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</si>
  <si>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</si>
  <si>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</si>
  <si>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</si>
  <si>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</si>
  <si>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</si>
  <si>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</si>
  <si>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</si>
  <si>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</si>
  <si>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</si>
  <si>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</si>
  <si>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</si>
  <si>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</si>
  <si>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</si>
  <si>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</si>
  <si>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</si>
  <si>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</si>
  <si>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</si>
  <si>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</si>
  <si>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</si>
  <si>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</si>
  <si>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</si>
  <si>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</si>
  <si>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</si>
  <si>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</si>
  <si>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</si>
  <si>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</si>
  <si>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</si>
  <si>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</si>
  <si>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</si>
  <si>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</si>
  <si>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</si>
  <si>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</si>
  <si>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</si>
  <si>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</si>
  <si>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</si>
  <si>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</si>
  <si>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</si>
  <si>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</si>
  <si>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</si>
  <si>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</si>
  <si>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</si>
  <si>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</si>
  <si>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</si>
  <si>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</si>
  <si>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</si>
  <si>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</si>
  <si>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</si>
  <si>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</si>
  <si>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>ANTISTATIC</t>
  </si>
  <si>
    <t xml:space="preserve"> +/- 10mm</t>
  </si>
  <si>
    <t>GREY</t>
  </si>
  <si>
    <t>(380+280)</t>
  </si>
  <si>
    <t>LUCIA CHOCOLATES</t>
  </si>
  <si>
    <t xml:space="preserve">FOOD GRADE - MUST BE NEAT ROLLS - NO CREASING - </t>
  </si>
  <si>
    <t>ANTIBLOCK</t>
  </si>
  <si>
    <t>#45</t>
  </si>
  <si>
    <t>LIMAX/PERF</t>
  </si>
  <si>
    <t>15/145</t>
  </si>
  <si>
    <t>13/Top temp/135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</si>
</sst>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6" fillId="3" borderId="2" xfId="0" applyFont="1" applyFill="1" applyBorder="1" applyAlignment="1" applyProtection="1">
      <alignment horizontal="center"/>
      <protection locked="0"/>
    </xf>
    <xf numFmtId="0" fontId="16" fillId="3" borderId="5" xfId="0" applyFont="1" applyFill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11" fillId="0" borderId="6" xfId="0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Y28" sqref="Y28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11" t="str">
        <f>O9&amp;R9&amp;IF(X8="G","G","")&amp;IF(O8="Centrefold Roll","("&amp;E8&amp;")","")&amp;T9&amp;V9&amp;C22&amp;C23&amp;C24&amp;O11&amp;R11</f>
        <v>PB660G60035AS0</v>
      </c>
      <c r="C1" s="111"/>
      <c r="D1" s="112"/>
      <c r="E1" s="10" t="s">
        <v>57</v>
      </c>
      <c r="F1" s="87" t="s">
        <v>199</v>
      </c>
      <c r="G1" s="87"/>
      <c r="H1" s="88"/>
      <c r="I1" s="11" t="s">
        <v>181</v>
      </c>
      <c r="J1" s="84">
        <f ca="1">TODAY()</f>
        <v>45980</v>
      </c>
      <c r="K1" s="84"/>
      <c r="L1" s="85"/>
      <c r="M1" s="28"/>
      <c r="N1" s="10" t="s">
        <v>56</v>
      </c>
      <c r="O1" s="111" t="str">
        <f>B1</f>
        <v>PB660G60035AS0</v>
      </c>
      <c r="P1" s="111"/>
      <c r="Q1" s="112"/>
      <c r="R1" s="10" t="s">
        <v>57</v>
      </c>
      <c r="S1" s="111" t="str">
        <f>F1</f>
        <v>LUCIA CHOCOLATES</v>
      </c>
      <c r="T1" s="111"/>
      <c r="U1" s="112"/>
      <c r="V1" s="10" t="s">
        <v>181</v>
      </c>
      <c r="W1" s="84">
        <f ca="1">J1</f>
        <v>45980</v>
      </c>
      <c r="X1" s="84"/>
      <c r="Y1" s="85"/>
    </row>
    <row r="2" spans="1:25" ht="20.100000000000001" customHeight="1" x14ac:dyDescent="0.25">
      <c r="A2" s="10" t="s">
        <v>100</v>
      </c>
      <c r="B2" s="111" t="str">
        <f>IF(U10="","",U10)</f>
        <v/>
      </c>
      <c r="C2" s="111"/>
      <c r="D2" s="112"/>
      <c r="E2" s="10" t="s">
        <v>58</v>
      </c>
      <c r="F2" s="87">
        <v>950596</v>
      </c>
      <c r="G2" s="87"/>
      <c r="H2" s="88"/>
      <c r="I2" s="10" t="s">
        <v>59</v>
      </c>
      <c r="J2" s="86" t="s">
        <v>192</v>
      </c>
      <c r="K2" s="87"/>
      <c r="L2" s="88"/>
      <c r="M2" s="28"/>
      <c r="N2" s="10" t="s">
        <v>100</v>
      </c>
      <c r="O2" s="111" t="str">
        <f>IF(B2="","",B2)</f>
        <v/>
      </c>
      <c r="P2" s="111"/>
      <c r="Q2" s="112"/>
      <c r="R2" s="10" t="s">
        <v>58</v>
      </c>
      <c r="S2" s="111">
        <f>IF(F2="","",F2)</f>
        <v>950596</v>
      </c>
      <c r="T2" s="111"/>
      <c r="U2" s="112"/>
      <c r="V2" s="10" t="s">
        <v>59</v>
      </c>
      <c r="W2" s="122" t="str">
        <f>J2</f>
        <v>ASAP</v>
      </c>
      <c r="X2" s="111"/>
      <c r="Y2" s="112"/>
    </row>
    <row r="3" spans="1:25" ht="20.100000000000001" customHeight="1" x14ac:dyDescent="0.25">
      <c r="A3" s="113" t="s">
        <v>200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8"/>
      <c r="N3" s="113" t="str">
        <f>A3</f>
        <v xml:space="preserve">FOOD GRADE - MUST BE NEAT ROLLS - NO CREASING - 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00000000000001" customHeight="1" x14ac:dyDescent="0.2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8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00000000000001" customHeight="1" x14ac:dyDescent="0.2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8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00000000000001" customHeight="1" x14ac:dyDescent="0.2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8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00000000000001" customHeight="1" x14ac:dyDescent="0.3">
      <c r="A7" s="10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8"/>
      <c r="N7" s="10" t="str">
        <f>IF(ISNUMBER(SEARCH("roll",O8,1)),"No. Rolls","No. Cartons")</f>
        <v>No. Cartons</v>
      </c>
      <c r="O7" s="87">
        <v>13</v>
      </c>
      <c r="P7" s="88"/>
      <c r="Q7" s="10" t="str">
        <f>IF(ISNUMBER(SEARCH("roll",O8,1)),"Per Roll","Per Carton")</f>
        <v>Per Carton</v>
      </c>
      <c r="R7" s="87">
        <v>500</v>
      </c>
      <c r="S7" s="88"/>
      <c r="T7" s="10" t="str">
        <f>IF(ISNUMBER(SEARCH("bag",O8,1)),"Total Bags","Total Sheets")</f>
        <v>Total Bags</v>
      </c>
      <c r="U7" s="111">
        <f>R7*O7</f>
        <v>6500</v>
      </c>
      <c r="V7" s="112"/>
      <c r="W7" s="10" t="s">
        <v>102</v>
      </c>
      <c r="X7" s="87" t="s">
        <v>23</v>
      </c>
      <c r="Y7" s="88"/>
    </row>
    <row r="8" spans="1:25" ht="20.100000000000001" customHeight="1" x14ac:dyDescent="0.25">
      <c r="A8" s="12" t="s">
        <v>16</v>
      </c>
      <c r="B8" s="89">
        <f>R9</f>
        <v>660</v>
      </c>
      <c r="C8" s="90"/>
      <c r="D8" s="26" t="str">
        <f>IF(ISNUMBER(SEARCH("bag",O8,1)),"Gusset","Centrefold")</f>
        <v>Gusset</v>
      </c>
      <c r="E8" s="89" t="str">
        <f>IF(O8="Centrefold Roll",B8*2,IF(X9="","None",X9))</f>
        <v>(380+280)</v>
      </c>
      <c r="F8" s="90"/>
      <c r="G8" s="12" t="s">
        <v>52</v>
      </c>
      <c r="H8" s="89">
        <f>(IF(V9&lt;30,"30",V9))</f>
        <v>35</v>
      </c>
      <c r="I8" s="90"/>
      <c r="J8" s="10" t="s">
        <v>54</v>
      </c>
      <c r="K8" s="111" t="str">
        <f>IF(X8="None","Layflat Tube",IF(X8="","Layflat Tube",IF(X8="CF","Layflat Tube",IF(X8="G","Gusset Tube",IF(X9="","Layflat Tube",)))))</f>
        <v>Gusset Tube</v>
      </c>
      <c r="L8" s="112"/>
      <c r="M8" s="28"/>
      <c r="N8" s="13" t="s">
        <v>54</v>
      </c>
      <c r="O8" s="125" t="s">
        <v>164</v>
      </c>
      <c r="P8" s="126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G</v>
      </c>
      <c r="Y8" s="124"/>
    </row>
    <row r="9" spans="1:25" ht="20.100000000000001" customHeight="1" x14ac:dyDescent="0.3">
      <c r="A9" s="15" t="s">
        <v>48</v>
      </c>
      <c r="B9" s="99" t="s">
        <v>196</v>
      </c>
      <c r="C9" s="100"/>
      <c r="D9" s="107" t="str">
        <f>IF(K10="Middle","RUN 2 UP",IF(AND(O8="Centrefold Roll",B8=380),"RUN 2 UP",""))</f>
        <v/>
      </c>
      <c r="E9" s="108"/>
      <c r="F9" s="109"/>
      <c r="G9" s="15" t="s">
        <v>48</v>
      </c>
      <c r="H9" s="99" t="s">
        <v>194</v>
      </c>
      <c r="I9" s="100"/>
      <c r="J9" s="10" t="s">
        <v>55</v>
      </c>
      <c r="K9" s="87" t="s">
        <v>30</v>
      </c>
      <c r="L9" s="88"/>
      <c r="M9" s="28"/>
      <c r="N9" s="16"/>
      <c r="O9" s="129" t="str">
        <f>IF(O8="Poly Bag","PB",IF(O8="Poly Bag Roll","PBR",IF(O8="Centrefold Roll","CFR",IF(O8="Sheet","S",IF(O8="Sheet Roll","SR")))))</f>
        <v>PB</v>
      </c>
      <c r="P9" s="130"/>
      <c r="Q9" s="16"/>
      <c r="R9" s="29">
        <v>660</v>
      </c>
      <c r="S9" s="17" t="s">
        <v>78</v>
      </c>
      <c r="T9" s="29">
        <v>600</v>
      </c>
      <c r="U9" s="17" t="s">
        <v>78</v>
      </c>
      <c r="V9" s="29">
        <v>35</v>
      </c>
      <c r="W9" s="16"/>
      <c r="X9" s="138" t="s">
        <v>198</v>
      </c>
      <c r="Y9" s="139"/>
    </row>
    <row r="10" spans="1:25" ht="20.100000000000001" customHeight="1" x14ac:dyDescent="0.25">
      <c r="A10" s="10" t="s">
        <v>51</v>
      </c>
      <c r="B10" s="87">
        <v>5</v>
      </c>
      <c r="C10" s="88"/>
      <c r="D10" s="46" t="s">
        <v>134</v>
      </c>
      <c r="E10" s="101">
        <f>IF(ISNUMBER(SEARCH("sheet",O8,1)),((R9*T9*H8/540000)*U7/2000*1.3),((R9*T9*H8/540000)*U7/1000*1.08))</f>
        <v>180.18000000000004</v>
      </c>
      <c r="F10" s="102"/>
      <c r="G10" s="10" t="s">
        <v>53</v>
      </c>
      <c r="H10" s="105">
        <f>IF(ISNUMBER(SEARCH("sheet",O8,1)),(U7*T9/2000*1.08),(U7*T9/1000*1.08))</f>
        <v>4212</v>
      </c>
      <c r="I10" s="106"/>
      <c r="J10" s="10" t="s">
        <v>41</v>
      </c>
      <c r="K10" s="87" t="s">
        <v>44</v>
      </c>
      <c r="L10" s="88"/>
      <c r="M10" s="28"/>
      <c r="N10" s="13" t="s">
        <v>141</v>
      </c>
      <c r="O10" s="125" t="s">
        <v>44</v>
      </c>
      <c r="P10" s="126"/>
      <c r="Q10" s="13" t="s">
        <v>50</v>
      </c>
      <c r="R10" s="123" t="str">
        <f>IF(K11="NONE","None",IF(K11="INLINE","Yes",IF(K11="OUT OF LINE","Yes")))</f>
        <v>None</v>
      </c>
      <c r="S10" s="123"/>
      <c r="T10" s="13" t="s">
        <v>100</v>
      </c>
      <c r="U10" s="132"/>
      <c r="V10" s="132"/>
      <c r="W10" s="132"/>
      <c r="X10" s="132"/>
      <c r="Y10" s="133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0" t="s">
        <v>135</v>
      </c>
      <c r="E11" s="103">
        <f>E10/B10</f>
        <v>36.036000000000008</v>
      </c>
      <c r="F11" s="104"/>
      <c r="G11" s="10" t="s">
        <v>15</v>
      </c>
      <c r="H11" s="103">
        <f>H10/B10</f>
        <v>842.4</v>
      </c>
      <c r="I11" s="104"/>
      <c r="J11" s="10" t="s">
        <v>50</v>
      </c>
      <c r="K11" s="87" t="s">
        <v>44</v>
      </c>
      <c r="L11" s="88"/>
      <c r="M11" s="28"/>
      <c r="N11" s="12"/>
      <c r="O11" s="89" t="str">
        <f>IF(O10="NONE","","V")</f>
        <v/>
      </c>
      <c r="P11" s="90"/>
      <c r="Q11" s="12"/>
      <c r="R11" s="89" t="str">
        <f>IF(R10="None","","P")</f>
        <v/>
      </c>
      <c r="S11" s="90"/>
      <c r="T11" s="12"/>
      <c r="U11" s="134"/>
      <c r="V11" s="134"/>
      <c r="W11" s="134"/>
      <c r="X11" s="134"/>
      <c r="Y11" s="135"/>
    </row>
    <row r="12" spans="1:25" ht="20.100000000000001" customHeight="1" x14ac:dyDescent="0.2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8"/>
      <c r="N12" s="131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00000000000001" customHeight="1" x14ac:dyDescent="0.25">
      <c r="A13" s="10" t="s">
        <v>68</v>
      </c>
      <c r="B13" s="87" t="s">
        <v>44</v>
      </c>
      <c r="C13" s="87"/>
      <c r="D13" s="88"/>
      <c r="E13" s="18" t="s">
        <v>61</v>
      </c>
      <c r="F13" s="87" t="s">
        <v>44</v>
      </c>
      <c r="G13" s="87"/>
      <c r="H13" s="88"/>
      <c r="I13" s="10" t="s">
        <v>62</v>
      </c>
      <c r="J13" s="87" t="s">
        <v>44</v>
      </c>
      <c r="K13" s="87"/>
      <c r="L13" s="88"/>
      <c r="M13" s="28"/>
      <c r="N13" s="10" t="s">
        <v>72</v>
      </c>
      <c r="O13" s="30" t="s">
        <v>77</v>
      </c>
      <c r="P13" s="10" t="s">
        <v>73</v>
      </c>
      <c r="Q13" s="19">
        <f>O7</f>
        <v>13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/>
      </c>
      <c r="X13" s="10" t="s">
        <v>76</v>
      </c>
      <c r="Y13" s="31"/>
    </row>
    <row r="14" spans="1:25" ht="20.100000000000001" customHeight="1" x14ac:dyDescent="0.4">
      <c r="A14" s="12" t="s">
        <v>60</v>
      </c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8"/>
      <c r="M14" s="28"/>
      <c r="N14" s="131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00000000000001" customHeight="1" x14ac:dyDescent="0.2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8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00000000000001" customHeight="1" x14ac:dyDescent="0.25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8"/>
      <c r="N16" s="10" t="s">
        <v>28</v>
      </c>
      <c r="O16" s="87">
        <v>150</v>
      </c>
      <c r="P16" s="88"/>
      <c r="Q16" s="10" t="s">
        <v>105</v>
      </c>
      <c r="R16" s="87" t="s">
        <v>23</v>
      </c>
      <c r="S16" s="88"/>
      <c r="T16" s="11" t="s">
        <v>103</v>
      </c>
      <c r="U16" s="87" t="s">
        <v>31</v>
      </c>
      <c r="V16" s="88"/>
      <c r="W16" s="10" t="str">
        <f>IF(ISNUMBER(SEARCH("bag",O8,1)),"Total Bags","Total Sheets")</f>
        <v>Total Bags</v>
      </c>
      <c r="X16" s="146"/>
      <c r="Y16" s="83"/>
    </row>
    <row r="17" spans="1:25" ht="20.100000000000001" customHeight="1" x14ac:dyDescent="0.25">
      <c r="A17" s="74" t="s">
        <v>6</v>
      </c>
      <c r="B17" s="74"/>
      <c r="C17" s="77" t="s">
        <v>147</v>
      </c>
      <c r="D17" s="78"/>
      <c r="E17" s="82"/>
      <c r="F17" s="83"/>
      <c r="G17" s="47" t="s">
        <v>81</v>
      </c>
      <c r="H17" s="31"/>
      <c r="I17" s="144"/>
      <c r="J17" s="145"/>
      <c r="K17" s="144"/>
      <c r="L17" s="145"/>
      <c r="M17" s="28"/>
      <c r="N17" s="10" t="s">
        <v>26</v>
      </c>
      <c r="O17" s="87" t="s">
        <v>37</v>
      </c>
      <c r="P17" s="88"/>
      <c r="Q17" s="10" t="s">
        <v>104</v>
      </c>
      <c r="R17" s="87" t="s">
        <v>31</v>
      </c>
      <c r="S17" s="88"/>
      <c r="T17" s="11" t="str">
        <f>IF(ISNUMBER(SEARCH("roll",O8,1)),"Part Rolls","Part Ctns")</f>
        <v>Part Ctns</v>
      </c>
      <c r="U17" s="87" t="s">
        <v>31</v>
      </c>
      <c r="V17" s="88"/>
      <c r="W17" s="10" t="str">
        <f>IF(ISNUMBER(SEARCH("roll",O8,1)),"Total Rolls","Total Ctns")</f>
        <v>Total Ctns</v>
      </c>
      <c r="X17" s="146"/>
      <c r="Y17" s="83"/>
    </row>
    <row r="18" spans="1:25" ht="20.100000000000001" customHeight="1" x14ac:dyDescent="0.25">
      <c r="A18" s="74" t="s">
        <v>7</v>
      </c>
      <c r="B18" s="74"/>
      <c r="C18" s="77" t="s">
        <v>146</v>
      </c>
      <c r="D18" s="78"/>
      <c r="E18" s="82"/>
      <c r="F18" s="83"/>
      <c r="G18" s="47" t="s">
        <v>82</v>
      </c>
      <c r="H18" s="31"/>
      <c r="I18" s="144"/>
      <c r="J18" s="145"/>
      <c r="K18" s="144"/>
      <c r="L18" s="145"/>
      <c r="M18" s="28"/>
      <c r="N18" s="10" t="s">
        <v>101</v>
      </c>
      <c r="O18" s="87" t="s">
        <v>38</v>
      </c>
      <c r="P18" s="88"/>
      <c r="Q18" s="10" t="s">
        <v>106</v>
      </c>
      <c r="R18" s="87" t="s">
        <v>31</v>
      </c>
      <c r="S18" s="88"/>
      <c r="T18" s="20" t="s">
        <v>27</v>
      </c>
      <c r="U18" s="87" t="s">
        <v>36</v>
      </c>
      <c r="V18" s="88"/>
      <c r="W18" s="10" t="s">
        <v>109</v>
      </c>
      <c r="X18" s="146"/>
      <c r="Y18" s="83"/>
    </row>
    <row r="19" spans="1:25" ht="20.100000000000001" customHeight="1" x14ac:dyDescent="0.25">
      <c r="A19" s="74" t="s">
        <v>8</v>
      </c>
      <c r="B19" s="74"/>
      <c r="C19" s="77" t="s">
        <v>145</v>
      </c>
      <c r="D19" s="78"/>
      <c r="E19" s="82"/>
      <c r="F19" s="83"/>
      <c r="G19" s="47" t="s">
        <v>83</v>
      </c>
      <c r="H19" s="31"/>
      <c r="I19" s="144"/>
      <c r="J19" s="145"/>
      <c r="K19" s="144"/>
      <c r="L19" s="145"/>
      <c r="M19" s="28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00000000000001" customHeight="1" x14ac:dyDescent="0.25">
      <c r="A20" s="74" t="s">
        <v>9</v>
      </c>
      <c r="B20" s="74"/>
      <c r="C20" s="77" t="s">
        <v>144</v>
      </c>
      <c r="D20" s="78"/>
      <c r="E20" s="82"/>
      <c r="F20" s="83"/>
      <c r="G20" s="47" t="s">
        <v>84</v>
      </c>
      <c r="H20" s="31"/>
      <c r="I20" s="144"/>
      <c r="J20" s="145"/>
      <c r="K20" s="144"/>
      <c r="L20" s="145"/>
      <c r="M20" s="28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00000000000001" customHeight="1" x14ac:dyDescent="0.25">
      <c r="A21" s="74" t="s">
        <v>10</v>
      </c>
      <c r="B21" s="74"/>
      <c r="C21" s="77" t="s">
        <v>143</v>
      </c>
      <c r="D21" s="78"/>
      <c r="E21" s="82"/>
      <c r="F21" s="83"/>
      <c r="G21" s="47" t="s">
        <v>85</v>
      </c>
      <c r="H21" s="31"/>
      <c r="I21" s="144"/>
      <c r="J21" s="145"/>
      <c r="K21" s="144"/>
      <c r="L21" s="145"/>
      <c r="M21" s="28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00000000000001" customHeight="1" x14ac:dyDescent="0.2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7" t="s">
        <v>86</v>
      </c>
      <c r="H22" s="31"/>
      <c r="I22" s="144"/>
      <c r="J22" s="145"/>
      <c r="K22" s="144"/>
      <c r="L22" s="145"/>
      <c r="M22" s="28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00000000000001" customHeight="1" x14ac:dyDescent="0.25">
      <c r="A23" s="79" t="s">
        <v>195</v>
      </c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78"/>
      <c r="E23" s="140">
        <v>0.01</v>
      </c>
      <c r="F23" s="83"/>
      <c r="G23" s="47" t="s">
        <v>87</v>
      </c>
      <c r="H23" s="31"/>
      <c r="I23" s="144"/>
      <c r="J23" s="145"/>
      <c r="K23" s="144"/>
      <c r="L23" s="145"/>
      <c r="M23" s="28"/>
      <c r="N23" s="131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00000000000001" customHeight="1" x14ac:dyDescent="0.25">
      <c r="A24" s="80" t="s">
        <v>201</v>
      </c>
      <c r="B24" s="81"/>
      <c r="C24" s="77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78"/>
      <c r="E24" s="141">
        <v>0.02</v>
      </c>
      <c r="F24" s="142"/>
      <c r="G24" s="47" t="s">
        <v>88</v>
      </c>
      <c r="H24" s="31"/>
      <c r="I24" s="144"/>
      <c r="J24" s="145"/>
      <c r="K24" s="144"/>
      <c r="L24" s="145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8"/>
      <c r="N25" s="21" t="s">
        <v>96</v>
      </c>
      <c r="O25" s="9" t="s">
        <v>203</v>
      </c>
      <c r="P25" s="33"/>
      <c r="Q25" s="9">
        <v>26</v>
      </c>
      <c r="R25" s="147">
        <v>5.5</v>
      </c>
      <c r="S25" s="9"/>
      <c r="T25" s="9"/>
      <c r="U25" s="9"/>
      <c r="V25" s="9"/>
      <c r="W25" s="9" t="s">
        <v>204</v>
      </c>
      <c r="X25" s="32" t="s">
        <v>205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143" t="s">
        <v>132</v>
      </c>
      <c r="H26" s="143"/>
      <c r="I26" s="143" t="s">
        <v>131</v>
      </c>
      <c r="J26" s="143"/>
      <c r="K26" s="23" t="s">
        <v>94</v>
      </c>
      <c r="L26" s="23" t="s">
        <v>95</v>
      </c>
      <c r="M26" s="28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00000000000001" customHeight="1" x14ac:dyDescent="0.25">
      <c r="A27" s="21" t="s">
        <v>96</v>
      </c>
      <c r="B27" s="7" t="s">
        <v>202</v>
      </c>
      <c r="C27" s="7"/>
      <c r="D27" s="9">
        <v>24</v>
      </c>
      <c r="E27" s="58">
        <v>9.6</v>
      </c>
      <c r="F27" s="7"/>
      <c r="G27" s="59"/>
      <c r="H27" s="59"/>
      <c r="I27" s="59"/>
      <c r="J27" s="59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59"/>
      <c r="H28" s="59"/>
      <c r="I28" s="59"/>
      <c r="J28" s="59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91" t="s">
        <v>99</v>
      </c>
      <c r="B29" s="92"/>
      <c r="C29" s="92"/>
      <c r="D29" s="92"/>
      <c r="E29" s="92"/>
      <c r="F29" s="136"/>
      <c r="G29" s="136"/>
      <c r="H29" s="136"/>
      <c r="I29" s="136"/>
      <c r="J29" s="136"/>
      <c r="K29" s="92"/>
      <c r="L29" s="137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Sheet2!$N$54:$N$55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Sheet2!$A$47:$A$49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Sheet2!$N$58:$N$59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Sheet2!$N$32:$N$39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Sheet2!$N$42:$N$44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Sheet2!$A$9:$A$29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Sheet2!$N$47:$N$51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Sheet2!$N$18:$N$22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Sheet2!$N$25:$N$29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zoomScaleNormal="100" workbookViewId="0">
      <selection activeCell="E17" sqref="E17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46010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46001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197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151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152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55" t="s">
        <v>25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153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174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 t="s">
        <v>165</v>
      </c>
      <c r="O19" s="1"/>
      <c r="P19" s="1"/>
      <c r="Q19" s="1"/>
      <c r="R19" s="1"/>
      <c r="S19" s="1"/>
      <c r="T19" s="1"/>
      <c r="U19" s="1"/>
      <c r="V19" s="1"/>
    </row>
    <row r="20" spans="1:23" x14ac:dyDescent="0.25">
      <c r="A20" s="54" t="s">
        <v>154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193</v>
      </c>
      <c r="T20" s="1"/>
      <c r="V20" s="1"/>
    </row>
    <row r="21" spans="1:23" x14ac:dyDescent="0.25">
      <c r="A21" s="54" t="s">
        <v>156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166</v>
      </c>
      <c r="T21" s="1"/>
      <c r="V21" s="1"/>
    </row>
    <row r="22" spans="1:23" x14ac:dyDescent="0.25">
      <c r="A22" s="54" t="s">
        <v>157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53"/>
      <c r="N22" s="20" t="s">
        <v>167</v>
      </c>
      <c r="T22" s="1"/>
      <c r="V22" s="1"/>
      <c r="W22" s="2"/>
    </row>
    <row r="23" spans="1:23" x14ac:dyDescent="0.25">
      <c r="A23" s="54" t="s">
        <v>158</v>
      </c>
      <c r="B23" s="20"/>
      <c r="C23" s="20"/>
      <c r="D23" s="20"/>
      <c r="E23" s="5"/>
      <c r="F23" s="20"/>
      <c r="G23" s="5"/>
      <c r="H23" s="20"/>
      <c r="I23" s="5"/>
      <c r="J23" s="20"/>
      <c r="K23" s="20"/>
      <c r="L23" s="20"/>
      <c r="M23" s="53"/>
      <c r="N23" s="53"/>
      <c r="T23" s="1"/>
      <c r="V23" s="1"/>
      <c r="W23" s="2"/>
    </row>
    <row r="24" spans="1:23" x14ac:dyDescent="0.25">
      <c r="A24" s="54" t="s">
        <v>159</v>
      </c>
      <c r="B24" s="20"/>
      <c r="C24" s="20"/>
      <c r="D24" s="20"/>
      <c r="E24" s="5"/>
      <c r="F24" s="20"/>
      <c r="G24" s="5"/>
      <c r="H24" s="20"/>
      <c r="I24" s="20"/>
      <c r="J24" s="20"/>
      <c r="K24" s="20"/>
      <c r="L24" s="20"/>
      <c r="M24" s="53"/>
      <c r="N24" s="55" t="s">
        <v>141</v>
      </c>
      <c r="T24" s="1"/>
      <c r="V24" s="1"/>
      <c r="W24" s="2"/>
    </row>
    <row r="25" spans="1:23" x14ac:dyDescent="0.25">
      <c r="A25" s="54" t="s">
        <v>160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44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161</v>
      </c>
      <c r="B26" s="20"/>
      <c r="C26" s="20"/>
      <c r="D26" s="20"/>
      <c r="E26" s="5"/>
      <c r="F26" s="20"/>
      <c r="G26" s="20"/>
      <c r="H26" s="20"/>
      <c r="I26" s="20"/>
      <c r="J26" s="20"/>
      <c r="K26" s="20"/>
      <c r="L26" s="20"/>
      <c r="M26" s="20"/>
      <c r="N26" s="20" t="s">
        <v>188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162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175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187</v>
      </c>
      <c r="O28" s="1"/>
      <c r="P28" s="1"/>
      <c r="Q28" s="1"/>
      <c r="R28" s="1"/>
      <c r="S28" s="1"/>
      <c r="T28" s="1"/>
      <c r="V28" s="1"/>
      <c r="W28" s="2"/>
    </row>
    <row r="29" spans="1:23" x14ac:dyDescent="0.25">
      <c r="A29" s="54" t="s">
        <v>184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 t="s">
        <v>140</v>
      </c>
      <c r="U29" s="1"/>
      <c r="V29" s="1"/>
    </row>
    <row r="30" spans="1:23" x14ac:dyDescent="0.25">
      <c r="A30" s="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3"/>
      <c r="U30" s="1"/>
      <c r="V30" s="1"/>
    </row>
    <row r="31" spans="1:23" x14ac:dyDescent="0.25">
      <c r="A31" s="56" t="s">
        <v>46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6" t="s">
        <v>28</v>
      </c>
      <c r="U31" s="1"/>
      <c r="V31" s="1"/>
    </row>
    <row r="32" spans="1:23" x14ac:dyDescent="0.25">
      <c r="A32" s="5" t="s">
        <v>30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 t="s">
        <v>168</v>
      </c>
      <c r="U32" s="1"/>
      <c r="V32" s="1"/>
    </row>
    <row r="33" spans="1:22" x14ac:dyDescent="0.25">
      <c r="A33" s="5" t="s">
        <v>34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110</v>
      </c>
      <c r="U33" s="1"/>
      <c r="V33" s="1"/>
    </row>
    <row r="34" spans="1:22" x14ac:dyDescent="0.25">
      <c r="A34" s="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130</v>
      </c>
      <c r="U34" s="1"/>
      <c r="V34" s="1"/>
    </row>
    <row r="35" spans="1:22" x14ac:dyDescent="0.25">
      <c r="A35" s="56" t="s">
        <v>47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150</v>
      </c>
      <c r="U35" s="1"/>
      <c r="V35" s="1"/>
    </row>
    <row r="36" spans="1:22" x14ac:dyDescent="0.25">
      <c r="A36" s="5" t="s">
        <v>44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>
        <v>180</v>
      </c>
      <c r="U36" s="1"/>
      <c r="V36" s="1"/>
    </row>
    <row r="37" spans="1:22" x14ac:dyDescent="0.25">
      <c r="A37" s="5" t="s">
        <v>42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169</v>
      </c>
      <c r="U37" s="1"/>
      <c r="V37" s="1"/>
    </row>
    <row r="38" spans="1:22" x14ac:dyDescent="0.25">
      <c r="A38" s="5" t="s">
        <v>43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170</v>
      </c>
      <c r="U38" s="1"/>
      <c r="V38" s="1"/>
    </row>
    <row r="39" spans="1:22" x14ac:dyDescent="0.25">
      <c r="A39" s="5" t="s">
        <v>45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5" t="s">
        <v>38</v>
      </c>
      <c r="U39" s="1"/>
      <c r="V39" s="1"/>
    </row>
    <row r="40" spans="1:22" x14ac:dyDescent="0.25">
      <c r="A40" s="20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</row>
    <row r="41" spans="1:22" x14ac:dyDescent="0.25">
      <c r="A41" s="56" t="s">
        <v>63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6" t="s">
        <v>26</v>
      </c>
    </row>
    <row r="42" spans="1:22" x14ac:dyDescent="0.25">
      <c r="A42" s="5" t="s">
        <v>44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35</v>
      </c>
    </row>
    <row r="43" spans="1:22" x14ac:dyDescent="0.25">
      <c r="A43" s="5" t="s">
        <v>65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37</v>
      </c>
    </row>
    <row r="44" spans="1:22" x14ac:dyDescent="0.25">
      <c r="A44" s="5" t="s">
        <v>64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 t="s">
        <v>171</v>
      </c>
    </row>
    <row r="45" spans="1:22" x14ac:dyDescent="0.2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"/>
    </row>
    <row r="46" spans="1:22" x14ac:dyDescent="0.25">
      <c r="A46" s="56" t="s">
        <v>68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6" t="s">
        <v>101</v>
      </c>
    </row>
    <row r="47" spans="1:22" x14ac:dyDescent="0.25">
      <c r="A47" s="5" t="s">
        <v>44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38</v>
      </c>
    </row>
    <row r="48" spans="1:22" x14ac:dyDescent="0.25">
      <c r="A48" s="5" t="s">
        <v>70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32</v>
      </c>
    </row>
    <row r="49" spans="1:20" x14ac:dyDescent="0.25">
      <c r="A49" s="5" t="s">
        <v>69</v>
      </c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172</v>
      </c>
    </row>
    <row r="50" spans="1:20" x14ac:dyDescent="0.25">
      <c r="A50" s="20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183</v>
      </c>
    </row>
    <row r="51" spans="1:20" x14ac:dyDescent="0.25">
      <c r="A51" s="56" t="s">
        <v>61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" t="s">
        <v>185</v>
      </c>
    </row>
    <row r="52" spans="1:20" x14ac:dyDescent="0.25">
      <c r="A52" s="5" t="s">
        <v>44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</row>
    <row r="53" spans="1:20" x14ac:dyDescent="0.25">
      <c r="A53" s="5" t="s">
        <v>66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5" t="s">
        <v>173</v>
      </c>
    </row>
    <row r="54" spans="1:20" x14ac:dyDescent="0.25">
      <c r="A54" s="5" t="s">
        <v>67</v>
      </c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31</v>
      </c>
    </row>
    <row r="55" spans="1:20" x14ac:dyDescent="0.25">
      <c r="A55" s="20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20" t="s">
        <v>23</v>
      </c>
    </row>
    <row r="56" spans="1:20" x14ac:dyDescent="0.25">
      <c r="A56" s="55" t="s">
        <v>62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</row>
    <row r="57" spans="1:20" x14ac:dyDescent="0.25">
      <c r="A57" s="20" t="s">
        <v>44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6" t="s">
        <v>27</v>
      </c>
    </row>
    <row r="58" spans="1:20" x14ac:dyDescent="0.25">
      <c r="A58" s="53" t="s">
        <v>177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36</v>
      </c>
      <c r="O58" s="1"/>
      <c r="P58" s="1"/>
      <c r="Q58" s="1"/>
      <c r="R58" s="1"/>
      <c r="S58" s="1"/>
      <c r="T58" s="1"/>
    </row>
    <row r="59" spans="1:20" x14ac:dyDescent="0.25">
      <c r="A59" s="54" t="s">
        <v>155</v>
      </c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20" t="s">
        <v>33</v>
      </c>
    </row>
    <row r="60" spans="1:20" x14ac:dyDescent="0.25">
      <c r="A60" s="54" t="s">
        <v>148</v>
      </c>
    </row>
    <row r="61" spans="1:20" x14ac:dyDescent="0.25">
      <c r="A61" s="54" t="s">
        <v>149</v>
      </c>
      <c r="O61" s="1"/>
      <c r="Q61" s="1"/>
      <c r="R61" s="3"/>
      <c r="S61" s="1"/>
    </row>
    <row r="62" spans="1:20" x14ac:dyDescent="0.25">
      <c r="A62" s="54" t="s">
        <v>150</v>
      </c>
      <c r="O62" s="1"/>
      <c r="Q62" s="1"/>
      <c r="R62" s="1"/>
      <c r="S62" s="1"/>
    </row>
    <row r="63" spans="1:20" x14ac:dyDescent="0.25">
      <c r="A63" s="54" t="s">
        <v>151</v>
      </c>
      <c r="O63" s="1"/>
      <c r="Q63" s="1"/>
      <c r="R63" s="1"/>
      <c r="S63" s="1"/>
    </row>
    <row r="64" spans="1:20" x14ac:dyDescent="0.25">
      <c r="A64" s="54" t="s">
        <v>152</v>
      </c>
      <c r="O64" s="1"/>
      <c r="Q64" s="1"/>
      <c r="R64" s="1"/>
      <c r="S64" s="1"/>
      <c r="T64" s="1"/>
    </row>
    <row r="65" spans="1:20" x14ac:dyDescent="0.25">
      <c r="A65" s="54" t="s">
        <v>153</v>
      </c>
      <c r="O65" s="1"/>
      <c r="Q65" s="1"/>
      <c r="R65" s="1"/>
      <c r="S65" s="1"/>
      <c r="T65" s="1"/>
    </row>
    <row r="66" spans="1:20" x14ac:dyDescent="0.25">
      <c r="A66" s="54" t="s">
        <v>174</v>
      </c>
      <c r="N66" s="3"/>
      <c r="O66" s="1"/>
      <c r="P66" s="1"/>
      <c r="Q66" s="1"/>
      <c r="R66" s="1"/>
      <c r="S66" s="1"/>
      <c r="T66" s="1"/>
    </row>
    <row r="67" spans="1:20" x14ac:dyDescent="0.25">
      <c r="A67" s="54" t="s">
        <v>154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  <c r="O69" s="1"/>
      <c r="P69" s="1"/>
      <c r="Q69" s="1"/>
      <c r="R69" s="1"/>
      <c r="S69" s="1"/>
      <c r="T69" s="1"/>
    </row>
    <row r="70" spans="1:20" x14ac:dyDescent="0.25">
      <c r="N70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35661E5-48BF-4EEA-A651-9D36E78A1ED5}"/>
</file>

<file path=customXml/itemProps2.xml><?xml version="1.0" encoding="utf-8"?>
<ds:datastoreItem xmlns:ds="http://schemas.openxmlformats.org/officeDocument/2006/customXml" ds:itemID="{2113C6B4-D69F-4FCE-988A-8D81B46367FE}"/>
</file>

<file path=customXml/itemProps3.xml><?xml version="1.0" encoding="utf-8"?>
<ds:datastoreItem xmlns:ds="http://schemas.openxmlformats.org/officeDocument/2006/customXml" ds:itemID="{8831E0B3-3C5E-4AD5-A89B-065BCC2658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2025-10-16T01:42:48Z</cp:lastPrinted>
  <dcterms:created xsi:type="dcterms:W3CDTF">2019-11-27T23:28:06Z</dcterms:created>
  <dcterms:modified xsi:type="dcterms:W3CDTF">2025-11-19T00:53:03Z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