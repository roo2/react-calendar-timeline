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02A23E9-7BBC-4DF1-A44B-3E978F8A04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O2" i="1"/>
  <c r="B11" i="1" l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<sst xmlns="http://schemas.openxmlformats.org/spreadsheetml/2006/main" count="307" uniqueCount="203">
  <si>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</si>
  <si>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</si>
  <si>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</si>
  <si>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</si>
  <si>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</si>
  <si>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</si>
  <si>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</si>
  <si>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</si>
  <si>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</si>
  <si>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</si>
  <si>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</si>
  <si>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</si>
  <si>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</si>
  <si>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</si>
  <si>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</si>
  <si>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</si>
  <si>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</si>
  <si>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</si>
  <si>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</si>
  <si>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</si>
  <si>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</si>
  <si>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</si>
  <si>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</si>
  <si>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</si>
  <si>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</si>
  <si>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</si>
  <si>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</si>
  <si>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</si>
  <si>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</si>
  <si>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</si>
  <si>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</si>
  <si>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</si>
  <si>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</si>
  <si>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</si>
  <si>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</si>
  <si>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</si>
  <si>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</si>
  <si>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</si>
  <si>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</si>
  <si>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</si>
  <si>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</si>
  <si>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</si>
  <si>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</si>
  <si>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</si>
  <si>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</si>
  <si>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</si>
  <si>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</si>
  <si>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</si>
  <si>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</si>
  <si>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</si>
  <si>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</si>
  <si>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</si>
  <si>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</si>
  <si>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</si>
  <si>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</si>
  <si>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</si>
  <si>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</si>
  <si>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</si>
  <si>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</si>
  <si>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</si>
  <si>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</si>
  <si>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</si>
  <si>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</si>
  <si>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</si>
  <si>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</si>
  <si>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</si>
  <si>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</si>
  <si>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</si>
  <si>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</si>
  <si>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</si>
  <si>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</si>
  <si>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</si>
  <si>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</si>
  <si>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</si>
  <si>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</si>
  <si>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</si>
  <si>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</si>
  <si>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</si>
  <si>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</si>
  <si>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</si>
  <si>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</si>
  <si>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</si>
  <si>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</si>
  <si>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</si>
  <si>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</si>
  <si>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</si>
  <si>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</si>
  <si>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</si>
  <si>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</si>
  <si>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</si>
  <si>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</si>
  <si>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</si>
  <si>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</si>
  <si>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</si>
  <si>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</si>
  <si>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</si>
  <si>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</si>
  <si>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</si>
  <si>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</si>
  <si>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</si>
  <si>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</si>
  <si>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</si>
  <si>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</si>
  <si>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</si>
  <si>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</si>
  <si>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</si>
  <si>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</si>
  <si>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</si>
  <si>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</si>
  <si>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</si>
  <si>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</si>
  <si>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</si>
  <si>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</si>
  <si>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</si>
  <si>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</si>
  <si>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</si>
  <si>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</si>
  <si>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</si>
  <si>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</si>
  <si>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</si>
  <si>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</si>
  <si>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</si>
  <si>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</si>
  <si>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</si>
  <si>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</si>
  <si>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</si>
  <si>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</si>
  <si>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</si>
  <si>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</si>
  <si>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</si>
  <si>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</si>
  <si>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</si>
  <si>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</si>
  <si>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</si>
  <si>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</si>
  <si>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</si>
  <si>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</si>
  <si>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</si>
  <si>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</si>
  <si>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</si>
  <si>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</si>
  <si>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</si>
  <si>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</si>
  <si>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</si>
  <si>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</si>
  <si>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</si>
  <si>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</si>
  <si>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</si>
  <si>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</si>
  <si>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</si>
  <si>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</si>
  <si>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</si>
  <si>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</si>
  <si>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</si>
  <si>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</si>
  <si>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</si>
  <si>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</si>
  <si>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</si>
  <si>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</si>
  <si>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</si>
  <si>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</si>
  <si>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</si>
  <si>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</si>
  <si>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</si>
  <si>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</si>
  <si>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</si>
  <si>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</si>
  <si>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</si>
  <si>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</si>
  <si>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</si>
  <si>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</si>
  <si>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</si>
  <si>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</si>
  <si>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</si>
  <si>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</si>
  <si>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</si>
  <si>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</si>
  <si>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</si>
  <si>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</si>
  <si>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</si>
  <si>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</si>
  <si>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</si>
  <si>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</si>
  <si>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</si>
  <si>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</si>
  <si>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</si>
  <si>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</si>
  <si>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</si>
  <si>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</si>
  <si>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</si>
  <si>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</si>
  <si>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</si>
  <si>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</si>
  <si>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UV</t>
  </si>
  <si>
    <t>ASAP</t>
  </si>
  <si>
    <t>Centrefold Roll</t>
  </si>
  <si>
    <t>FERNLAND AGENCIES</t>
  </si>
  <si>
    <t>(125+115)</t>
  </si>
  <si>
    <t>RUN AT 130-135um</t>
  </si>
  <si>
    <t xml:space="preserve"> +0mm/-5mm</t>
  </si>
  <si>
    <t>PERF</t>
  </si>
  <si>
    <t>CUSBAG150/380HD</t>
  </si>
  <si>
    <t>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</si>
</sst>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16" sqref="O16:P16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8" t="str">
        <f>O9&amp;R9&amp;IF(X8="G","G","")&amp;IF(O8="Centrefold Roll","("&amp;E8&amp;")","")&amp;T9&amp;V9&amp;C22&amp;C23&amp;C24&amp;O11&amp;R11</f>
        <v>PB240G440140BKUVV</v>
      </c>
      <c r="C1" s="108"/>
      <c r="D1" s="109"/>
      <c r="E1" s="10" t="s">
        <v>57</v>
      </c>
      <c r="F1" s="62" t="s">
        <v>196</v>
      </c>
      <c r="G1" s="62"/>
      <c r="H1" s="63"/>
      <c r="I1" s="11" t="s">
        <v>181</v>
      </c>
      <c r="J1" s="119">
        <f ca="1">TODAY()</f>
        <v>45411</v>
      </c>
      <c r="K1" s="119"/>
      <c r="L1" s="120"/>
      <c r="M1" s="29"/>
      <c r="N1" s="10" t="s">
        <v>56</v>
      </c>
      <c r="O1" s="108" t="str">
        <f>B1</f>
        <v>PB240G440140BKUVV</v>
      </c>
      <c r="P1" s="108"/>
      <c r="Q1" s="109"/>
      <c r="R1" s="10" t="s">
        <v>57</v>
      </c>
      <c r="S1" s="108" t="str">
        <f>F1</f>
        <v>FERNLAND AGENCIES</v>
      </c>
      <c r="T1" s="108"/>
      <c r="U1" s="109"/>
      <c r="V1" s="10" t="s">
        <v>181</v>
      </c>
      <c r="W1" s="119">
        <f ca="1">J1</f>
        <v>45411</v>
      </c>
      <c r="X1" s="119"/>
      <c r="Y1" s="120"/>
    </row>
    <row r="2" spans="1:25" ht="20.100000000000001" customHeight="1" x14ac:dyDescent="0.25">
      <c r="A2" s="10" t="s">
        <v>100</v>
      </c>
      <c r="B2" s="108" t="str">
        <f>IF(U10="","",U10)</f>
        <v>CUSBAG150/380HD</v>
      </c>
      <c r="C2" s="108"/>
      <c r="D2" s="109"/>
      <c r="E2" s="10" t="s">
        <v>58</v>
      </c>
      <c r="F2" s="62">
        <v>943960</v>
      </c>
      <c r="G2" s="62"/>
      <c r="H2" s="63"/>
      <c r="I2" s="10" t="s">
        <v>59</v>
      </c>
      <c r="J2" s="122">
        <v>44812</v>
      </c>
      <c r="K2" s="62"/>
      <c r="L2" s="63"/>
      <c r="M2" s="29"/>
      <c r="N2" s="10" t="s">
        <v>100</v>
      </c>
      <c r="O2" s="108" t="str">
        <f>IF(B2="","",B2)</f>
        <v>CUSBAG150/380HD</v>
      </c>
      <c r="P2" s="108"/>
      <c r="Q2" s="109"/>
      <c r="R2" s="10" t="s">
        <v>58</v>
      </c>
      <c r="S2" s="108">
        <v>942046</v>
      </c>
      <c r="T2" s="108"/>
      <c r="U2" s="109"/>
      <c r="V2" s="10" t="s">
        <v>59</v>
      </c>
      <c r="W2" s="121">
        <f>J2</f>
        <v>44812</v>
      </c>
      <c r="X2" s="108"/>
      <c r="Y2" s="109"/>
    </row>
    <row r="3" spans="1:25" ht="20.100000000000001" customHeight="1" x14ac:dyDescent="0.25">
      <c r="A3" s="110" t="s">
        <v>192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SPOT ON FINISH. USE DOLPHIN REMILL, MUST NOT BE BLOCKED.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0" t="s">
        <v>49</v>
      </c>
      <c r="B7" s="100" t="s">
        <v>177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0" t="str">
        <f>IF(ISNUMBER(SEARCH("roll",O8,1)),"No. Rolls","No. Cartons")</f>
        <v>No. Cartons</v>
      </c>
      <c r="O7" s="62">
        <v>70</v>
      </c>
      <c r="P7" s="63"/>
      <c r="Q7" s="10" t="str">
        <f>IF(ISNUMBER(SEARCH("roll",O8,1)),"Per Roll","Per Carton")</f>
        <v>Per Carton</v>
      </c>
      <c r="R7" s="62">
        <v>500</v>
      </c>
      <c r="S7" s="63"/>
      <c r="T7" s="10" t="str">
        <f>IF(ISNUMBER(SEARCH("bag",O8,1)),"Total Bags","Total Sheets")</f>
        <v>Total Bags</v>
      </c>
      <c r="U7" s="108">
        <f>R7*O7</f>
        <v>35000</v>
      </c>
      <c r="V7" s="109"/>
      <c r="W7" s="10" t="s">
        <v>102</v>
      </c>
      <c r="X7" s="62" t="s">
        <v>23</v>
      </c>
      <c r="Y7" s="63"/>
    </row>
    <row r="8" spans="1:25" ht="20.100000000000001" customHeight="1" x14ac:dyDescent="0.25">
      <c r="A8" s="12" t="s">
        <v>16</v>
      </c>
      <c r="B8" s="96">
        <f>R9</f>
        <v>240</v>
      </c>
      <c r="C8" s="97"/>
      <c r="D8" s="12" t="str">
        <f>IF(ISNUMBER(SEARCH("bag",O8,1)),"Gusset","Centrefold")</f>
        <v>Gusset</v>
      </c>
      <c r="E8" s="96" t="str">
        <f>IF(O8="Centrefold Roll",B8*2,IF(X9="","None",X9))</f>
        <v>(125+115)</v>
      </c>
      <c r="F8" s="97"/>
      <c r="G8" s="12" t="s">
        <v>52</v>
      </c>
      <c r="H8" s="96">
        <f>(IF(V9&lt;30,"30",V9))</f>
        <v>140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Gusset Tube</v>
      </c>
      <c r="L8" s="109"/>
      <c r="M8" s="29"/>
      <c r="N8" s="13" t="s">
        <v>54</v>
      </c>
      <c r="O8" s="98" t="s">
        <v>164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15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G</v>
      </c>
      <c r="Y8" s="95"/>
    </row>
    <row r="9" spans="1:25" ht="20.100000000000001" customHeight="1" x14ac:dyDescent="0.3">
      <c r="A9" s="16" t="s">
        <v>48</v>
      </c>
      <c r="B9" s="125" t="s">
        <v>199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198</v>
      </c>
      <c r="I9" s="126"/>
      <c r="J9" s="10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240</v>
      </c>
      <c r="S9" s="18" t="s">
        <v>78</v>
      </c>
      <c r="T9" s="30">
        <v>440</v>
      </c>
      <c r="U9" s="18" t="s">
        <v>78</v>
      </c>
      <c r="V9" s="30">
        <v>140</v>
      </c>
      <c r="W9" s="17"/>
      <c r="X9" s="88" t="s">
        <v>197</v>
      </c>
      <c r="Y9" s="89"/>
    </row>
    <row r="10" spans="1:25" ht="20.100000000000001" customHeight="1" x14ac:dyDescent="0.25">
      <c r="A10" s="10" t="s">
        <v>51</v>
      </c>
      <c r="B10" s="62">
        <v>34</v>
      </c>
      <c r="C10" s="63"/>
      <c r="D10" s="47" t="s">
        <v>134</v>
      </c>
      <c r="E10" s="127">
        <f>IF(ISNUMBER(SEARCH("sheet",O8,1)),((R9*T9*H8/540000)*U7/2000*1.3),((R9*T9*H8/540000)*U7/1000*1.08))</f>
        <v>1034.8800000000001</v>
      </c>
      <c r="F10" s="128"/>
      <c r="G10" s="10" t="s">
        <v>53</v>
      </c>
      <c r="H10" s="131">
        <f>IF(ISNUMBER(SEARCH("sheet",O8,1)),(U7*T9/2000*1.08),(U7*T9/1000*1.08))</f>
        <v>16632</v>
      </c>
      <c r="I10" s="132"/>
      <c r="J10" s="10" t="s">
        <v>41</v>
      </c>
      <c r="K10" s="62" t="s">
        <v>44</v>
      </c>
      <c r="L10" s="63"/>
      <c r="M10" s="29"/>
      <c r="N10" s="13" t="s">
        <v>141</v>
      </c>
      <c r="O10" s="98" t="s">
        <v>188</v>
      </c>
      <c r="P10" s="99"/>
      <c r="Q10" s="13" t="s">
        <v>50</v>
      </c>
      <c r="R10" s="94" t="str">
        <f>IF(K11="NONE","None",IF(K11="INLINE","Yes",IF(K11="OUT OF LINE","Yes")))</f>
        <v>None</v>
      </c>
      <c r="S10" s="94"/>
      <c r="T10" s="13" t="s">
        <v>100</v>
      </c>
      <c r="U10" s="104" t="s">
        <v>201</v>
      </c>
      <c r="V10" s="104"/>
      <c r="W10" s="104"/>
      <c r="X10" s="104"/>
      <c r="Y10" s="105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29">
        <f>E10/B10</f>
        <v>30.437647058823533</v>
      </c>
      <c r="F11" s="130"/>
      <c r="G11" s="10" t="s">
        <v>15</v>
      </c>
      <c r="H11" s="129">
        <f>H10/B10</f>
        <v>489.1764705882353</v>
      </c>
      <c r="I11" s="130"/>
      <c r="J11" s="10" t="s">
        <v>50</v>
      </c>
      <c r="K11" s="62" t="s">
        <v>44</v>
      </c>
      <c r="L11" s="63"/>
      <c r="M11" s="29"/>
      <c r="N11" s="12"/>
      <c r="O11" s="96" t="str">
        <f>IF(O10="NONE","","V")</f>
        <v>V</v>
      </c>
      <c r="P11" s="97"/>
      <c r="Q11" s="12"/>
      <c r="R11" s="96" t="str">
        <f>IF(R10="None","","P")</f>
        <v/>
      </c>
      <c r="S11" s="97"/>
      <c r="T11" s="12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0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9"/>
      <c r="N13" s="10" t="s">
        <v>72</v>
      </c>
      <c r="O13" s="31" t="s">
        <v>57</v>
      </c>
      <c r="P13" s="10" t="s">
        <v>73</v>
      </c>
      <c r="Q13" s="20">
        <f>O7</f>
        <v>70</v>
      </c>
      <c r="R13" s="10" t="s">
        <v>74</v>
      </c>
      <c r="S13" s="31" t="s">
        <v>23</v>
      </c>
      <c r="T13" s="10" t="s">
        <v>178</v>
      </c>
      <c r="U13" s="20" t="str">
        <f>IF(S13="No","",(ROUNDUP(U7/W13/24,0)))</f>
        <v/>
      </c>
      <c r="V13" s="10" t="s">
        <v>75</v>
      </c>
      <c r="W13" s="31" t="str">
        <f>IF(AND((O17="LOOSE"),(NOT(O18="BUNDLE"))),"",IF(AND((O17="LINED"),(NOT(O18="BUNDLE"))),"",(IF(R7&lt;=500,"50",IF(R7&gt;500,"100")))))</f>
        <v>50</v>
      </c>
      <c r="X13" s="10" t="s">
        <v>76</v>
      </c>
      <c r="Y13" s="32"/>
    </row>
    <row r="14" spans="1:25" ht="20.100000000000001" customHeight="1" x14ac:dyDescent="0.3">
      <c r="A14" s="12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0" t="s">
        <v>28</v>
      </c>
      <c r="O16" s="62">
        <v>150</v>
      </c>
      <c r="P16" s="63"/>
      <c r="Q16" s="10" t="s">
        <v>105</v>
      </c>
      <c r="R16" s="62" t="s">
        <v>23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0" t="s">
        <v>26</v>
      </c>
      <c r="O17" s="62" t="s">
        <v>37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31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0" t="s">
        <v>101</v>
      </c>
      <c r="O18" s="62" t="s">
        <v>185</v>
      </c>
      <c r="P18" s="63"/>
      <c r="Q18" s="10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>BLACK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3"/>
      <c r="E22" s="59">
        <v>3</v>
      </c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38" t="s">
        <v>193</v>
      </c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3"/>
      <c r="E23" s="59">
        <v>4</v>
      </c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9" t="s">
        <v>200</v>
      </c>
      <c r="P25" s="34"/>
      <c r="Q25" s="9">
        <v>21</v>
      </c>
      <c r="R25" s="9">
        <v>6</v>
      </c>
      <c r="S25" s="9"/>
      <c r="T25" s="9">
        <v>11</v>
      </c>
      <c r="U25" s="9"/>
      <c r="V25" s="9">
        <v>3</v>
      </c>
      <c r="W25" s="9">
        <v>250</v>
      </c>
      <c r="X25" s="9">
        <v>250</v>
      </c>
      <c r="Y25" s="9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 t="s">
        <v>202</v>
      </c>
      <c r="C27" s="7"/>
      <c r="D27" s="141">
        <v>107</v>
      </c>
      <c r="E27" s="142">
        <v>2.1</v>
      </c>
      <c r="F27" s="141">
        <v>14.2</v>
      </c>
      <c r="G27" s="90"/>
      <c r="H27" s="90"/>
      <c r="I27" s="90"/>
      <c r="J27" s="90"/>
      <c r="K27" s="7"/>
      <c r="L27" s="9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5"/>
      <c r="C30" s="32"/>
      <c r="D30" s="11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5"/>
      <c r="C31" s="32"/>
      <c r="D31" s="11" t="s">
        <v>112</v>
      </c>
      <c r="E31" s="36"/>
      <c r="F31" s="40"/>
      <c r="G31" s="11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45441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45432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195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5120514-7CB7-49DF-B493-82D13017103F}"/>
</file>

<file path=customXml/itemProps2.xml><?xml version="1.0" encoding="utf-8"?>
<ds:datastoreItem xmlns:ds="http://schemas.openxmlformats.org/officeDocument/2006/customXml" ds:itemID="{2A5089AE-58DA-40D2-B8ED-F0DB638C2D9C}"/>
</file>

<file path=customXml/itemProps3.xml><?xml version="1.0" encoding="utf-8"?>
<ds:datastoreItem xmlns:ds="http://schemas.openxmlformats.org/officeDocument/2006/customXml" ds:itemID="{4CE69865-DC84-4783-B7D9-16E05B0CC3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2022-08-18T00:59:30Z</cp:lastPrinted>
  <dcterms:created xsi:type="dcterms:W3CDTF">2019-11-27T23:28:06Z</dcterms:created>
  <dcterms:modified xsi:type="dcterms:W3CDTF">2024-04-29T04:24:33Z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