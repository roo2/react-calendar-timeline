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DFC499B-AC6C-41D7-A8EB-EA638F379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<sst xmlns="http://schemas.openxmlformats.org/spreadsheetml/2006/main" count="303" uniqueCount="199">
  <si>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</si>
  <si>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</si>
  <si>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</si>
  <si>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</si>
  <si>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</si>
  <si>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</si>
  <si>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</si>
  <si>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</si>
  <si>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</si>
  <si>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</si>
  <si>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</si>
  <si>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</si>
  <si>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</si>
  <si>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</si>
  <si>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</si>
  <si>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</si>
  <si>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</si>
  <si>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</si>
  <si>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</si>
  <si>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</si>
  <si>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</si>
  <si>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</si>
  <si>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</si>
  <si>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</si>
  <si>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</si>
  <si>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</si>
  <si>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</si>
  <si>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</si>
  <si>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</si>
  <si>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</si>
  <si>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</si>
  <si>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</si>
  <si>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</si>
  <si>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</si>
  <si>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</si>
  <si>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</si>
  <si>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</si>
  <si>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</si>
  <si>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</si>
  <si>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</si>
  <si>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</si>
  <si>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</si>
  <si>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</si>
  <si>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</si>
  <si>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</si>
  <si>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</si>
  <si>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</si>
  <si>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</si>
  <si>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</si>
  <si>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</si>
  <si>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</si>
  <si>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</si>
  <si>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</si>
  <si>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</si>
  <si>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</si>
  <si>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</si>
  <si>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</si>
  <si>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</si>
  <si>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</si>
  <si>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</si>
  <si>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</si>
  <si>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</si>
  <si>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</si>
  <si>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</si>
  <si>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</si>
  <si>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</si>
  <si>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</si>
  <si>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</si>
  <si>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</si>
  <si>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</si>
  <si>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</si>
  <si>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</si>
  <si>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</si>
  <si>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</si>
  <si>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</si>
  <si>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</si>
  <si>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</si>
  <si>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</si>
  <si>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</si>
  <si>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</si>
  <si>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</si>
  <si>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</si>
  <si>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</si>
  <si>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</si>
  <si>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</si>
  <si>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</si>
  <si>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</si>
  <si>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</si>
  <si>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</si>
  <si>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</si>
  <si>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</si>
  <si>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</si>
  <si>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</si>
  <si>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</si>
  <si>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</si>
  <si>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</si>
  <si>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</si>
  <si>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</si>
  <si>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</si>
  <si>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</si>
  <si>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</si>
  <si>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</si>
  <si>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</si>
  <si>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</si>
  <si>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</si>
  <si>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</si>
  <si>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</si>
  <si>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</si>
  <si>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</si>
  <si>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</si>
  <si>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</si>
  <si>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</si>
  <si>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</si>
  <si>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</si>
  <si>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</si>
  <si>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</si>
  <si>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</si>
  <si>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</si>
  <si>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</si>
  <si>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</si>
  <si>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</si>
  <si>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</si>
  <si>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</si>
  <si>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</si>
  <si>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</si>
  <si>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</si>
  <si>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</si>
  <si>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</si>
  <si>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</si>
  <si>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</si>
  <si>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</si>
  <si>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</si>
  <si>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</si>
  <si>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</si>
  <si>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</si>
  <si>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</si>
  <si>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</si>
  <si>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</si>
  <si>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</si>
  <si>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</si>
  <si>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</si>
  <si>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</si>
  <si>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</si>
  <si>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</si>
  <si>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</si>
  <si>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</si>
  <si>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</si>
  <si>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</si>
  <si>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</si>
  <si>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</si>
  <si>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</si>
  <si>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</si>
  <si>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</si>
  <si>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</si>
  <si>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</si>
  <si>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</si>
  <si>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</si>
  <si>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</si>
  <si>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</si>
  <si>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</si>
  <si>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</si>
  <si>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</si>
  <si>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</si>
  <si>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</si>
  <si>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</si>
  <si>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</si>
  <si>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</si>
  <si>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</si>
  <si>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</si>
  <si>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</si>
  <si>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</si>
  <si>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</si>
  <si>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</si>
  <si>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</si>
  <si>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</si>
  <si>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</si>
  <si>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</si>
  <si>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</si>
  <si>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</si>
  <si>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</si>
  <si>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</si>
  <si>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</si>
  <si>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</si>
  <si>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</si>
  <si>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</si>
  <si>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</si>
  <si>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</si>
  <si>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</si>
  <si>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</si>
  <si>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</si>
  <si>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</si>
  <si>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</si>
  <si>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</si>
  <si>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</si>
  <si>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ARVOR</t>
  </si>
  <si>
    <t xml:space="preserve"> +/- 10mm</t>
  </si>
  <si>
    <t>GRUNSKES BY THE RIVER</t>
  </si>
  <si>
    <t>NEW ITEM - MUST HAVE WATER TIGHT SEALS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</si>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</sst>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PB45060070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44524</v>
      </c>
      <c r="K1" s="95"/>
      <c r="L1" s="96"/>
      <c r="M1" s="34"/>
      <c r="N1" s="12" t="s">
        <v>56</v>
      </c>
      <c r="O1" s="122" t="str">
        <f>B1</f>
        <v>PB45060070</v>
      </c>
      <c r="P1" s="122"/>
      <c r="Q1" s="123"/>
      <c r="R1" s="12" t="s">
        <v>57</v>
      </c>
      <c r="S1" s="122" t="str">
        <f>F1</f>
        <v>GRUNSKES BY THE RIVER</v>
      </c>
      <c r="T1" s="122"/>
      <c r="U1" s="123"/>
      <c r="V1" s="12" t="s">
        <v>181</v>
      </c>
      <c r="W1" s="95">
        <f ca="1">J1</f>
        <v>44524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941605</v>
      </c>
      <c r="G2" s="98"/>
      <c r="H2" s="99"/>
      <c r="I2" s="12" t="s">
        <v>59</v>
      </c>
      <c r="J2" s="97">
        <v>44518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941605</v>
      </c>
      <c r="T2" s="122"/>
      <c r="U2" s="123"/>
      <c r="V2" s="12" t="s">
        <v>59</v>
      </c>
      <c r="W2" s="135">
        <f>J2</f>
        <v>44518</v>
      </c>
      <c r="X2" s="122"/>
      <c r="Y2" s="123"/>
    </row>
    <row r="3" spans="1:28" ht="20.100000000000001" customHeight="1" x14ac:dyDescent="0.25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ITEM - MUST HAVE WATER TIGHT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3000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450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70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450</v>
      </c>
      <c r="S9" s="20" t="s">
        <v>78</v>
      </c>
      <c r="T9" s="35">
        <v>600</v>
      </c>
      <c r="U9" s="20" t="s">
        <v>78</v>
      </c>
      <c r="V9" s="35">
        <v>70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113.4</v>
      </c>
      <c r="F10" s="113"/>
      <c r="G10" s="12" t="s">
        <v>53</v>
      </c>
      <c r="H10" s="116">
        <f>IF(ISNUMBER(SEARCH("sheet",O8,1)),(U7*T9/2000*1.08),(U7*T9/1000*1.08))</f>
        <v>1944.0000000000002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28.35</v>
      </c>
      <c r="F11" s="115"/>
      <c r="G11" s="12" t="s">
        <v>15</v>
      </c>
      <c r="H11" s="114">
        <f>H10/B10</f>
        <v>486.00000000000006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150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194</v>
      </c>
      <c r="P25" s="39"/>
      <c r="Q25" s="10">
        <v>24</v>
      </c>
      <c r="R25" s="10"/>
      <c r="S25" s="10"/>
      <c r="T25" s="10"/>
      <c r="U25" s="10"/>
      <c r="V25" s="10"/>
      <c r="W25" s="10">
        <v>16</v>
      </c>
      <c r="X25" s="10">
        <v>13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44554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44545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05E8411-A2EE-40F6-AF48-A198F6D09998}"/>
</file>

<file path=customXml/itemProps2.xml><?xml version="1.0" encoding="utf-8"?>
<ds:datastoreItem xmlns:ds="http://schemas.openxmlformats.org/officeDocument/2006/customXml" ds:itemID="{3F44192F-EF9E-42F3-AC24-1E15788C320D}"/>
</file>

<file path=customXml/itemProps3.xml><?xml version="1.0" encoding="utf-8"?>
<ds:datastoreItem xmlns:ds="http://schemas.openxmlformats.org/officeDocument/2006/customXml" ds:itemID="{A0F41518-F706-4674-9DA9-766F87F8D1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2021-10-18T01:55:10Z</cp:lastPrinted>
  <dcterms:created xsi:type="dcterms:W3CDTF">2019-11-27T23:28:06Z</dcterms:created>
  <dcterms:modified xsi:type="dcterms:W3CDTF">2021-11-24T00:46:25Z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