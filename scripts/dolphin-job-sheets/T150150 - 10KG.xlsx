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DA33649-1503-4F70-BEB9-2BCF5B36C9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<sst xmlns="http://schemas.openxmlformats.org/spreadsheetml/2006/main" count="225" uniqueCount="167">
  <si>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</si>
  <si>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</si>
  <si>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</si>
  <si>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</si>
  <si>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</si>
  <si>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</si>
  <si>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</si>
  <si>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</si>
  <si>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</si>
  <si>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</si>
  <si>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</si>
  <si>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</si>
  <si>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</si>
  <si>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</si>
  <si>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</si>
  <si>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</si>
  <si>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</si>
  <si>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</si>
  <si>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</si>
  <si>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</si>
  <si>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</si>
  <si>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</si>
  <si>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</si>
  <si>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</si>
  <si>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</si>
  <si>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</si>
  <si>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</si>
  <si>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</si>
  <si>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</si>
  <si>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</si>
  <si>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</si>
  <si>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</si>
  <si>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</si>
  <si>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</si>
  <si>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</si>
  <si>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</si>
  <si>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</si>
  <si>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</si>
  <si>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</si>
  <si>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</si>
  <si>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</si>
  <si>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</si>
  <si>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</si>
  <si>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</si>
  <si>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</si>
  <si>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</si>
  <si>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</si>
  <si>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</si>
  <si>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</si>
  <si>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</si>
  <si>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</si>
  <si>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</si>
  <si>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</si>
  <si>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</si>
  <si>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</si>
  <si>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</si>
  <si>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</si>
  <si>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</si>
  <si>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</si>
  <si>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</si>
  <si>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</si>
  <si>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</si>
  <si>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</si>
  <si>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</si>
  <si>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</si>
  <si>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</si>
  <si>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</si>
  <si>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</si>
  <si>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</si>
  <si>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</si>
  <si>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</si>
  <si>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</si>
  <si>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</si>
  <si>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</si>
  <si>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</si>
  <si>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</si>
  <si>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</si>
  <si>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</si>
  <si>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</si>
  <si>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</si>
  <si>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</si>
  <si>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</si>
  <si>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</si>
  <si>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</si>
  <si>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</si>
  <si>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</si>
  <si>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</si>
  <si>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</si>
  <si>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</si>
  <si>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</si>
  <si>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</si>
  <si>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</si>
  <si>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</si>
  <si>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</si>
  <si>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</si>
  <si>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</si>
  <si>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</si>
  <si>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</si>
  <si>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</si>
  <si>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</si>
  <si>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</si>
  <si>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</si>
  <si>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</si>
  <si>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</si>
  <si>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</si>
  <si>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</si>
  <si>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</si>
  <si>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</si>
  <si>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</si>
  <si>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</si>
  <si>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</si>
  <si>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</si>
  <si>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</si>
  <si>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</si>
  <si>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</si>
  <si>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</si>
  <si>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</si>
  <si>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</si>
  <si>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</si>
  <si>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</si>
  <si>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</si>
  <si>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</si>
  <si>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</si>
  <si>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</si>
  <si>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</si>
  <si>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</si>
  <si>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</si>
  <si>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</si>
  <si>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</si>
  <si>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</si>
  <si>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</si>
  <si>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</si>
  <si>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</si>
  <si>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</si>
  <si>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</si>
  <si>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</si>
  <si>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</si>
  <si>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</si>
  <si>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</si>
  <si>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</si>
  <si>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</si>
  <si>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</si>
  <si>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</si>
  <si>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</si>
  <si>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</si>
  <si>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</si>
  <si>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</si>
  <si>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</si>
  <si>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</si>
  <si>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</si>
  <si>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</si>
  <si>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</si>
  <si>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</si>
  <si>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</si>
  <si>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</si>
  <si>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</si>
  <si>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</si>
  <si>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</si>
  <si>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</si>
  <si>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</si>
  <si>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</si>
  <si>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</si>
  <si>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</si>
  <si>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</si>
  <si>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MACKAY CLEANING</t>
  </si>
  <si>
    <t>RUN AT 140UM</t>
  </si>
  <si>
    <t>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</si>
</sst>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T150150</v>
      </c>
      <c r="C1" s="100"/>
      <c r="D1" s="101"/>
      <c r="E1" s="10" t="s">
        <v>55</v>
      </c>
      <c r="F1" s="45" t="s">
        <v>164</v>
      </c>
      <c r="G1" s="45"/>
      <c r="H1" s="46"/>
      <c r="I1" s="10" t="s">
        <v>148</v>
      </c>
      <c r="J1" s="111">
        <f ca="1">TODAY()</f>
        <v>45617</v>
      </c>
      <c r="K1" s="111"/>
      <c r="L1" s="112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10KG</v>
      </c>
      <c r="C2" s="91"/>
      <c r="D2" s="92"/>
      <c r="E2" s="10" t="s">
        <v>56</v>
      </c>
      <c r="F2" s="45">
        <v>948768</v>
      </c>
      <c r="G2" s="45"/>
      <c r="H2" s="46"/>
      <c r="I2" s="10" t="s">
        <v>57</v>
      </c>
      <c r="J2" s="113">
        <v>45611</v>
      </c>
      <c r="K2" s="45"/>
      <c r="L2" s="46"/>
    </row>
    <row r="3" spans="1:14" ht="20.100000000000001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158</v>
      </c>
      <c r="B7" s="45" t="s">
        <v>159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150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150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146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46</v>
      </c>
      <c r="H9" s="83" t="s">
        <v>165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5</v>
      </c>
      <c r="C10" s="46"/>
      <c r="D10" s="35" t="s">
        <v>104</v>
      </c>
      <c r="E10" s="87">
        <f>E11*B10</f>
        <v>50</v>
      </c>
      <c r="F10" s="88"/>
      <c r="G10" s="10" t="s">
        <v>51</v>
      </c>
      <c r="H10" s="91">
        <f>H11*B10</f>
        <v>1200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10</v>
      </c>
      <c r="F11" s="90"/>
      <c r="G11" s="41" t="s">
        <v>13</v>
      </c>
      <c r="H11" s="93">
        <f>E11*540000/B8/H8</f>
        <v>240</v>
      </c>
      <c r="I11" s="94"/>
      <c r="J11" s="41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42</v>
      </c>
      <c r="C13" s="45"/>
      <c r="D13" s="46"/>
      <c r="E13" s="13" t="s">
        <v>60</v>
      </c>
      <c r="F13" s="45" t="s">
        <v>42</v>
      </c>
      <c r="G13" s="45"/>
      <c r="H13" s="46"/>
      <c r="I13" s="10" t="s">
        <v>61</v>
      </c>
      <c r="J13" s="45" t="s">
        <v>42</v>
      </c>
      <c r="K13" s="45"/>
      <c r="L13" s="46"/>
    </row>
    <row r="14" spans="1:14" ht="20.100000000000001" customHeight="1" x14ac:dyDescent="0.3">
      <c r="A14" s="11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5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150</v>
      </c>
      <c r="B23" s="77"/>
      <c r="C23" s="56" t="s">
        <v>151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/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7"/>
      <c r="B25" s="77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8" t="s">
        <v>103</v>
      </c>
      <c r="H27" s="118"/>
      <c r="I27" s="118" t="s">
        <v>102</v>
      </c>
      <c r="J27" s="118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166</v>
      </c>
      <c r="C28" s="6"/>
      <c r="D28" s="120">
        <v>56</v>
      </c>
      <c r="E28" s="121">
        <v>3</v>
      </c>
      <c r="F28" s="6"/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45647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45638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5405277-F688-4DBA-9796-DCF12936E3EF}"/>
</file>

<file path=customXml/itemProps2.xml><?xml version="1.0" encoding="utf-8"?>
<ds:datastoreItem xmlns:ds="http://schemas.openxmlformats.org/officeDocument/2006/customXml" ds:itemID="{8A0C891E-D9CC-4D86-AE39-4418507618C0}"/>
</file>

<file path=customXml/itemProps3.xml><?xml version="1.0" encoding="utf-8"?>
<ds:datastoreItem xmlns:ds="http://schemas.openxmlformats.org/officeDocument/2006/customXml" ds:itemID="{BD43B00C-7328-4F14-BA59-B7D29E1CF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2024-10-25T03:29:21Z</cp:lastPrinted>
  <dcterms:created xsi:type="dcterms:W3CDTF">2019-11-27T23:28:06Z</dcterms:created>
  <dcterms:modified xsi:type="dcterms:W3CDTF">2024-11-20T22:53:58Z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