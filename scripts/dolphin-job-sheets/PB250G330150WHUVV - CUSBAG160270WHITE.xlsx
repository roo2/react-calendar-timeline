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E244F488-1024-4423-812B-AA226F8FAA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<sst xmlns="http://schemas.openxmlformats.org/spreadsheetml/2006/main" count="306" uniqueCount="202">
  <si>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</si>
  <si>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</si>
  <si>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</si>
  <si>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</si>
  <si>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</si>
  <si>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</si>
  <si>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</si>
  <si>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</si>
  <si>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</si>
  <si>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</si>
  <si>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</si>
  <si>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</si>
  <si>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</si>
  <si>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</si>
  <si>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</si>
  <si>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</si>
  <si>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</si>
  <si>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</si>
  <si>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</si>
  <si>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</si>
  <si>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</si>
  <si>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</si>
  <si>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</si>
  <si>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</si>
  <si>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</si>
  <si>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</si>
  <si>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</si>
  <si>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</si>
  <si>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</si>
  <si>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</si>
  <si>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</si>
  <si>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</si>
  <si>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</si>
  <si>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</si>
  <si>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</si>
  <si>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</si>
  <si>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</si>
  <si>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</si>
  <si>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</si>
  <si>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</si>
  <si>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</si>
  <si>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</si>
  <si>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</si>
  <si>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</si>
  <si>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</si>
  <si>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</si>
  <si>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</si>
  <si>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</si>
  <si>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</si>
  <si>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</si>
  <si>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</si>
  <si>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</si>
  <si>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</si>
  <si>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</si>
  <si>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</si>
  <si>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</si>
  <si>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</si>
  <si>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</si>
  <si>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</si>
  <si>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</si>
  <si>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</si>
  <si>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</si>
  <si>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</si>
  <si>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</si>
  <si>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</si>
  <si>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</si>
  <si>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</si>
  <si>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</si>
  <si>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</si>
  <si>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</si>
  <si>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</si>
  <si>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</si>
  <si>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</si>
  <si>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</si>
  <si>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</si>
  <si>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</si>
  <si>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</si>
  <si>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</si>
  <si>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</si>
  <si>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</si>
  <si>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</si>
  <si>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</si>
  <si>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</si>
  <si>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</si>
  <si>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</si>
  <si>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</si>
  <si>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</si>
  <si>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</si>
  <si>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</si>
  <si>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</si>
  <si>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</si>
  <si>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</si>
  <si>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</si>
  <si>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</si>
  <si>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</si>
  <si>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</si>
  <si>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</si>
  <si>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</si>
  <si>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</si>
  <si>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</si>
  <si>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</si>
  <si>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</si>
  <si>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</si>
  <si>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</si>
  <si>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</si>
  <si>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</si>
  <si>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</si>
  <si>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</si>
  <si>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</si>
  <si>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</si>
  <si>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</si>
  <si>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</si>
  <si>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</si>
  <si>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</si>
  <si>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</si>
  <si>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</si>
  <si>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</si>
  <si>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</si>
  <si>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</si>
  <si>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</si>
  <si>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</si>
  <si>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</si>
  <si>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</si>
  <si>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</si>
  <si>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</si>
  <si>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</si>
  <si>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</si>
  <si>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</si>
  <si>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</si>
  <si>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</si>
  <si>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</si>
  <si>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</si>
  <si>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</si>
  <si>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</si>
  <si>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</si>
  <si>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</si>
  <si>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</si>
  <si>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</si>
  <si>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</si>
  <si>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</si>
  <si>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</si>
  <si>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</si>
  <si>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</si>
  <si>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</si>
  <si>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</si>
  <si>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</si>
  <si>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</si>
  <si>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</si>
  <si>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</si>
  <si>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</si>
  <si>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</si>
  <si>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</si>
  <si>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</si>
  <si>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</si>
  <si>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</si>
  <si>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</si>
  <si>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</si>
  <si>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</si>
  <si>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</si>
  <si>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</si>
  <si>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</si>
  <si>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</si>
  <si>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</si>
  <si>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</si>
  <si>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</si>
  <si>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</si>
  <si>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</si>
  <si>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</si>
  <si>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</si>
  <si>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</si>
  <si>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</si>
  <si>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</si>
  <si>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</si>
  <si>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</si>
  <si>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</si>
  <si>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</si>
  <si>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</si>
  <si>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</si>
  <si>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</si>
  <si>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</si>
  <si>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</si>
  <si>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</si>
  <si>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</si>
  <si>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</si>
  <si>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</si>
  <si>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</si>
  <si>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</si>
  <si>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</si>
  <si>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</si>
  <si>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</si>
  <si>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</si>
  <si>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</si>
  <si>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</si>
  <si>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</si>
  <si>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</si>
  <si>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UV</t>
  </si>
  <si>
    <t>RUN AT 130-140UM</t>
  </si>
  <si>
    <t>(130+120)</t>
  </si>
  <si>
    <t xml:space="preserve">FERNLANDS </t>
  </si>
  <si>
    <t>PERF</t>
  </si>
  <si>
    <r>
      <t xml:space="preserve">KEEP TO TOLERANCE 0MM TO -5MM, MUST BE CORRECT GUSSET SIZE. DO NOT RUN OVER 140UM - </t>
    </r>
    <r>
      <rPr>
        <b/>
        <sz val="16"/>
        <color rgb="FFFF0000"/>
        <rFont val="Calibri"/>
        <family val="2"/>
        <scheme val="minor"/>
      </rPr>
      <t>THIS MUST BE RUN BEFORE THE BLACK IN SAME SIZE</t>
    </r>
  </si>
  <si>
    <t>CUSBAG160/270 5.5L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</si>
</sst>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10" fontId="16" fillId="0" borderId="4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6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1" sqref="B11:C1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6" t="str">
        <f>O9&amp;R9&amp;IF(X8="G","G","")&amp;IF(O8="Centrefold Roll","("&amp;E8&amp;")","")&amp;T9&amp;V9&amp;C22&amp;C23&amp;C24&amp;O11&amp;R11</f>
        <v>PB250G330150WHUVV</v>
      </c>
      <c r="C1" s="126"/>
      <c r="D1" s="127"/>
      <c r="E1" s="12" t="s">
        <v>57</v>
      </c>
      <c r="F1" s="137" t="s">
        <v>198</v>
      </c>
      <c r="G1" s="137"/>
      <c r="H1" s="138"/>
      <c r="I1" s="13" t="s">
        <v>181</v>
      </c>
      <c r="J1" s="139">
        <f ca="1">TODAY()</f>
        <v>44386</v>
      </c>
      <c r="K1" s="139"/>
      <c r="L1" s="140"/>
      <c r="M1" s="34"/>
      <c r="N1" s="12" t="s">
        <v>56</v>
      </c>
      <c r="O1" s="126" t="str">
        <f>B1</f>
        <v>PB250G330150WHUVV</v>
      </c>
      <c r="P1" s="126"/>
      <c r="Q1" s="127"/>
      <c r="R1" s="12" t="s">
        <v>57</v>
      </c>
      <c r="S1" s="126" t="str">
        <f>F1</f>
        <v xml:space="preserve">FERNLANDS </v>
      </c>
      <c r="T1" s="126"/>
      <c r="U1" s="127"/>
      <c r="V1" s="12" t="s">
        <v>181</v>
      </c>
      <c r="W1" s="139">
        <f ca="1">J1</f>
        <v>44386</v>
      </c>
      <c r="X1" s="139"/>
      <c r="Y1" s="140"/>
    </row>
    <row r="2" spans="1:28" ht="20.100000000000001" customHeight="1" x14ac:dyDescent="0.25">
      <c r="A2" s="12" t="s">
        <v>100</v>
      </c>
      <c r="B2" s="126" t="str">
        <f>IF(U10="","",U10)</f>
        <v>CUSBAG160/270 5.5L WH</v>
      </c>
      <c r="C2" s="126"/>
      <c r="D2" s="127"/>
      <c r="E2" s="12" t="s">
        <v>58</v>
      </c>
      <c r="F2" s="73">
        <v>940761</v>
      </c>
      <c r="G2" s="73"/>
      <c r="H2" s="74"/>
      <c r="I2" s="12" t="s">
        <v>59</v>
      </c>
      <c r="J2" s="142">
        <v>44417</v>
      </c>
      <c r="K2" s="73"/>
      <c r="L2" s="74"/>
      <c r="M2" s="34"/>
      <c r="N2" s="12" t="s">
        <v>100</v>
      </c>
      <c r="O2" s="126" t="str">
        <f>IF(B2="","",B2)</f>
        <v>CUSBAG160/270 5.5L WH</v>
      </c>
      <c r="P2" s="126"/>
      <c r="Q2" s="127"/>
      <c r="R2" s="12" t="s">
        <v>58</v>
      </c>
      <c r="S2" s="126">
        <f>IF(F2="","",F2)</f>
        <v>940761</v>
      </c>
      <c r="T2" s="126"/>
      <c r="U2" s="127"/>
      <c r="V2" s="12" t="s">
        <v>59</v>
      </c>
      <c r="W2" s="141">
        <f>J2</f>
        <v>44417</v>
      </c>
      <c r="X2" s="126"/>
      <c r="Y2" s="127"/>
    </row>
    <row r="3" spans="1:28" ht="20.100000000000001" customHeight="1" x14ac:dyDescent="0.25">
      <c r="A3" s="128" t="s">
        <v>200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28" t="str">
        <f>A3</f>
        <v>KEEP TO TOLERANCE 0MM TO -5MM, MUST BE CORRECT GUSSET SIZE. DO NOT RUN OVER 140UM - THIS MUST BE RUN BEFORE THE BLACK IN SAME SIZE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100000000000001" customHeight="1" x14ac:dyDescent="0.25">
      <c r="A6" s="144" t="s">
        <v>2</v>
      </c>
      <c r="B6" s="145"/>
      <c r="C6" s="145"/>
      <c r="D6" s="145"/>
      <c r="E6" s="145"/>
      <c r="F6" s="145"/>
      <c r="G6" s="145"/>
      <c r="H6" s="145"/>
      <c r="I6" s="145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8" t="s">
        <v>155</v>
      </c>
      <c r="C7" s="118"/>
      <c r="D7" s="118"/>
      <c r="E7" s="118"/>
      <c r="F7" s="118"/>
      <c r="G7" s="118"/>
      <c r="H7" s="118"/>
      <c r="I7" s="119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200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6">
        <f>R7*O7</f>
        <v>100000</v>
      </c>
      <c r="V7" s="127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4">
        <f>R9</f>
        <v>250</v>
      </c>
      <c r="C8" s="115"/>
      <c r="D8" s="32" t="str">
        <f>IF(ISNUMBER(SEARCH("bag",O8,1)),"Gusset","Centrefold")</f>
        <v>Gusset</v>
      </c>
      <c r="E8" s="114" t="str">
        <f>IF(O8="Centrefold Roll",B8*2,IF(X9="","None",X9))</f>
        <v>(130+120)</v>
      </c>
      <c r="F8" s="115"/>
      <c r="G8" s="15" t="s">
        <v>52</v>
      </c>
      <c r="H8" s="114">
        <f>(IF(V9&lt;30,"30",V9))</f>
        <v>150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Gusset Tube</v>
      </c>
      <c r="L8" s="127"/>
      <c r="M8" s="34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13"/>
    </row>
    <row r="9" spans="1:28" ht="20.100000000000001" customHeight="1" x14ac:dyDescent="0.3">
      <c r="A9" s="18" t="s">
        <v>48</v>
      </c>
      <c r="B9" s="146" t="s">
        <v>193</v>
      </c>
      <c r="C9" s="147"/>
      <c r="D9" s="154" t="str">
        <f>IF(K10="Middle","RUN 2 UP",IF(AND(O8="Centrefold Roll",B8=380),"RUN 2 UP",""))</f>
        <v/>
      </c>
      <c r="E9" s="118"/>
      <c r="F9" s="119"/>
      <c r="G9" s="18" t="s">
        <v>48</v>
      </c>
      <c r="H9" s="146" t="s">
        <v>196</v>
      </c>
      <c r="I9" s="147"/>
      <c r="J9" s="12" t="s">
        <v>55</v>
      </c>
      <c r="K9" s="73" t="s">
        <v>30</v>
      </c>
      <c r="L9" s="74"/>
      <c r="M9" s="34"/>
      <c r="N9" s="19"/>
      <c r="O9" s="120" t="str">
        <f>IF(O8="Poly Bag","PB",IF(O8="Poly Bag Roll","PBR",IF(O8="Centrefold Roll","CFR",IF(O8="Sheet","S",IF(O8="Sheet Roll","SR")))))</f>
        <v>PB</v>
      </c>
      <c r="P9" s="121"/>
      <c r="Q9" s="19"/>
      <c r="R9" s="35">
        <v>250</v>
      </c>
      <c r="S9" s="20" t="s">
        <v>78</v>
      </c>
      <c r="T9" s="35">
        <v>330</v>
      </c>
      <c r="U9" s="20" t="s">
        <v>78</v>
      </c>
      <c r="V9" s="35">
        <v>150</v>
      </c>
      <c r="W9" s="19"/>
      <c r="X9" s="99" t="s">
        <v>197</v>
      </c>
      <c r="Y9" s="100"/>
    </row>
    <row r="10" spans="1:28" ht="20.100000000000001" customHeight="1" x14ac:dyDescent="0.25">
      <c r="A10" s="12" t="s">
        <v>51</v>
      </c>
      <c r="B10" s="73">
        <v>140</v>
      </c>
      <c r="C10" s="74"/>
      <c r="D10" s="54" t="s">
        <v>134</v>
      </c>
      <c r="E10" s="148">
        <f>IF(ISNUMBER(SEARCH("sheet",O8,1)),((R9*T9*H8/540000)*U7/2000*1.3),((R9*T9*H8/540000)*U7/1000*1.08))</f>
        <v>2475.0000000000005</v>
      </c>
      <c r="F10" s="149"/>
      <c r="G10" s="12" t="s">
        <v>53</v>
      </c>
      <c r="H10" s="152">
        <f>IF(ISNUMBER(SEARCH("sheet",O8,1)),(U7*T9/2000*1.08),(U7*T9/1000*1.08))</f>
        <v>35640</v>
      </c>
      <c r="I10" s="153"/>
      <c r="J10" s="12" t="s">
        <v>41</v>
      </c>
      <c r="K10" s="73" t="s">
        <v>44</v>
      </c>
      <c r="L10" s="74"/>
      <c r="M10" s="34"/>
      <c r="N10" s="21" t="s">
        <v>141</v>
      </c>
      <c r="O10" s="116" t="s">
        <v>188</v>
      </c>
      <c r="P10" s="117"/>
      <c r="Q10" s="16" t="s">
        <v>50</v>
      </c>
      <c r="R10" s="112" t="str">
        <f>IF(K11="NONE","None",IF(K11="INLINE","Yes",IF(K11="OUT OF LINE","Yes")))</f>
        <v>None</v>
      </c>
      <c r="S10" s="112"/>
      <c r="T10" s="16" t="s">
        <v>100</v>
      </c>
      <c r="U10" s="122" t="s">
        <v>201</v>
      </c>
      <c r="V10" s="122"/>
      <c r="W10" s="122"/>
      <c r="X10" s="122"/>
      <c r="Y10" s="123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50">
        <f>E10/B10</f>
        <v>17.678571428571431</v>
      </c>
      <c r="F11" s="151"/>
      <c r="G11" s="12" t="s">
        <v>15</v>
      </c>
      <c r="H11" s="150">
        <f>H10/B10</f>
        <v>254.57142857142858</v>
      </c>
      <c r="I11" s="151"/>
      <c r="J11" s="12" t="s">
        <v>50</v>
      </c>
      <c r="K11" s="73" t="s">
        <v>44</v>
      </c>
      <c r="L11" s="74"/>
      <c r="M11" s="34"/>
      <c r="N11" s="15"/>
      <c r="O11" s="114" t="str">
        <f>IF(O10="NONE","","V")</f>
        <v>V</v>
      </c>
      <c r="P11" s="115"/>
      <c r="Q11" s="15"/>
      <c r="R11" s="114" t="str">
        <f>IF(R10="None","","P")</f>
        <v/>
      </c>
      <c r="S11" s="115"/>
      <c r="T11" s="15"/>
      <c r="U11" s="124"/>
      <c r="V11" s="124"/>
      <c r="W11" s="124"/>
      <c r="X11" s="124"/>
      <c r="Y11" s="125"/>
    </row>
    <row r="12" spans="1:28" ht="20.100000000000001" customHeight="1" x14ac:dyDescent="0.25">
      <c r="A12" s="143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57</v>
      </c>
      <c r="P13" s="12" t="s">
        <v>73</v>
      </c>
      <c r="Q13" s="24">
        <f>O7</f>
        <v>200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8" t="s">
        <v>4</v>
      </c>
      <c r="F16" s="158"/>
      <c r="G16" s="158" t="s">
        <v>5</v>
      </c>
      <c r="H16" s="158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10" t="s">
        <v>147</v>
      </c>
      <c r="D17" s="111"/>
      <c r="E17" s="104"/>
      <c r="F17" s="103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37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10" t="s">
        <v>146</v>
      </c>
      <c r="D18" s="111"/>
      <c r="E18" s="104"/>
      <c r="F18" s="103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185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10" t="s">
        <v>145</v>
      </c>
      <c r="D19" s="111"/>
      <c r="E19" s="104"/>
      <c r="F19" s="103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10" t="s">
        <v>144</v>
      </c>
      <c r="D20" s="111"/>
      <c r="E20" s="104"/>
      <c r="F20" s="103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10" t="s">
        <v>143</v>
      </c>
      <c r="D21" s="111"/>
      <c r="E21" s="104"/>
      <c r="F21" s="103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WHITE</v>
      </c>
      <c r="B22" s="72"/>
      <c r="C22" s="11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11"/>
      <c r="E22" s="104"/>
      <c r="F22" s="103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9" t="s">
        <v>195</v>
      </c>
      <c r="B23" s="159"/>
      <c r="C23" s="11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11"/>
      <c r="E23" s="102">
        <v>0.02</v>
      </c>
      <c r="F23" s="103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0"/>
      <c r="B24" s="161"/>
      <c r="C24" s="11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1"/>
      <c r="E24" s="104"/>
      <c r="F24" s="103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199</v>
      </c>
      <c r="P25" s="39"/>
      <c r="Q25" s="10">
        <v>21</v>
      </c>
      <c r="R25" s="10">
        <v>6</v>
      </c>
      <c r="S25" s="10"/>
      <c r="T25" s="10">
        <v>10</v>
      </c>
      <c r="U25" s="10">
        <v>2</v>
      </c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9" t="s">
        <v>132</v>
      </c>
      <c r="H26" s="109"/>
      <c r="I26" s="109" t="s">
        <v>131</v>
      </c>
      <c r="J26" s="109"/>
      <c r="K26" s="28" t="s">
        <v>94</v>
      </c>
      <c r="L26" s="28" t="s">
        <v>95</v>
      </c>
      <c r="M26" s="34"/>
      <c r="N26" s="105" t="s">
        <v>137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8"/>
      <c r="H27" s="108"/>
      <c r="I27" s="108"/>
      <c r="J27" s="108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8"/>
      <c r="H28" s="108"/>
      <c r="I28" s="108"/>
      <c r="J28" s="108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5" t="s">
        <v>136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7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44417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44407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7464F95-036A-41AA-977A-BADD43E1BA7D}"/>
</file>

<file path=customXml/itemProps2.xml><?xml version="1.0" encoding="utf-8"?>
<ds:datastoreItem xmlns:ds="http://schemas.openxmlformats.org/officeDocument/2006/customXml" ds:itemID="{39070836-D490-4DC2-821C-A8760F0F64F1}"/>
</file>

<file path=customXml/itemProps3.xml><?xml version="1.0" encoding="utf-8"?>
<ds:datastoreItem xmlns:ds="http://schemas.openxmlformats.org/officeDocument/2006/customXml" ds:itemID="{86CF1F63-9BB8-4DBB-858B-924B633F1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2021-07-09T02:55:24Z</cp:lastPrinted>
  <dcterms:created xsi:type="dcterms:W3CDTF">2019-11-27T23:28:06Z</dcterms:created>
  <dcterms:modified xsi:type="dcterms:W3CDTF">2021-07-09T02:55:55Z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