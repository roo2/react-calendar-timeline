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D00994B-8800-4EC5-AD14-9D690A4EB12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<sst xmlns="http://schemas.openxmlformats.org/spreadsheetml/2006/main" count="305" uniqueCount="201">
  <si>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</si>
  <si>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</si>
  <si>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</si>
  <si>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</si>
  <si>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</si>
  <si>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</si>
  <si>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</si>
  <si>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</si>
  <si>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</si>
  <si>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</si>
  <si>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</si>
  <si>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</si>
  <si>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</si>
  <si>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</si>
  <si>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</si>
  <si>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</si>
  <si>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</si>
  <si>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</si>
  <si>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</si>
  <si>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</si>
  <si>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</si>
  <si>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</si>
  <si>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</si>
  <si>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</si>
  <si>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</si>
  <si>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</si>
  <si>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</si>
  <si>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</si>
  <si>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</si>
  <si>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</si>
  <si>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</si>
  <si>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</si>
  <si>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</si>
  <si>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</si>
  <si>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</si>
  <si>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</si>
  <si>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</si>
  <si>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</si>
  <si>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</si>
  <si>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</si>
  <si>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</si>
  <si>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</si>
  <si>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</si>
  <si>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</si>
  <si>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</si>
  <si>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</si>
  <si>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</si>
  <si>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</si>
  <si>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</si>
  <si>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</si>
  <si>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</si>
  <si>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</si>
  <si>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</si>
  <si>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</si>
  <si>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</si>
  <si>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</si>
  <si>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</si>
  <si>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</si>
  <si>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</si>
  <si>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</si>
  <si>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</si>
  <si>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</si>
  <si>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</si>
  <si>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</si>
  <si>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</si>
  <si>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</si>
  <si>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</si>
  <si>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</si>
  <si>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</si>
  <si>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</si>
  <si>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</si>
  <si>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</si>
  <si>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</si>
  <si>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</si>
  <si>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</si>
  <si>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</si>
  <si>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</si>
  <si>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</si>
  <si>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</si>
  <si>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</si>
  <si>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</si>
  <si>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</si>
  <si>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</si>
  <si>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</si>
  <si>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</si>
  <si>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</si>
  <si>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</si>
  <si>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</si>
  <si>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</si>
  <si>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</si>
  <si>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</si>
  <si>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</si>
  <si>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</si>
  <si>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</si>
  <si>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</si>
  <si>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</si>
  <si>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</si>
  <si>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</si>
  <si>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</si>
  <si>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</si>
  <si>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</si>
  <si>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</si>
  <si>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</si>
  <si>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</si>
  <si>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</si>
  <si>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</si>
  <si>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</si>
  <si>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</si>
  <si>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</si>
  <si>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</si>
  <si>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</si>
  <si>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</si>
  <si>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</si>
  <si>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</si>
  <si>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</si>
  <si>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</si>
  <si>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</si>
  <si>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</si>
  <si>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</si>
  <si>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</si>
  <si>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</si>
  <si>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</si>
  <si>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</si>
  <si>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</si>
  <si>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</si>
  <si>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</si>
  <si>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</si>
  <si>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</si>
  <si>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</si>
  <si>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</si>
  <si>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</si>
  <si>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</si>
  <si>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</si>
  <si>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</si>
  <si>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</si>
  <si>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</si>
  <si>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</si>
  <si>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</si>
  <si>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</si>
  <si>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</si>
  <si>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</si>
  <si>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</si>
  <si>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</si>
  <si>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</si>
  <si>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</si>
  <si>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</si>
  <si>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</si>
  <si>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</si>
  <si>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</si>
  <si>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</si>
  <si>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</si>
  <si>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</si>
  <si>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</si>
  <si>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</si>
  <si>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</si>
  <si>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</si>
  <si>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</si>
  <si>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</si>
  <si>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</si>
  <si>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</si>
  <si>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</si>
  <si>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</si>
  <si>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</si>
  <si>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</si>
  <si>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</si>
  <si>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</si>
  <si>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</si>
  <si>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</si>
  <si>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</si>
  <si>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</si>
  <si>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</si>
  <si>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</si>
  <si>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</si>
  <si>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</si>
  <si>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</si>
  <si>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</si>
  <si>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</si>
  <si>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</si>
  <si>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</si>
  <si>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</si>
  <si>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</si>
  <si>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</si>
  <si>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</si>
  <si>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</si>
  <si>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</si>
  <si>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</si>
  <si>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</si>
  <si>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</si>
  <si>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</si>
  <si>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</si>
  <si>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</si>
  <si>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</si>
  <si>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</si>
  <si>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</si>
  <si>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ANTISTATIC</t>
  </si>
  <si>
    <t>COASTAL VAC FORMING</t>
  </si>
  <si>
    <t xml:space="preserve"> + /- 5mm</t>
  </si>
  <si>
    <t>RUN AT 50 - 52um</t>
  </si>
  <si>
    <t xml:space="preserve"> MUST BE EXACT WIDTH AND NOT UNDER GUAGE!</t>
  </si>
  <si>
    <t>15.06.2022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</si>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</sst>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9" t="str">
        <f>O9&amp;R9&amp;IF(X8="G","G","")&amp;IF(O8="Centrefold Roll","("&amp;E8&amp;")","")&amp;T9&amp;V9&amp;C22&amp;C23&amp;C24&amp;O11&amp;R11</f>
        <v>PB250155050AS</v>
      </c>
      <c r="C1" s="109"/>
      <c r="D1" s="110"/>
      <c r="E1" s="11" t="s">
        <v>57</v>
      </c>
      <c r="F1" s="120" t="s">
        <v>195</v>
      </c>
      <c r="G1" s="62"/>
      <c r="H1" s="63"/>
      <c r="I1" s="12" t="s">
        <v>181</v>
      </c>
      <c r="J1" s="121">
        <f ca="1">TODAY()</f>
        <v>45031</v>
      </c>
      <c r="K1" s="121"/>
      <c r="L1" s="122"/>
      <c r="M1" s="29"/>
      <c r="N1" s="11" t="s">
        <v>56</v>
      </c>
      <c r="O1" s="109" t="str">
        <f>B1</f>
        <v>PB250155050AS</v>
      </c>
      <c r="P1" s="109"/>
      <c r="Q1" s="110"/>
      <c r="R1" s="11" t="s">
        <v>57</v>
      </c>
      <c r="S1" s="109" t="str">
        <f>F1</f>
        <v>COASTAL VAC FORMING</v>
      </c>
      <c r="T1" s="109"/>
      <c r="U1" s="110"/>
      <c r="V1" s="11" t="s">
        <v>181</v>
      </c>
      <c r="W1" s="121">
        <f ca="1">J1</f>
        <v>45031</v>
      </c>
      <c r="X1" s="121"/>
      <c r="Y1" s="122"/>
    </row>
    <row r="2" spans="1:25" ht="20.149999999999999" customHeight="1" x14ac:dyDescent="0.8">
      <c r="A2" s="11" t="s">
        <v>100</v>
      </c>
      <c r="B2" s="109" t="str">
        <f>IF(U10="","",U10)</f>
        <v/>
      </c>
      <c r="C2" s="109"/>
      <c r="D2" s="110"/>
      <c r="E2" s="11" t="s">
        <v>58</v>
      </c>
      <c r="F2" s="62">
        <v>943213</v>
      </c>
      <c r="G2" s="62"/>
      <c r="H2" s="63"/>
      <c r="I2" s="11" t="s">
        <v>59</v>
      </c>
      <c r="J2" s="124" t="s">
        <v>199</v>
      </c>
      <c r="K2" s="62"/>
      <c r="L2" s="63"/>
      <c r="M2" s="29"/>
      <c r="N2" s="11" t="s">
        <v>100</v>
      </c>
      <c r="O2" s="109" t="str">
        <f>IF(B2="","",B2)</f>
        <v/>
      </c>
      <c r="P2" s="109"/>
      <c r="Q2" s="110"/>
      <c r="R2" s="11" t="s">
        <v>58</v>
      </c>
      <c r="S2" s="109">
        <f>IF(F2="","",F2)</f>
        <v>943213</v>
      </c>
      <c r="T2" s="109"/>
      <c r="U2" s="110"/>
      <c r="V2" s="11" t="s">
        <v>59</v>
      </c>
      <c r="W2" s="123" t="str">
        <f>J2</f>
        <v>15.06.2022</v>
      </c>
      <c r="X2" s="109"/>
      <c r="Y2" s="110"/>
    </row>
    <row r="3" spans="1:25" ht="20.149999999999999" customHeight="1" x14ac:dyDescent="0.75">
      <c r="A3" s="111" t="s">
        <v>198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3"/>
      <c r="M3" s="29"/>
      <c r="N3" s="111" t="str">
        <f>A3</f>
        <v xml:space="preserve"> MUST BE EXACT WIDTH AND NOT UNDER GUAGE!</v>
      </c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3"/>
    </row>
    <row r="4" spans="1:25" ht="20.149999999999999" customHeight="1" x14ac:dyDescent="0.75">
      <c r="A4" s="114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6"/>
      <c r="M4" s="29"/>
      <c r="N4" s="114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6"/>
    </row>
    <row r="5" spans="1:25" ht="20.149999999999999" customHeight="1" x14ac:dyDescent="0.75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9"/>
      <c r="M5" s="29"/>
      <c r="N5" s="117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9"/>
    </row>
    <row r="6" spans="1:25" ht="20.149999999999999" customHeight="1" x14ac:dyDescent="0.75">
      <c r="A6" s="125" t="s">
        <v>2</v>
      </c>
      <c r="B6" s="126"/>
      <c r="C6" s="126"/>
      <c r="D6" s="126"/>
      <c r="E6" s="126"/>
      <c r="F6" s="126"/>
      <c r="G6" s="126"/>
      <c r="H6" s="126"/>
      <c r="I6" s="126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1" t="s">
        <v>163</v>
      </c>
      <c r="C7" s="101"/>
      <c r="D7" s="101"/>
      <c r="E7" s="101"/>
      <c r="F7" s="101"/>
      <c r="G7" s="101"/>
      <c r="H7" s="101"/>
      <c r="I7" s="102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5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9">
        <f>R7*O7</f>
        <v>1250</v>
      </c>
      <c r="V7" s="110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7">
        <f>R9</f>
        <v>250</v>
      </c>
      <c r="C8" s="98"/>
      <c r="D8" s="27" t="str">
        <f>IF(ISNUMBER(SEARCH("bag",O8,1)),"Gusset","Centrefold")</f>
        <v>Gusset</v>
      </c>
      <c r="E8" s="97" t="str">
        <f>IF(O8="Centrefold Roll",B8*2,IF(X9="","None",X9))</f>
        <v>None</v>
      </c>
      <c r="F8" s="98"/>
      <c r="G8" s="13" t="s">
        <v>52</v>
      </c>
      <c r="H8" s="97">
        <f>(IF(V9&lt;30,"30",V9))</f>
        <v>50</v>
      </c>
      <c r="I8" s="98"/>
      <c r="J8" s="11" t="s">
        <v>54</v>
      </c>
      <c r="K8" s="109" t="str">
        <f>IF(X8="None","Layflat Tube",IF(X8="","Layflat Tube",IF(X8="CF","Layflat Tube",IF(X8="G","Gusset Tube",IF(X9="","Layflat Tube",)))))</f>
        <v>Layflat Tube</v>
      </c>
      <c r="L8" s="110"/>
      <c r="M8" s="29"/>
      <c r="N8" s="14" t="s">
        <v>54</v>
      </c>
      <c r="O8" s="99" t="s">
        <v>164</v>
      </c>
      <c r="P8" s="100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5" t="str">
        <f>IF(AND(W8="Gusset",X9=""), "None",IF(AND(W8="Centrefold",X9=""),"None",IF(W8="Gusset","G",IF(W8="Centrefold","CF"))))</f>
        <v>None</v>
      </c>
      <c r="Y8" s="96"/>
    </row>
    <row r="9" spans="1:25" ht="20.149999999999999" customHeight="1" x14ac:dyDescent="0.9">
      <c r="A9" s="16" t="s">
        <v>48</v>
      </c>
      <c r="B9" s="127" t="s">
        <v>196</v>
      </c>
      <c r="C9" s="128"/>
      <c r="D9" s="135" t="str">
        <f>IF(K10="Middle","RUN 2 UP",IF(AND(O8="Centrefold Roll",B8=380),"RUN 2 UP",""))</f>
        <v/>
      </c>
      <c r="E9" s="101"/>
      <c r="F9" s="102"/>
      <c r="G9" s="16" t="s">
        <v>48</v>
      </c>
      <c r="H9" s="127" t="s">
        <v>197</v>
      </c>
      <c r="I9" s="128"/>
      <c r="J9" s="11" t="s">
        <v>55</v>
      </c>
      <c r="K9" s="62" t="s">
        <v>30</v>
      </c>
      <c r="L9" s="63"/>
      <c r="M9" s="29"/>
      <c r="N9" s="17"/>
      <c r="O9" s="103" t="str">
        <f>IF(O8="Poly Bag","PB",IF(O8="Poly Bag Roll","PBR",IF(O8="Centrefold Roll","CFR",IF(O8="Sheet","S",IF(O8="Sheet Roll","SR")))))</f>
        <v>PB</v>
      </c>
      <c r="P9" s="104"/>
      <c r="Q9" s="17"/>
      <c r="R9" s="30">
        <v>250</v>
      </c>
      <c r="S9" s="18" t="s">
        <v>78</v>
      </c>
      <c r="T9" s="30">
        <v>1550</v>
      </c>
      <c r="U9" s="18" t="s">
        <v>78</v>
      </c>
      <c r="V9" s="30">
        <v>50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3</v>
      </c>
      <c r="C10" s="63"/>
      <c r="D10" s="47" t="s">
        <v>134</v>
      </c>
      <c r="E10" s="129">
        <f>IF(ISNUMBER(SEARCH("sheet",O8,1)),((R9*T9*H8/540000)*U7/2000*1.3),((R9*T9*H8/540000)*U7/1000*1.08))</f>
        <v>48.4375</v>
      </c>
      <c r="F10" s="130"/>
      <c r="G10" s="11" t="s">
        <v>53</v>
      </c>
      <c r="H10" s="133">
        <f>IF(ISNUMBER(SEARCH("sheet",O8,1)),(U7*T9/2000*1.08),(U7*T9/1000*1.08))</f>
        <v>2092.5</v>
      </c>
      <c r="I10" s="134"/>
      <c r="J10" s="11" t="s">
        <v>41</v>
      </c>
      <c r="K10" s="62" t="s">
        <v>44</v>
      </c>
      <c r="L10" s="63"/>
      <c r="M10" s="29"/>
      <c r="N10" s="14" t="s">
        <v>141</v>
      </c>
      <c r="O10" s="99" t="s">
        <v>44</v>
      </c>
      <c r="P10" s="100"/>
      <c r="Q10" s="14" t="s">
        <v>50</v>
      </c>
      <c r="R10" s="95" t="str">
        <f>IF(K11="NONE","None",IF(K11="INLINE","Yes",IF(K11="OUT OF LINE","Yes")))</f>
        <v>None</v>
      </c>
      <c r="S10" s="95"/>
      <c r="T10" s="14" t="s">
        <v>100</v>
      </c>
      <c r="U10" s="105"/>
      <c r="V10" s="105"/>
      <c r="W10" s="105"/>
      <c r="X10" s="105"/>
      <c r="Y10" s="106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9" t="str">
        <f>IF(AND(O8="Centrefold Roll",D9="RUN 2 UP"),B10*2,IF(ISNUMBER(SEARCH("sheet",O8,1)),B10*2,""))</f>
        <v/>
      </c>
      <c r="C11" s="110"/>
      <c r="D11" s="11" t="s">
        <v>135</v>
      </c>
      <c r="E11" s="131">
        <f>E10/B10</f>
        <v>16.145833333333332</v>
      </c>
      <c r="F11" s="132"/>
      <c r="G11" s="11" t="s">
        <v>15</v>
      </c>
      <c r="H11" s="131">
        <f>H10/B10</f>
        <v>697.5</v>
      </c>
      <c r="I11" s="132"/>
      <c r="J11" s="11" t="s">
        <v>50</v>
      </c>
      <c r="K11" s="62" t="s">
        <v>44</v>
      </c>
      <c r="L11" s="63"/>
      <c r="M11" s="29"/>
      <c r="N11" s="13"/>
      <c r="O11" s="97" t="str">
        <f>IF(O10="NONE","","V")</f>
        <v/>
      </c>
      <c r="P11" s="98"/>
      <c r="Q11" s="13"/>
      <c r="R11" s="97" t="str">
        <f>IF(R10="None","","P")</f>
        <v/>
      </c>
      <c r="S11" s="98"/>
      <c r="T11" s="13"/>
      <c r="U11" s="107"/>
      <c r="V11" s="107"/>
      <c r="W11" s="107"/>
      <c r="X11" s="107"/>
      <c r="Y11" s="108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2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8" t="s">
        <v>4</v>
      </c>
      <c r="F16" s="148"/>
      <c r="G16" s="148" t="s">
        <v>5</v>
      </c>
      <c r="H16" s="148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110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3" t="s">
        <v>147</v>
      </c>
      <c r="D17" s="94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3" t="s">
        <v>146</v>
      </c>
      <c r="D18" s="94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23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3" t="s">
        <v>145</v>
      </c>
      <c r="D19" s="94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3" t="s">
        <v>144</v>
      </c>
      <c r="D20" s="94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3" t="s">
        <v>143</v>
      </c>
      <c r="D21" s="94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9" t="s">
        <v>194</v>
      </c>
      <c r="B23" s="149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4"/>
      <c r="E23" s="90">
        <v>0.01</v>
      </c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50"/>
      <c r="B24" s="151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200</v>
      </c>
      <c r="P25" s="34"/>
      <c r="Q25" s="10">
        <v>24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136" t="s">
        <v>116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8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139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1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4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45" t="s">
        <v>136</v>
      </c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7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45061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45052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F5B510B-D6E7-4ADA-9222-540938FA85C5}"/>
</file>

<file path=customXml/itemProps2.xml><?xml version="1.0" encoding="utf-8"?>
<ds:datastoreItem xmlns:ds="http://schemas.openxmlformats.org/officeDocument/2006/customXml" ds:itemID="{85DC9182-332D-4375-AD8B-4BD2462D098F}"/>
</file>

<file path=customXml/itemProps3.xml><?xml version="1.0" encoding="utf-8"?>
<ds:datastoreItem xmlns:ds="http://schemas.openxmlformats.org/officeDocument/2006/customXml" ds:itemID="{6F552520-823C-4742-A05D-21FEABD94E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2022-05-09T00:53:05Z</cp:lastPrinted>
  <dcterms:created xsi:type="dcterms:W3CDTF">2019-11-27T23:28:06Z</dcterms:created>
  <dcterms:modified xsi:type="dcterms:W3CDTF">2023-04-15T03:42:19Z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