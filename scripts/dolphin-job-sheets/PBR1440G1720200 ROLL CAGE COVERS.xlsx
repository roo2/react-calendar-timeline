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9A80679-B495-4804-857F-3A88CF7A727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D9" i="1" l="1"/>
  <c r="B11" i="1" s="1"/>
  <c r="S2" i="1"/>
  <c r="O2" i="1"/>
  <c r="A22" i="1" l="1"/>
  <c r="C22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<sst xmlns="http://schemas.openxmlformats.org/spreadsheetml/2006/main" count="303" uniqueCount="201">
  <si>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</si>
  <si>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</si>
  <si>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</si>
  <si>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</si>
  <si>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</si>
  <si>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</si>
  <si>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</si>
  <si>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</si>
  <si>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</si>
  <si>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</si>
  <si>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</si>
  <si>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</si>
  <si>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</si>
  <si>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</si>
  <si>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</si>
  <si>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</si>
  <si>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</si>
  <si>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</si>
  <si>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</si>
  <si>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</si>
  <si>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</si>
  <si>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</si>
  <si>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</si>
  <si>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</si>
  <si>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</si>
  <si>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</si>
  <si>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</si>
  <si>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</si>
  <si>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</si>
  <si>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</si>
  <si>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</si>
  <si>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</si>
  <si>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</si>
  <si>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</si>
  <si>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</si>
  <si>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</si>
  <si>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</si>
  <si>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</si>
  <si>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</si>
  <si>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</si>
  <si>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</si>
  <si>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</si>
  <si>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</si>
  <si>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</si>
  <si>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</si>
  <si>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</si>
  <si>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</si>
  <si>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</si>
  <si>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</si>
  <si>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</si>
  <si>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</si>
  <si>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</si>
  <si>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</si>
  <si>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</si>
  <si>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</si>
  <si>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</si>
  <si>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</si>
  <si>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</si>
  <si>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</si>
  <si>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</si>
  <si>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</si>
  <si>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</si>
  <si>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</si>
  <si>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</si>
  <si>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</si>
  <si>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</si>
  <si>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</si>
  <si>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</si>
  <si>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</si>
  <si>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</si>
  <si>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</si>
  <si>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</si>
  <si>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</si>
  <si>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</si>
  <si>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</si>
  <si>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</si>
  <si>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</si>
  <si>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</si>
  <si>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</si>
  <si>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</si>
  <si>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</si>
  <si>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</si>
  <si>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</si>
  <si>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</si>
  <si>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</si>
  <si>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</si>
  <si>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</si>
  <si>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</si>
  <si>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</si>
  <si>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</si>
  <si>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</si>
  <si>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</si>
  <si>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</si>
  <si>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</si>
  <si>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</si>
  <si>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</si>
  <si>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</si>
  <si>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</si>
  <si>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</si>
  <si>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</si>
  <si>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</si>
  <si>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</si>
  <si>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</si>
  <si>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</si>
  <si>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</si>
  <si>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</si>
  <si>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</si>
  <si>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</si>
  <si>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</si>
  <si>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</si>
  <si>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</si>
  <si>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</si>
  <si>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</si>
  <si>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</si>
  <si>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</si>
  <si>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</si>
  <si>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</si>
  <si>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</si>
  <si>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</si>
  <si>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</si>
  <si>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</si>
  <si>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</si>
  <si>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</si>
  <si>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</si>
  <si>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</si>
  <si>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</si>
  <si>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</si>
  <si>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</si>
  <si>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</si>
  <si>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</si>
  <si>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</si>
  <si>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</si>
  <si>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</si>
  <si>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</si>
  <si>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</si>
  <si>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</si>
  <si>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</si>
  <si>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</si>
  <si>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</si>
  <si>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</si>
  <si>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</si>
  <si>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</si>
  <si>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</si>
  <si>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</si>
  <si>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</si>
  <si>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</si>
  <si>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</si>
  <si>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</si>
  <si>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</si>
  <si>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</si>
  <si>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</si>
  <si>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</si>
  <si>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</si>
  <si>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</si>
  <si>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</si>
  <si>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</si>
  <si>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</si>
  <si>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</si>
  <si>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</si>
  <si>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</si>
  <si>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</si>
  <si>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</si>
  <si>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</si>
  <si>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</si>
  <si>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</si>
  <si>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</si>
  <si>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</si>
  <si>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</si>
  <si>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</si>
  <si>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</si>
  <si>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</si>
  <si>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</si>
  <si>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</si>
  <si>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</si>
  <si>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</si>
  <si>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</si>
  <si>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</si>
  <si>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</si>
  <si>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</si>
  <si>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</si>
  <si>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</si>
  <si>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</si>
  <si>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</si>
  <si>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</si>
  <si>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</si>
  <si>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</si>
  <si>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</si>
  <si>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</si>
  <si>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</si>
  <si>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</si>
  <si>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</si>
  <si>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</si>
  <si>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</si>
  <si>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</si>
  <si>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</si>
  <si>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LINEAGE AUS</t>
  </si>
  <si>
    <t>RUN 180-190UM</t>
  </si>
  <si>
    <t>NEW CUSTOMER - NEW ITEM MUST HAVE PERFECT GUSSET AND MUST BE NEAT ROLLS</t>
  </si>
  <si>
    <t>PBR1425G1720200</t>
  </si>
  <si>
    <r>
      <t xml:space="preserve">Notes </t>
    </r>
    <r>
      <rPr>
        <sz val="26"/>
        <color rgb="FFFF0000"/>
        <rFont val="Calibri"/>
        <family val="2"/>
        <scheme val="minor"/>
      </rPr>
      <t xml:space="preserve"> OPEN WIDTH CANNOT BE UNDER 1420MM - CUSTOMER WILL REJECT </t>
    </r>
  </si>
  <si>
    <t>(815+610)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</si>
</sst>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24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7" fillId="5" borderId="7" xfId="0" applyFont="1" applyFill="1" applyBorder="1" applyAlignment="1" applyProtection="1">
      <alignment horizontal="center" vertical="center" wrapText="1"/>
      <protection locked="0"/>
    </xf>
    <xf numFmtId="0" fontId="17" fillId="5" borderId="3" xfId="0" applyFont="1" applyFill="1" applyBorder="1" applyAlignment="1" applyProtection="1">
      <alignment horizontal="center" vertical="center" wrapText="1"/>
      <protection locked="0"/>
    </xf>
    <xf numFmtId="0" fontId="17" fillId="5" borderId="8" xfId="0" applyFont="1" applyFill="1" applyBorder="1" applyAlignment="1" applyProtection="1">
      <alignment horizontal="center" vertical="center" wrapText="1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7" fillId="5" borderId="0" xfId="0" applyFont="1" applyFill="1" applyBorder="1" applyAlignment="1" applyProtection="1">
      <alignment horizontal="center" vertical="center" wrapText="1"/>
      <protection locked="0"/>
    </xf>
    <xf numFmtId="0" fontId="17" fillId="5" borderId="10" xfId="0" applyFont="1" applyFill="1" applyBorder="1" applyAlignment="1" applyProtection="1">
      <alignment horizontal="center" vertical="center" wrapText="1"/>
      <protection locked="0"/>
    </xf>
    <xf numFmtId="0" fontId="17" fillId="5" borderId="11" xfId="0" applyFont="1" applyFill="1" applyBorder="1" applyAlignment="1" applyProtection="1">
      <alignment horizontal="center" vertical="center" wrapText="1"/>
      <protection locked="0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17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Border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5" fillId="5" borderId="2" xfId="0" applyFont="1" applyFill="1" applyBorder="1" applyAlignment="1" applyProtection="1">
      <alignment horizontal="center"/>
      <protection locked="0"/>
    </xf>
    <xf numFmtId="0" fontId="15" fillId="5" borderId="5" xfId="0" applyFont="1" applyFill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C10" sqref="AC10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">
        <v>198</v>
      </c>
      <c r="C1" s="108"/>
      <c r="D1" s="109"/>
      <c r="E1" s="18" t="s">
        <v>56</v>
      </c>
      <c r="F1" s="122" t="s">
        <v>195</v>
      </c>
      <c r="G1" s="122"/>
      <c r="H1" s="123"/>
      <c r="I1" s="18" t="s">
        <v>180</v>
      </c>
      <c r="J1" s="119">
        <f ca="1">TODAY()</f>
        <v>44210</v>
      </c>
      <c r="K1" s="119"/>
      <c r="L1" s="120"/>
      <c r="M1" s="35"/>
      <c r="N1" s="18" t="s">
        <v>55</v>
      </c>
      <c r="O1" s="108" t="str">
        <f>B1</f>
        <v>PBR1425G1720200</v>
      </c>
      <c r="P1" s="108"/>
      <c r="Q1" s="109"/>
      <c r="R1" s="18" t="s">
        <v>56</v>
      </c>
      <c r="S1" s="108" t="str">
        <f>F1</f>
        <v>LINEAGE AUS</v>
      </c>
      <c r="T1" s="108"/>
      <c r="U1" s="109"/>
      <c r="V1" s="18" t="s">
        <v>180</v>
      </c>
      <c r="W1" s="119">
        <f ca="1">J1</f>
        <v>44210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939335</v>
      </c>
      <c r="G2" s="71"/>
      <c r="H2" s="72"/>
      <c r="I2" s="18" t="s">
        <v>58</v>
      </c>
      <c r="J2" s="140" t="s">
        <v>192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939335</v>
      </c>
      <c r="T2" s="108"/>
      <c r="U2" s="109"/>
      <c r="V2" s="18" t="s">
        <v>58</v>
      </c>
      <c r="W2" s="121" t="str">
        <f>J2</f>
        <v>ASAP</v>
      </c>
      <c r="X2" s="108"/>
      <c r="Y2" s="109"/>
    </row>
    <row r="3" spans="1:25" ht="20.100000000000001" customHeight="1" x14ac:dyDescent="0.25">
      <c r="A3" s="129" t="s">
        <v>197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1"/>
      <c r="M3" s="35"/>
      <c r="N3" s="110" t="str">
        <f>A3</f>
        <v>NEW CUSTOMER - NEW ITEM MUST HAVE PERFECT GUSSET AND MUST BE NEAT ROLLS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32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4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7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51" t="s">
        <v>1</v>
      </c>
      <c r="B6" s="152"/>
      <c r="C6" s="152"/>
      <c r="D6" s="152"/>
      <c r="E6" s="152"/>
      <c r="F6" s="152"/>
      <c r="G6" s="152"/>
      <c r="H6" s="152"/>
      <c r="I6" s="152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100</v>
      </c>
      <c r="P7" s="72"/>
      <c r="Q7" s="18" t="str">
        <f>IF(ISNUMBER(SEARCH("roll",O8,1)),"Per Roll","Per Carton")</f>
        <v>Per Roll</v>
      </c>
      <c r="R7" s="71">
        <v>20</v>
      </c>
      <c r="S7" s="72"/>
      <c r="T7" s="18" t="str">
        <f>IF(ISNUMBER(SEARCH("bag",O8,1)),"Total Bags","Total Sheets")</f>
        <v>Total Bags</v>
      </c>
      <c r="U7" s="108">
        <f>R7*O7</f>
        <v>2000</v>
      </c>
      <c r="V7" s="109"/>
      <c r="W7" s="18" t="s">
        <v>101</v>
      </c>
      <c r="X7" s="71" t="s">
        <v>30</v>
      </c>
      <c r="Y7" s="72"/>
    </row>
    <row r="8" spans="1:25" ht="20.100000000000001" customHeight="1" x14ac:dyDescent="0.25">
      <c r="A8" s="19" t="s">
        <v>15</v>
      </c>
      <c r="B8" s="138">
        <v>1425</v>
      </c>
      <c r="C8" s="139"/>
      <c r="D8" s="22" t="str">
        <f>IF(ISNUMBER(SEARCH("bag",#REF!,1)),"Gusset","Centrefold")</f>
        <v>Centrefold</v>
      </c>
      <c r="E8" s="138" t="str">
        <f>IF(O8="Centrefold Roll",B8*2,IF(X9="","None",X9))</f>
        <v>(815+610)</v>
      </c>
      <c r="F8" s="139"/>
      <c r="G8" s="19" t="s">
        <v>51</v>
      </c>
      <c r="H8" s="138">
        <f>(IF(V9&lt;30,"30",V9))</f>
        <v>200</v>
      </c>
      <c r="I8" s="139"/>
      <c r="J8" s="18" t="s">
        <v>53</v>
      </c>
      <c r="K8" s="108" t="str">
        <f>IF(X8="None","Layflat Tube",IF(X8="","Layflat Tube",IF(X8="CF","Layflat Tube",IF(X8="G","Gusset Tube",IF(X9="","Layflat Tube",)))))</f>
        <v>Gusset Tube</v>
      </c>
      <c r="L8" s="109"/>
      <c r="M8" s="35"/>
      <c r="N8" s="20" t="s">
        <v>53</v>
      </c>
      <c r="O8" s="147" t="s">
        <v>164</v>
      </c>
      <c r="P8" s="148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00000000000001" customHeight="1" x14ac:dyDescent="0.3">
      <c r="A9" s="23" t="s">
        <v>47</v>
      </c>
      <c r="B9" s="155" t="s">
        <v>194</v>
      </c>
      <c r="C9" s="156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53" t="s">
        <v>196</v>
      </c>
      <c r="I9" s="154"/>
      <c r="J9" s="18" t="s">
        <v>54</v>
      </c>
      <c r="K9" s="71" t="s">
        <v>33</v>
      </c>
      <c r="L9" s="72"/>
      <c r="M9" s="35"/>
      <c r="N9" s="24"/>
      <c r="O9" s="163" t="str">
        <f>IF(O8="Poly Bag","PB",IF(O8="Poly Bag Roll","PBR",IF(O8="Centrefold Roll","CFR",IF(O8="Sheet","S",IF(O8="Sheet Roll","SR")))))</f>
        <v>PBR</v>
      </c>
      <c r="P9" s="164"/>
      <c r="Q9" s="24"/>
      <c r="R9" s="36">
        <v>1425</v>
      </c>
      <c r="S9" s="25" t="s">
        <v>77</v>
      </c>
      <c r="T9" s="36">
        <v>1720</v>
      </c>
      <c r="U9" s="25" t="s">
        <v>77</v>
      </c>
      <c r="V9" s="36">
        <v>200</v>
      </c>
      <c r="W9" s="24"/>
      <c r="X9" s="145" t="s">
        <v>200</v>
      </c>
      <c r="Y9" s="146"/>
    </row>
    <row r="10" spans="1:25" ht="20.100000000000001" customHeight="1" x14ac:dyDescent="0.25">
      <c r="A10" s="18" t="s">
        <v>50</v>
      </c>
      <c r="B10" s="71">
        <v>100</v>
      </c>
      <c r="C10" s="72"/>
      <c r="D10" s="56" t="s">
        <v>133</v>
      </c>
      <c r="E10" s="157">
        <f>IF(ISNUMBER(SEARCH("sheet",O8,1)),((R9*T9*H8/540000)*U7/2000*1.3),((R9*T9*H8/540000)*U7/1000*1.08))</f>
        <v>1960.8000000000002</v>
      </c>
      <c r="F10" s="158"/>
      <c r="G10" s="18" t="s">
        <v>52</v>
      </c>
      <c r="H10" s="161">
        <f>IF(ISNUMBER(SEARCH("sheet",O8,1)),(U7*T9/2000*1.08),(U7*T9/1000*1.08))</f>
        <v>3715.2000000000003</v>
      </c>
      <c r="I10" s="162"/>
      <c r="J10" s="18" t="s">
        <v>40</v>
      </c>
      <c r="K10" s="71" t="s">
        <v>43</v>
      </c>
      <c r="L10" s="72"/>
      <c r="M10" s="35"/>
      <c r="N10" s="26" t="s">
        <v>140</v>
      </c>
      <c r="O10" s="147" t="s">
        <v>43</v>
      </c>
      <c r="P10" s="148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41"/>
      <c r="V10" s="141"/>
      <c r="W10" s="141"/>
      <c r="X10" s="141"/>
      <c r="Y10" s="142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59">
        <f>E10/B10</f>
        <v>19.608000000000001</v>
      </c>
      <c r="F11" s="160"/>
      <c r="G11" s="18" t="s">
        <v>14</v>
      </c>
      <c r="H11" s="159">
        <f>H10/B10</f>
        <v>37.152000000000001</v>
      </c>
      <c r="I11" s="160"/>
      <c r="J11" s="18" t="s">
        <v>49</v>
      </c>
      <c r="K11" s="71" t="s">
        <v>43</v>
      </c>
      <c r="L11" s="72"/>
      <c r="M11" s="35"/>
      <c r="N11" s="19"/>
      <c r="O11" s="138" t="str">
        <f>IF(O10="NONE","","V")</f>
        <v/>
      </c>
      <c r="P11" s="139"/>
      <c r="Q11" s="19"/>
      <c r="R11" s="138" t="str">
        <f>IF(R10="None","","P")</f>
        <v/>
      </c>
      <c r="S11" s="138"/>
      <c r="T11" s="19"/>
      <c r="U11" s="143"/>
      <c r="V11" s="143"/>
      <c r="W11" s="143"/>
      <c r="X11" s="143"/>
      <c r="Y11" s="144"/>
    </row>
    <row r="12" spans="1:25" ht="20.100000000000001" customHeight="1" x14ac:dyDescent="0.25">
      <c r="A12" s="149" t="s">
        <v>12</v>
      </c>
      <c r="B12" s="150"/>
      <c r="C12" s="150"/>
      <c r="D12" s="150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35</v>
      </c>
      <c r="P13" s="18" t="s">
        <v>72</v>
      </c>
      <c r="Q13" s="30">
        <f>O7</f>
        <v>100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 t="str">
        <f>IF(AND((O17="LOOSE"),(NOT(O18="BUNDLE"))),"",IF(AND((O17="LINED"),(NOT(O18="BUNDLE"))),"",(IF(R7&lt;=500,"50",IF(R7&gt;500,"100")))))</f>
        <v>50</v>
      </c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30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75"/>
      <c r="J17" s="176"/>
      <c r="K17" s="175"/>
      <c r="L17" s="176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22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75"/>
      <c r="J18" s="176"/>
      <c r="K18" s="175"/>
      <c r="L18" s="176"/>
      <c r="M18" s="35"/>
      <c r="N18" s="18" t="s">
        <v>100</v>
      </c>
      <c r="O18" s="71"/>
      <c r="P18" s="72"/>
      <c r="Q18" s="18" t="s">
        <v>105</v>
      </c>
      <c r="R18" s="71" t="s">
        <v>22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75"/>
      <c r="J19" s="176"/>
      <c r="K19" s="175"/>
      <c r="L19" s="176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75"/>
      <c r="J20" s="176"/>
      <c r="K20" s="175"/>
      <c r="L20" s="176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75"/>
      <c r="J21" s="176"/>
      <c r="K21" s="175"/>
      <c r="L21" s="176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75"/>
      <c r="J22" s="176"/>
      <c r="K22" s="175"/>
      <c r="L22" s="176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68"/>
      <c r="B23" s="168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75"/>
      <c r="J23" s="176"/>
      <c r="K23" s="175"/>
      <c r="L23" s="176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69"/>
      <c r="B24" s="170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75"/>
      <c r="J24" s="176"/>
      <c r="K24" s="175"/>
      <c r="L24" s="176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74"/>
      <c r="H27" s="174"/>
      <c r="I27" s="174"/>
      <c r="J27" s="174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74"/>
      <c r="H28" s="174"/>
      <c r="I28" s="174"/>
      <c r="J28" s="174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71" t="s">
        <v>98</v>
      </c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3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177" t="s">
        <v>199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9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2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183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5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65" t="s">
        <v>135</v>
      </c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7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M1" xr:uid="{A7808161-74FF-4A94-A661-AC7C1EA51DBB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fitToHeight="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44241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44231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821B323-0DE9-4661-8161-2D41FC766D8B}"/>
</file>

<file path=customXml/itemProps2.xml><?xml version="1.0" encoding="utf-8"?>
<ds:datastoreItem xmlns:ds="http://schemas.openxmlformats.org/officeDocument/2006/customXml" ds:itemID="{11732C10-6DAC-4A00-8A56-5F9593B15F7E}"/>
</file>

<file path=customXml/itemProps3.xml><?xml version="1.0" encoding="utf-8"?>
<ds:datastoreItem xmlns:ds="http://schemas.openxmlformats.org/officeDocument/2006/customXml" ds:itemID="{71A7BD9F-A125-43E0-BE4B-5E1BCF187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2021-01-14T02:41:35Z</cp:lastPrinted>
  <dcterms:created xsi:type="dcterms:W3CDTF">2019-11-27T23:28:06Z</dcterms:created>
  <dcterms:modified xsi:type="dcterms:W3CDTF">2021-01-14T05:05:57Z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