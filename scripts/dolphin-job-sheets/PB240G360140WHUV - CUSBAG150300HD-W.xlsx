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1221EF7-6B19-4C10-8643-324BFE4D4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S2" i="1"/>
  <c r="O2" i="1"/>
  <c r="B11" i="1" l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<sst xmlns="http://schemas.openxmlformats.org/spreadsheetml/2006/main" count="308" uniqueCount="204">
  <si>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</si>
  <si>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</si>
  <si>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</si>
  <si>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</si>
  <si>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</si>
  <si>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</si>
  <si>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</si>
  <si>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</si>
  <si>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</si>
  <si>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</si>
  <si>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</si>
  <si>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</si>
  <si>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</si>
  <si>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</si>
  <si>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</si>
  <si>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</si>
  <si>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</si>
  <si>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</si>
  <si>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</si>
  <si>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</si>
  <si>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</si>
  <si>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</si>
  <si>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</si>
  <si>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</si>
  <si>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</si>
  <si>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</si>
  <si>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</si>
  <si>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</si>
  <si>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</si>
  <si>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</si>
  <si>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</si>
  <si>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</si>
  <si>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</si>
  <si>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</si>
  <si>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</si>
  <si>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</si>
  <si>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</si>
  <si>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</si>
  <si>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</si>
  <si>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</si>
  <si>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</si>
  <si>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</si>
  <si>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</si>
  <si>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</si>
  <si>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</si>
  <si>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</si>
  <si>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</si>
  <si>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</si>
  <si>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</si>
  <si>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</si>
  <si>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</si>
  <si>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</si>
  <si>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</si>
  <si>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</si>
  <si>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</si>
  <si>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</si>
  <si>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</si>
  <si>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</si>
  <si>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</si>
  <si>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</si>
  <si>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</si>
  <si>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</si>
  <si>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</si>
  <si>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</si>
  <si>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</si>
  <si>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</si>
  <si>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</si>
  <si>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</si>
  <si>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</si>
  <si>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</si>
  <si>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</si>
  <si>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</si>
  <si>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</si>
  <si>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</si>
  <si>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</si>
  <si>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</si>
  <si>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</si>
  <si>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</si>
  <si>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</si>
  <si>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</si>
  <si>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</si>
  <si>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</si>
  <si>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</si>
  <si>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</si>
  <si>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</si>
  <si>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</si>
  <si>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</si>
  <si>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</si>
  <si>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</si>
  <si>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</si>
  <si>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</si>
  <si>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</si>
  <si>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</si>
  <si>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</si>
  <si>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</si>
  <si>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</si>
  <si>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</si>
  <si>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</si>
  <si>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</si>
  <si>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</si>
  <si>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</si>
  <si>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</si>
  <si>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</si>
  <si>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</si>
  <si>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</si>
  <si>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</si>
  <si>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</si>
  <si>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</si>
  <si>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</si>
  <si>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</si>
  <si>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</si>
  <si>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</si>
  <si>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</si>
  <si>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</si>
  <si>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</si>
  <si>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</si>
  <si>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</si>
  <si>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</si>
  <si>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</si>
  <si>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</si>
  <si>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</si>
  <si>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</si>
  <si>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</si>
  <si>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</si>
  <si>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</si>
  <si>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</si>
  <si>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</si>
  <si>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</si>
  <si>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</si>
  <si>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</si>
  <si>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</si>
  <si>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</si>
  <si>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</si>
  <si>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</si>
  <si>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</si>
  <si>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</si>
  <si>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</si>
  <si>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</si>
  <si>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</si>
  <si>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</si>
  <si>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</si>
  <si>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</si>
  <si>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</si>
  <si>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</si>
  <si>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</si>
  <si>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</si>
  <si>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</si>
  <si>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</si>
  <si>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</si>
  <si>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</si>
  <si>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</si>
  <si>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</si>
  <si>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</si>
  <si>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</si>
  <si>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</si>
  <si>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</si>
  <si>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</si>
  <si>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</si>
  <si>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</si>
  <si>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</si>
  <si>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</si>
  <si>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</si>
  <si>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</si>
  <si>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</si>
  <si>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</si>
  <si>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</si>
  <si>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</si>
  <si>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</si>
  <si>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</si>
  <si>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</si>
  <si>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</si>
  <si>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</si>
  <si>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</si>
  <si>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</si>
  <si>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</si>
  <si>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</si>
  <si>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</si>
  <si>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</si>
  <si>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</si>
  <si>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</si>
  <si>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</si>
  <si>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</si>
  <si>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</si>
  <si>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</si>
  <si>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</si>
  <si>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</si>
  <si>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</si>
  <si>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</si>
  <si>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</si>
  <si>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</si>
  <si>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</si>
  <si>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</si>
  <si>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</si>
  <si>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</si>
  <si>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</si>
  <si>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</si>
  <si>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FERNLAND AGENCIES</t>
  </si>
  <si>
    <t>(125+115)</t>
  </si>
  <si>
    <t>RUN AT 130-135um</t>
  </si>
  <si>
    <t xml:space="preserve"> +0mm/-5mm</t>
  </si>
  <si>
    <t>CUSBAG150/300HD-W</t>
  </si>
  <si>
    <t>PERF</t>
  </si>
  <si>
    <t>8MM PUNCH HOLES  - STANDARD PATTERN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</si>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</sst>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5" borderId="7" xfId="0" applyFont="1" applyFill="1" applyBorder="1" applyAlignment="1" applyProtection="1">
      <alignment horizontal="left" vertical="top"/>
      <protection locked="0"/>
    </xf>
    <xf numFmtId="0" fontId="16" fillId="5" borderId="3" xfId="0" applyFont="1" applyFill="1" applyBorder="1" applyAlignment="1" applyProtection="1">
      <alignment horizontal="left" vertical="top"/>
      <protection locked="0"/>
    </xf>
    <xf numFmtId="0" fontId="16" fillId="5" borderId="8" xfId="0" applyFont="1" applyFill="1" applyBorder="1" applyAlignment="1" applyProtection="1">
      <alignment horizontal="left" vertical="top"/>
      <protection locked="0"/>
    </xf>
    <xf numFmtId="0" fontId="16" fillId="5" borderId="9" xfId="0" applyFont="1" applyFill="1" applyBorder="1" applyAlignment="1" applyProtection="1">
      <alignment horizontal="left" vertical="top"/>
      <protection locked="0"/>
    </xf>
    <xf numFmtId="0" fontId="16" fillId="5" borderId="0" xfId="0" applyFont="1" applyFill="1" applyAlignment="1" applyProtection="1">
      <alignment horizontal="left" vertical="top"/>
      <protection locked="0"/>
    </xf>
    <xf numFmtId="0" fontId="16" fillId="5" borderId="10" xfId="0" applyFont="1" applyFill="1" applyBorder="1" applyAlignment="1" applyProtection="1">
      <alignment horizontal="left" vertical="top"/>
      <protection locked="0"/>
    </xf>
    <xf numFmtId="0" fontId="16" fillId="5" borderId="11" xfId="0" applyFont="1" applyFill="1" applyBorder="1" applyAlignment="1" applyProtection="1">
      <alignment horizontal="left" vertical="top"/>
      <protection locked="0"/>
    </xf>
    <xf numFmtId="0" fontId="16" fillId="5" borderId="1" xfId="0" applyFont="1" applyFill="1" applyBorder="1" applyAlignment="1" applyProtection="1">
      <alignment horizontal="left" vertical="top"/>
      <protection locked="0"/>
    </xf>
    <xf numFmtId="0" fontId="16" fillId="5" borderId="12" xfId="0" applyFont="1" applyFill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PB240G360140WHUVV</v>
      </c>
      <c r="C1" s="108"/>
      <c r="D1" s="109"/>
      <c r="E1" s="10" t="s">
        <v>57</v>
      </c>
      <c r="F1" s="62" t="s">
        <v>196</v>
      </c>
      <c r="G1" s="62"/>
      <c r="H1" s="63"/>
      <c r="I1" s="11" t="s">
        <v>181</v>
      </c>
      <c r="J1" s="119">
        <f ca="1">TODAY()</f>
        <v>45504</v>
      </c>
      <c r="K1" s="119"/>
      <c r="L1" s="120"/>
      <c r="M1" s="29"/>
      <c r="N1" s="10" t="s">
        <v>56</v>
      </c>
      <c r="O1" s="108" t="str">
        <f>B1</f>
        <v>PB240G360140WHUVV</v>
      </c>
      <c r="P1" s="108"/>
      <c r="Q1" s="109"/>
      <c r="R1" s="10" t="s">
        <v>57</v>
      </c>
      <c r="S1" s="108" t="str">
        <f>F1</f>
        <v>FERNLAND AGENCIES</v>
      </c>
      <c r="T1" s="108"/>
      <c r="U1" s="109"/>
      <c r="V1" s="10" t="s">
        <v>181</v>
      </c>
      <c r="W1" s="119">
        <f ca="1">J1</f>
        <v>45504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>CUSBAG150/300HD-W</v>
      </c>
      <c r="C2" s="108"/>
      <c r="D2" s="109"/>
      <c r="E2" s="10" t="s">
        <v>58</v>
      </c>
      <c r="F2" s="62">
        <v>948176</v>
      </c>
      <c r="G2" s="62"/>
      <c r="H2" s="63"/>
      <c r="I2" s="10" t="s">
        <v>59</v>
      </c>
      <c r="J2" s="122">
        <v>45499</v>
      </c>
      <c r="K2" s="62"/>
      <c r="L2" s="63"/>
      <c r="M2" s="29"/>
      <c r="N2" s="10" t="s">
        <v>100</v>
      </c>
      <c r="O2" s="108" t="str">
        <f>IF(B2="","",B2)</f>
        <v>CUSBAG150/300HD-W</v>
      </c>
      <c r="P2" s="108"/>
      <c r="Q2" s="109"/>
      <c r="R2" s="10" t="s">
        <v>58</v>
      </c>
      <c r="S2" s="108">
        <f>IF(F2="","",F2)</f>
        <v>948176</v>
      </c>
      <c r="T2" s="108"/>
      <c r="U2" s="109"/>
      <c r="V2" s="10" t="s">
        <v>59</v>
      </c>
      <c r="W2" s="121">
        <f>J2</f>
        <v>45499</v>
      </c>
      <c r="X2" s="108"/>
      <c r="Y2" s="109"/>
    </row>
    <row r="3" spans="1:25" ht="20.100000000000001" customHeight="1" x14ac:dyDescent="0.25">
      <c r="A3" s="110" t="s">
        <v>192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SPOT ON FINISH. USE DOLPHIN REMILL, MUST NOT BE BLOCKED.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155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0" t="str">
        <f>IF(ISNUMBER(SEARCH("roll",O8,1)),"No. Rolls","No. Cartons")</f>
        <v>No. Cartons</v>
      </c>
      <c r="O7" s="62">
        <v>25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25000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240</v>
      </c>
      <c r="C8" s="97"/>
      <c r="D8" s="12" t="str">
        <f>IF(ISNUMBER(SEARCH("bag",O8,1)),"Gusset","Centrefold")</f>
        <v>Gusset</v>
      </c>
      <c r="E8" s="96" t="str">
        <f>IF(O8="Centrefold Roll",B8*2,IF(X9="","None",X9))</f>
        <v>(125+115)</v>
      </c>
      <c r="F8" s="97"/>
      <c r="G8" s="12" t="s">
        <v>52</v>
      </c>
      <c r="H8" s="96">
        <f>(IF(V9&lt;30,"30",V9))</f>
        <v>140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25" t="s">
        <v>199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198</v>
      </c>
      <c r="I9" s="126"/>
      <c r="J9" s="10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240</v>
      </c>
      <c r="S9" s="18" t="s">
        <v>78</v>
      </c>
      <c r="T9" s="30">
        <v>360</v>
      </c>
      <c r="U9" s="18" t="s">
        <v>78</v>
      </c>
      <c r="V9" s="30">
        <v>140</v>
      </c>
      <c r="W9" s="17"/>
      <c r="X9" s="88" t="s">
        <v>197</v>
      </c>
      <c r="Y9" s="89"/>
    </row>
    <row r="10" spans="1:25" ht="20.100000000000001" customHeight="1" x14ac:dyDescent="0.25">
      <c r="A10" s="10" t="s">
        <v>51</v>
      </c>
      <c r="B10" s="62">
        <v>80</v>
      </c>
      <c r="C10" s="63"/>
      <c r="D10" s="47" t="s">
        <v>134</v>
      </c>
      <c r="E10" s="127">
        <f>IF(ISNUMBER(SEARCH("sheet",O8,1)),((R9*T9*H8/540000)*U7/2000*1.3),((R9*T9*H8/540000)*U7/1000*1.08))</f>
        <v>604.80000000000007</v>
      </c>
      <c r="F10" s="128"/>
      <c r="G10" s="10" t="s">
        <v>53</v>
      </c>
      <c r="H10" s="131">
        <f>IF(ISNUMBER(SEARCH("sheet",O8,1)),(U7*T9/2000*1.08),(U7*T9/1000*1.08))</f>
        <v>9720</v>
      </c>
      <c r="I10" s="132"/>
      <c r="J10" s="10" t="s">
        <v>41</v>
      </c>
      <c r="K10" s="62" t="s">
        <v>44</v>
      </c>
      <c r="L10" s="63"/>
      <c r="M10" s="29"/>
      <c r="N10" s="13" t="s">
        <v>141</v>
      </c>
      <c r="O10" s="98" t="s">
        <v>188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200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7.5600000000000005</v>
      </c>
      <c r="F11" s="130"/>
      <c r="G11" s="10" t="s">
        <v>15</v>
      </c>
      <c r="H11" s="129">
        <f>H10/B10</f>
        <v>121.5</v>
      </c>
      <c r="I11" s="130"/>
      <c r="J11" s="10" t="s">
        <v>50</v>
      </c>
      <c r="K11" s="62" t="s">
        <v>44</v>
      </c>
      <c r="L11" s="63"/>
      <c r="M11" s="29"/>
      <c r="N11" s="12"/>
      <c r="O11" s="96" t="str">
        <f>IF(O10="NONE","","V")</f>
        <v>V</v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9"/>
      <c r="N13" s="10" t="s">
        <v>72</v>
      </c>
      <c r="O13" s="31" t="s">
        <v>57</v>
      </c>
      <c r="P13" s="10" t="s">
        <v>73</v>
      </c>
      <c r="Q13" s="20">
        <f>O7</f>
        <v>25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31" t="str">
        <f>IF(AND((O17="LOOSE"),(NOT(O18="BUNDLE"))),"",IF(AND((O17="LINED"),(NOT(O18="BUNDLE"))),"",(IF(R7&lt;=500,"50",IF(R7&gt;500,"100")))))</f>
        <v>100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0" t="s">
        <v>28</v>
      </c>
      <c r="O16" s="62" t="s">
        <v>169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0" t="s">
        <v>26</v>
      </c>
      <c r="O17" s="62" t="s">
        <v>37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0" t="s">
        <v>101</v>
      </c>
      <c r="O18" s="62" t="s">
        <v>185</v>
      </c>
      <c r="P18" s="63"/>
      <c r="Q18" s="10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202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WHITE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7" t="s">
        <v>193</v>
      </c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9" t="s">
        <v>201</v>
      </c>
      <c r="P25" s="34"/>
      <c r="Q25" s="9">
        <v>21</v>
      </c>
      <c r="R25" s="9">
        <v>6</v>
      </c>
      <c r="S25" s="9"/>
      <c r="T25" s="9">
        <v>10</v>
      </c>
      <c r="U25" s="9">
        <v>2</v>
      </c>
      <c r="V25" s="9">
        <v>3</v>
      </c>
      <c r="W25" s="9">
        <v>250</v>
      </c>
      <c r="X25" s="9">
        <v>250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 t="s">
        <v>203</v>
      </c>
      <c r="C27" s="7"/>
      <c r="D27" s="150">
        <v>108</v>
      </c>
      <c r="E27" s="151">
        <v>2.1</v>
      </c>
      <c r="F27" s="7"/>
      <c r="G27" s="90"/>
      <c r="H27" s="90"/>
      <c r="I27" s="90"/>
      <c r="J27" s="90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45535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45525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125F47D-F6B8-4AAB-80D7-029BD8DB4986}"/>
</file>

<file path=customXml/itemProps2.xml><?xml version="1.0" encoding="utf-8"?>
<ds:datastoreItem xmlns:ds="http://schemas.openxmlformats.org/officeDocument/2006/customXml" ds:itemID="{78E82454-2304-4E88-A1CF-A129DD857491}"/>
</file>

<file path=customXml/itemProps3.xml><?xml version="1.0" encoding="utf-8"?>
<ds:datastoreItem xmlns:ds="http://schemas.openxmlformats.org/officeDocument/2006/customXml" ds:itemID="{E4758225-1F8F-4645-ABDD-1A7775C6C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2024-07-05T01:35:24Z</cp:lastPrinted>
  <dcterms:created xsi:type="dcterms:W3CDTF">2019-11-27T23:28:06Z</dcterms:created>
  <dcterms:modified xsi:type="dcterms:W3CDTF">2024-07-31T04:41:49Z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