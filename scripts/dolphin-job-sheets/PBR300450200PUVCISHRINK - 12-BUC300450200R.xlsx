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23F1006-E901-455B-B34E-F91984C71313}" xr6:coauthVersionLast="47" xr6:coauthVersionMax="47" xr10:uidLastSave="{00000000-0000-0000-0000-000000000000}"/>
  <bookViews>
    <workbookView xWindow="34200" yWindow="177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C22" i="1" l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<sst xmlns="http://schemas.openxmlformats.org/spreadsheetml/2006/main" count="312" uniqueCount="208">
  <si>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</si>
  <si>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</si>
  <si>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</si>
  <si>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</si>
  <si>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</si>
  <si>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</si>
  <si>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</si>
  <si>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</si>
  <si>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</si>
  <si>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</si>
  <si>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</si>
  <si>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</si>
  <si>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</si>
  <si>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</si>
  <si>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</si>
  <si>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</si>
  <si>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</si>
  <si>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</si>
  <si>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</si>
  <si>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</si>
  <si>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</si>
  <si>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</si>
  <si>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</si>
  <si>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</si>
  <si>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</si>
  <si>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</si>
  <si>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</si>
  <si>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</si>
  <si>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</si>
  <si>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</si>
  <si>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</si>
  <si>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</si>
  <si>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</si>
  <si>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</si>
  <si>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</si>
  <si>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</si>
  <si>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</si>
  <si>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</si>
  <si>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</si>
  <si>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</si>
  <si>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</si>
  <si>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</si>
  <si>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</si>
  <si>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</si>
  <si>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</si>
  <si>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</si>
  <si>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</si>
  <si>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</si>
  <si>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</si>
  <si>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</si>
  <si>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</si>
  <si>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</si>
  <si>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</si>
  <si>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</si>
  <si>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</si>
  <si>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</si>
  <si>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</si>
  <si>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</si>
  <si>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</si>
  <si>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</si>
  <si>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</si>
  <si>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</si>
  <si>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</si>
  <si>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</si>
  <si>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</si>
  <si>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</si>
  <si>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</si>
  <si>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</si>
  <si>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</si>
  <si>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</si>
  <si>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</si>
  <si>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</si>
  <si>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</si>
  <si>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</si>
  <si>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</si>
  <si>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</si>
  <si>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</si>
  <si>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</si>
  <si>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</si>
  <si>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</si>
  <si>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</si>
  <si>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</si>
  <si>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</si>
  <si>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</si>
  <si>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</si>
  <si>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</si>
  <si>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</si>
  <si>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</si>
  <si>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</si>
  <si>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</si>
  <si>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</si>
  <si>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</si>
  <si>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</si>
  <si>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</si>
  <si>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</si>
  <si>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</si>
  <si>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</si>
  <si>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</si>
  <si>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</si>
  <si>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</si>
  <si>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</si>
  <si>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</si>
  <si>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</si>
  <si>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</si>
  <si>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</si>
  <si>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</si>
  <si>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</si>
  <si>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</si>
  <si>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</si>
  <si>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</si>
  <si>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</si>
  <si>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</si>
  <si>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</si>
  <si>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</si>
  <si>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</si>
  <si>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</si>
  <si>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</si>
  <si>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</si>
  <si>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</si>
  <si>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</si>
  <si>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</si>
  <si>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</si>
  <si>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</si>
  <si>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</si>
  <si>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</si>
  <si>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</si>
  <si>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</si>
  <si>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</si>
  <si>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</si>
  <si>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</si>
  <si>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</si>
  <si>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</si>
  <si>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</si>
  <si>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</si>
  <si>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</si>
  <si>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</si>
  <si>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</si>
  <si>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</si>
  <si>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</si>
  <si>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</si>
  <si>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</si>
  <si>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</si>
  <si>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</si>
  <si>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</si>
  <si>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</si>
  <si>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</si>
  <si>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</si>
  <si>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</si>
  <si>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</si>
  <si>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</si>
  <si>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</si>
  <si>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</si>
  <si>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</si>
  <si>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</si>
  <si>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</si>
  <si>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</si>
  <si>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</si>
  <si>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</si>
  <si>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</si>
  <si>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</si>
  <si>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</si>
  <si>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</si>
  <si>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</si>
  <si>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</si>
  <si>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</si>
  <si>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</si>
  <si>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</si>
  <si>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</si>
  <si>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</si>
  <si>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</si>
  <si>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</si>
  <si>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</si>
  <si>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</si>
  <si>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</si>
  <si>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</si>
  <si>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</si>
  <si>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</si>
  <si>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</si>
  <si>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</si>
  <si>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</si>
  <si>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</si>
  <si>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</si>
  <si>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</si>
  <si>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</si>
  <si>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</si>
  <si>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</si>
  <si>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</si>
  <si>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</si>
  <si>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</si>
  <si>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</si>
  <si>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</si>
  <si>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</si>
  <si>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</si>
  <si>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</si>
  <si>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</si>
  <si>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RUN AT 190um</t>
  </si>
  <si>
    <t>CORROSION INHIBITOR</t>
  </si>
  <si>
    <t>UV</t>
  </si>
  <si>
    <t>"DAYWALK" LOGO</t>
  </si>
  <si>
    <t>DAYWALK</t>
  </si>
  <si>
    <t>12-BUC300/450/200R</t>
  </si>
  <si>
    <t>PERF</t>
  </si>
  <si>
    <r>
      <t>SHRINK FILM - MUST HAVE UV AND CORROSION INHIBITO</t>
    </r>
    <r>
      <rPr>
        <b/>
        <sz val="18"/>
        <color rgb="FFFF0000"/>
        <rFont val="Calibri"/>
        <family val="2"/>
        <scheme val="minor"/>
      </rPr>
      <t xml:space="preserve">R   . .                                                                                          </t>
    </r>
  </si>
  <si>
    <t>%</t>
  </si>
  <si>
    <t>#45</t>
  </si>
  <si>
    <t>1.7/3.1</t>
  </si>
  <si>
    <t>ANTIBLOCK</t>
  </si>
  <si>
    <t>951583/950737/951583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</si>
</sst>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5" fillId="5" borderId="6" xfId="0" applyFont="1" applyFill="1" applyBorder="1" applyAlignment="1" applyProtection="1">
      <alignment horizontal="left"/>
      <protection locked="0"/>
    </xf>
    <xf numFmtId="0" fontId="15" fillId="5" borderId="4" xfId="0" applyFont="1" applyFill="1" applyBorder="1" applyAlignment="1" applyProtection="1">
      <alignment horizontal="left"/>
      <protection locked="0"/>
    </xf>
    <xf numFmtId="0" fontId="15" fillId="5" borderId="5" xfId="0" applyFont="1" applyFill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97" t="str">
        <f>O9&amp;R9&amp;IF(X8="G","G","")&amp;IF(O8="Centrefold Roll","("&amp;E8&amp;")","")&amp;T9&amp;V9&amp;C22&amp;C23&amp;C24&amp;O11&amp;R11</f>
        <v>PBR3004502000CIUVP</v>
      </c>
      <c r="C1" s="97"/>
      <c r="D1" s="98"/>
      <c r="E1" s="15" t="s">
        <v>56</v>
      </c>
      <c r="F1" s="61" t="s">
        <v>199</v>
      </c>
      <c r="G1" s="61"/>
      <c r="H1" s="62"/>
      <c r="I1" s="15" t="s">
        <v>180</v>
      </c>
      <c r="J1" s="108">
        <f ca="1">TODAY()</f>
        <v>46083</v>
      </c>
      <c r="K1" s="108"/>
      <c r="L1" s="109"/>
      <c r="M1" s="29"/>
      <c r="N1" s="15" t="s">
        <v>55</v>
      </c>
      <c r="O1" s="97" t="str">
        <f>B1</f>
        <v>PBR3004502000CIUVP</v>
      </c>
      <c r="P1" s="97"/>
      <c r="Q1" s="98"/>
      <c r="R1" s="15" t="s">
        <v>56</v>
      </c>
      <c r="S1" s="97" t="str">
        <f>F1</f>
        <v>DAYWALK</v>
      </c>
      <c r="T1" s="97"/>
      <c r="U1" s="98"/>
      <c r="V1" s="15" t="s">
        <v>180</v>
      </c>
      <c r="W1" s="108">
        <f ca="1">J1</f>
        <v>46083</v>
      </c>
      <c r="X1" s="108"/>
      <c r="Y1" s="109"/>
    </row>
    <row r="2" spans="1:25" ht="20.100000000000001" customHeight="1" x14ac:dyDescent="0.25">
      <c r="A2" s="15" t="s">
        <v>99</v>
      </c>
      <c r="B2" s="97" t="str">
        <f>IF(U10="","",U10)</f>
        <v>12-BUC300/450/200R</v>
      </c>
      <c r="C2" s="97"/>
      <c r="D2" s="98"/>
      <c r="E2" s="15" t="s">
        <v>57</v>
      </c>
      <c r="F2" s="61" t="s">
        <v>207</v>
      </c>
      <c r="G2" s="61"/>
      <c r="H2" s="62"/>
      <c r="I2" s="15" t="s">
        <v>58</v>
      </c>
      <c r="J2" s="118" t="s">
        <v>192</v>
      </c>
      <c r="K2" s="118"/>
      <c r="L2" s="119"/>
      <c r="M2" s="29"/>
      <c r="N2" s="15" t="s">
        <v>99</v>
      </c>
      <c r="O2" s="97" t="str">
        <f>IF(B2="","",B2)</f>
        <v>12-BUC300/450/200R</v>
      </c>
      <c r="P2" s="97"/>
      <c r="Q2" s="98"/>
      <c r="R2" s="15" t="s">
        <v>57</v>
      </c>
      <c r="S2" s="97" t="str">
        <f>IF(F2="","",F2)</f>
        <v>951583/950737/951583</v>
      </c>
      <c r="T2" s="97"/>
      <c r="U2" s="98"/>
      <c r="V2" s="15" t="s">
        <v>58</v>
      </c>
      <c r="W2" s="110" t="str">
        <f>J2</f>
        <v>ASAP</v>
      </c>
      <c r="X2" s="97"/>
      <c r="Y2" s="98"/>
    </row>
    <row r="3" spans="1:25" ht="20.100000000000001" customHeight="1" x14ac:dyDescent="0.25">
      <c r="A3" s="99" t="s">
        <v>202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1"/>
      <c r="M3" s="29"/>
      <c r="N3" s="99" t="str">
        <f>A3</f>
        <v xml:space="preserve">SHRINK FILM - MUST HAVE UV AND CORROSION INHIBITOR   . .                                                                                          </v>
      </c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1"/>
    </row>
    <row r="4" spans="1:25" ht="20.100000000000001" customHeight="1" x14ac:dyDescent="0.25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4"/>
      <c r="M4" s="29"/>
      <c r="N4" s="102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4"/>
    </row>
    <row r="5" spans="1:25" ht="20.100000000000001" customHeight="1" x14ac:dyDescent="0.25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7"/>
      <c r="M5" s="29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7"/>
    </row>
    <row r="6" spans="1:25" ht="20.100000000000001" customHeight="1" x14ac:dyDescent="0.25">
      <c r="A6" s="130" t="s">
        <v>1</v>
      </c>
      <c r="B6" s="131"/>
      <c r="C6" s="131"/>
      <c r="D6" s="131"/>
      <c r="E6" s="131"/>
      <c r="F6" s="131"/>
      <c r="G6" s="131"/>
      <c r="H6" s="131"/>
      <c r="I6" s="131"/>
      <c r="J6" s="80"/>
      <c r="K6" s="80"/>
      <c r="L6" s="81"/>
      <c r="M6" s="29"/>
      <c r="N6" s="113" t="s">
        <v>1</v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</row>
    <row r="7" spans="1:25" ht="20.100000000000001" customHeight="1" x14ac:dyDescent="0.3">
      <c r="A7" s="15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91" t="s">
        <v>178</v>
      </c>
      <c r="K7" s="91"/>
      <c r="L7" s="92"/>
      <c r="M7" s="29"/>
      <c r="N7" s="15" t="str">
        <f>IF(ISNUMBER(SEARCH("roll",O8,1)),"No. Rolls","No. Cartons")</f>
        <v>No. Rolls</v>
      </c>
      <c r="O7" s="61">
        <v>90</v>
      </c>
      <c r="P7" s="62"/>
      <c r="Q7" s="15" t="str">
        <f>IF(ISNUMBER(SEARCH("roll",O8,1)),"Per Roll","Per Carton")</f>
        <v>Per Roll</v>
      </c>
      <c r="R7" s="61">
        <v>200</v>
      </c>
      <c r="S7" s="62"/>
      <c r="T7" s="15" t="str">
        <f>IF(ISNUMBER(SEARCH("bag",O8,1)),"Total Bags","Total Sheets")</f>
        <v>Total Bags</v>
      </c>
      <c r="U7" s="97">
        <f>R7*O7</f>
        <v>18000</v>
      </c>
      <c r="V7" s="98"/>
      <c r="W7" s="15" t="s">
        <v>101</v>
      </c>
      <c r="X7" s="61" t="s">
        <v>22</v>
      </c>
      <c r="Y7" s="62"/>
    </row>
    <row r="8" spans="1:25" ht="20.100000000000001" customHeight="1" x14ac:dyDescent="0.25">
      <c r="A8" s="16" t="s">
        <v>15</v>
      </c>
      <c r="B8" s="116">
        <f>R9</f>
        <v>300</v>
      </c>
      <c r="C8" s="117"/>
      <c r="D8" s="19" t="str">
        <f>IF(ISNUMBER(SEARCH("bag",#REF!,1)),"Gusset","Centrefold")</f>
        <v>Centrefold</v>
      </c>
      <c r="E8" s="116" t="str">
        <f>IF(O8="Centrefold Roll",B8*2,IF(X9="","None",X9))</f>
        <v>None</v>
      </c>
      <c r="F8" s="117"/>
      <c r="G8" s="16" t="s">
        <v>51</v>
      </c>
      <c r="H8" s="116">
        <f>(IF(V9&lt;30,"30",V9))</f>
        <v>200</v>
      </c>
      <c r="I8" s="117"/>
      <c r="J8" s="15" t="s">
        <v>53</v>
      </c>
      <c r="K8" s="97" t="str">
        <f>IF(X8="None","Layflat Tube",IF(X8="","Layflat Tube",IF(X8="CF","Layflat Tube",IF(X8="G","Gusset Tube",IF(X9="","Layflat Tube",)))))</f>
        <v>Layflat Tube</v>
      </c>
      <c r="L8" s="98"/>
      <c r="M8" s="29"/>
      <c r="N8" s="17" t="s">
        <v>53</v>
      </c>
      <c r="O8" s="126" t="s">
        <v>164</v>
      </c>
      <c r="P8" s="127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None</v>
      </c>
      <c r="Y8" s="112"/>
    </row>
    <row r="9" spans="1:25" ht="20.100000000000001" customHeight="1" x14ac:dyDescent="0.3">
      <c r="A9" s="20" t="s">
        <v>47</v>
      </c>
      <c r="B9" s="132" t="s">
        <v>194</v>
      </c>
      <c r="C9" s="133"/>
      <c r="D9" s="96" t="str">
        <f>IF(K10="Middle","RUN 2 UP",IF(AND(O8="Centrefold Roll",B8=380),"RUN 2 UP",""))</f>
        <v/>
      </c>
      <c r="E9" s="68"/>
      <c r="F9" s="69"/>
      <c r="G9" s="20" t="s">
        <v>47</v>
      </c>
      <c r="H9" s="132" t="s">
        <v>195</v>
      </c>
      <c r="I9" s="133"/>
      <c r="J9" s="15" t="s">
        <v>54</v>
      </c>
      <c r="K9" s="61" t="s">
        <v>29</v>
      </c>
      <c r="L9" s="62"/>
      <c r="M9" s="29"/>
      <c r="N9" s="21"/>
      <c r="O9" s="140" t="str">
        <f>IF(O8="Poly Bag","PB",IF(O8="Poly Bag Roll","PBR",IF(O8="Centrefold Roll","CFR",IF(O8="Sheet","S",IF(O8="Sheet Roll","SR")))))</f>
        <v>PBR</v>
      </c>
      <c r="P9" s="141"/>
      <c r="Q9" s="21"/>
      <c r="R9" s="30">
        <v>300</v>
      </c>
      <c r="S9" s="22" t="s">
        <v>77</v>
      </c>
      <c r="T9" s="30">
        <v>450</v>
      </c>
      <c r="U9" s="22" t="s">
        <v>77</v>
      </c>
      <c r="V9" s="30">
        <v>200</v>
      </c>
      <c r="W9" s="21"/>
      <c r="X9" s="124"/>
      <c r="Y9" s="125"/>
    </row>
    <row r="10" spans="1:25" ht="20.100000000000001" customHeight="1" x14ac:dyDescent="0.25">
      <c r="A10" s="15" t="s">
        <v>50</v>
      </c>
      <c r="B10" s="61">
        <v>6</v>
      </c>
      <c r="C10" s="62"/>
      <c r="D10" s="48" t="s">
        <v>133</v>
      </c>
      <c r="E10" s="134">
        <f>IF(ISNUMBER(SEARCH("sheet",O8,1)),((R9*T9*H8/540000)*U7/2000*1.3),((R9*T9*H8/540000)*U7/1000*1.08))</f>
        <v>972.00000000000011</v>
      </c>
      <c r="F10" s="135"/>
      <c r="G10" s="15" t="s">
        <v>52</v>
      </c>
      <c r="H10" s="138">
        <f>IF(ISNUMBER(SEARCH("sheet",O8,1)),(U7*T9/2000*1.08),(U7*T9/1000*1.08))</f>
        <v>8748</v>
      </c>
      <c r="I10" s="139"/>
      <c r="J10" s="15" t="s">
        <v>40</v>
      </c>
      <c r="K10" s="61" t="s">
        <v>43</v>
      </c>
      <c r="L10" s="62"/>
      <c r="M10" s="29"/>
      <c r="N10" s="17" t="s">
        <v>140</v>
      </c>
      <c r="O10" s="126" t="s">
        <v>43</v>
      </c>
      <c r="P10" s="127"/>
      <c r="Q10" s="17" t="s">
        <v>49</v>
      </c>
      <c r="R10" s="111" t="str">
        <f>IF(K11="NONE","None",IF(K11="INLINE","Yes",IF(K11="OUT OF LINE","Yes")))</f>
        <v>Yes</v>
      </c>
      <c r="S10" s="111"/>
      <c r="T10" s="17" t="s">
        <v>99</v>
      </c>
      <c r="U10" s="120" t="s">
        <v>200</v>
      </c>
      <c r="V10" s="120"/>
      <c r="W10" s="120"/>
      <c r="X10" s="120"/>
      <c r="Y10" s="121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97" t="str">
        <f>IF(AND(O8="Centrefold Roll",D9="RUN 2 UP"),B10*2,IF(ISNUMBER(SEARCH("sheet",O8,1)),B10*2,""))</f>
        <v/>
      </c>
      <c r="C11" s="98"/>
      <c r="D11" s="15" t="s">
        <v>134</v>
      </c>
      <c r="E11" s="136">
        <f>E10/B10</f>
        <v>162.00000000000003</v>
      </c>
      <c r="F11" s="137"/>
      <c r="G11" s="15" t="s">
        <v>14</v>
      </c>
      <c r="H11" s="136">
        <f>H10/B10</f>
        <v>1458</v>
      </c>
      <c r="I11" s="137"/>
      <c r="J11" s="15" t="s">
        <v>49</v>
      </c>
      <c r="K11" s="61" t="s">
        <v>63</v>
      </c>
      <c r="L11" s="62"/>
      <c r="M11" s="29"/>
      <c r="N11" s="16"/>
      <c r="O11" s="116" t="str">
        <f>IF(O10="NONE","","V")</f>
        <v/>
      </c>
      <c r="P11" s="117"/>
      <c r="Q11" s="16"/>
      <c r="R11" s="116" t="str">
        <f>IF(R10="None","","P")</f>
        <v>P</v>
      </c>
      <c r="S11" s="116"/>
      <c r="T11" s="16"/>
      <c r="U11" s="122"/>
      <c r="V11" s="122"/>
      <c r="W11" s="122"/>
      <c r="X11" s="122"/>
      <c r="Y11" s="123"/>
    </row>
    <row r="12" spans="1:25" ht="20.100000000000001" customHeight="1" x14ac:dyDescent="0.25">
      <c r="A12" s="128" t="s">
        <v>12</v>
      </c>
      <c r="B12" s="129"/>
      <c r="C12" s="129"/>
      <c r="D12" s="129"/>
      <c r="E12" s="66"/>
      <c r="F12" s="66"/>
      <c r="G12" s="66"/>
      <c r="H12" s="66"/>
      <c r="I12" s="66"/>
      <c r="J12" s="66"/>
      <c r="K12" s="66"/>
      <c r="L12" s="67"/>
      <c r="M12" s="29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00000000000001" customHeight="1" x14ac:dyDescent="0.25">
      <c r="A13" s="15" t="s">
        <v>67</v>
      </c>
      <c r="B13" s="61" t="s">
        <v>69</v>
      </c>
      <c r="C13" s="61"/>
      <c r="D13" s="62"/>
      <c r="E13" s="23" t="s">
        <v>60</v>
      </c>
      <c r="F13" s="61" t="s">
        <v>65</v>
      </c>
      <c r="G13" s="61"/>
      <c r="H13" s="62"/>
      <c r="I13" s="15" t="s">
        <v>61</v>
      </c>
      <c r="J13" s="61" t="s">
        <v>176</v>
      </c>
      <c r="K13" s="61"/>
      <c r="L13" s="62"/>
      <c r="M13" s="29"/>
      <c r="N13" s="15" t="s">
        <v>71</v>
      </c>
      <c r="O13" s="31" t="s">
        <v>56</v>
      </c>
      <c r="P13" s="15" t="s">
        <v>72</v>
      </c>
      <c r="Q13" s="24">
        <f>O7</f>
        <v>90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/>
      <c r="X13" s="15" t="s">
        <v>75</v>
      </c>
      <c r="Y13" s="32"/>
    </row>
    <row r="14" spans="1:25" ht="20.100000000000001" customHeight="1" x14ac:dyDescent="0.3">
      <c r="A14" s="16" t="s">
        <v>59</v>
      </c>
      <c r="B14" s="68" t="s">
        <v>198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00000000000001" customHeight="1" x14ac:dyDescent="0.2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00000000000001" customHeight="1" x14ac:dyDescent="0.25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29"/>
      <c r="N16" s="15" t="s">
        <v>27</v>
      </c>
      <c r="O16" s="61"/>
      <c r="P16" s="62"/>
      <c r="Q16" s="15" t="s">
        <v>104</v>
      </c>
      <c r="R16" s="61" t="s">
        <v>30</v>
      </c>
      <c r="S16" s="62"/>
      <c r="T16" s="15" t="s">
        <v>102</v>
      </c>
      <c r="U16" s="61" t="s">
        <v>30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47"/>
      <c r="J17" s="148"/>
      <c r="K17" s="147"/>
      <c r="L17" s="148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22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00000000000001" customHeight="1" x14ac:dyDescent="0.25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47"/>
      <c r="J18" s="148"/>
      <c r="K18" s="147"/>
      <c r="L18" s="148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00000000000001" customHeight="1" x14ac:dyDescent="0.2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47"/>
      <c r="J19" s="148"/>
      <c r="K19" s="147"/>
      <c r="L19" s="148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00000000000001" customHeight="1" x14ac:dyDescent="0.2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47"/>
      <c r="J20" s="148"/>
      <c r="K20" s="147"/>
      <c r="L20" s="148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00000000000001" customHeight="1" x14ac:dyDescent="0.2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47"/>
      <c r="J21" s="148"/>
      <c r="K21" s="147"/>
      <c r="L21" s="148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00000000000001" customHeight="1" x14ac:dyDescent="0.25">
      <c r="A22" s="82" t="s">
        <v>206</v>
      </c>
      <c r="B22" s="82"/>
      <c r="C22" s="86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87"/>
      <c r="E22" s="83"/>
      <c r="F22" s="84"/>
      <c r="G22" s="33" t="s">
        <v>85</v>
      </c>
      <c r="H22" s="34"/>
      <c r="I22" s="147"/>
      <c r="J22" s="148"/>
      <c r="K22" s="147"/>
      <c r="L22" s="148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00000000000001" customHeight="1" x14ac:dyDescent="0.25">
      <c r="A23" s="142" t="s">
        <v>196</v>
      </c>
      <c r="B23" s="142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CI</v>
      </c>
      <c r="D23" s="87"/>
      <c r="E23" s="88" t="s">
        <v>203</v>
      </c>
      <c r="F23" s="89"/>
      <c r="G23" s="33" t="s">
        <v>86</v>
      </c>
      <c r="H23" s="34"/>
      <c r="I23" s="147"/>
      <c r="J23" s="148"/>
      <c r="K23" s="147"/>
      <c r="L23" s="148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00000000000001" customHeight="1" x14ac:dyDescent="0.25">
      <c r="A24" s="143" t="s">
        <v>197</v>
      </c>
      <c r="B24" s="144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UV</v>
      </c>
      <c r="D24" s="87"/>
      <c r="E24" s="88" t="s">
        <v>203</v>
      </c>
      <c r="F24" s="89"/>
      <c r="G24" s="33" t="s">
        <v>87</v>
      </c>
      <c r="H24" s="34"/>
      <c r="I24" s="147"/>
      <c r="J24" s="148"/>
      <c r="K24" s="147"/>
      <c r="L24" s="148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 t="s">
        <v>201</v>
      </c>
      <c r="P25" s="35"/>
      <c r="Q25" s="9">
        <v>21</v>
      </c>
      <c r="R25" s="9">
        <v>10</v>
      </c>
      <c r="S25" s="9"/>
      <c r="T25" s="9">
        <v>9</v>
      </c>
      <c r="U25" s="9"/>
      <c r="V25" s="9">
        <v>3</v>
      </c>
      <c r="W25" s="9">
        <v>220</v>
      </c>
      <c r="X25" s="9">
        <v>220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00000000000001" customHeight="1" x14ac:dyDescent="0.25">
      <c r="A27" s="13" t="s">
        <v>95</v>
      </c>
      <c r="B27" s="7" t="s">
        <v>204</v>
      </c>
      <c r="C27" s="7"/>
      <c r="D27" s="9">
        <v>22</v>
      </c>
      <c r="E27" s="60" t="s">
        <v>205</v>
      </c>
      <c r="F27" s="7"/>
      <c r="G27" s="146"/>
      <c r="H27" s="146"/>
      <c r="I27" s="146"/>
      <c r="J27" s="146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146"/>
      <c r="H28" s="146"/>
      <c r="I28" s="146"/>
      <c r="J28" s="146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128" t="s">
        <v>98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45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113" t="s">
        <v>135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46114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46104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EF095C4-3EAD-47CF-AF06-E66DFBA90BDC}"/>
</file>

<file path=customXml/itemProps2.xml><?xml version="1.0" encoding="utf-8"?>
<ds:datastoreItem xmlns:ds="http://schemas.openxmlformats.org/officeDocument/2006/customXml" ds:itemID="{5E4F347F-F006-4129-849C-AEC34D0D20EE}"/>
</file>

<file path=customXml/itemProps3.xml><?xml version="1.0" encoding="utf-8"?>
<ds:datastoreItem xmlns:ds="http://schemas.openxmlformats.org/officeDocument/2006/customXml" ds:itemID="{8643886A-ECBA-4C80-B0E5-CEFAC3CC6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2026-03-01T23:56:31Z</cp:lastPrinted>
  <dcterms:created xsi:type="dcterms:W3CDTF">2019-11-27T23:28:06Z</dcterms:created>
  <dcterms:modified xsi:type="dcterms:W3CDTF">2026-03-02T03:48:35Z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