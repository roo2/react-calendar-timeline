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D7EC6A33-462E-4EBC-8C46-473F47721F0A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E8" i="1"/>
  <c r="D9" i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<sst xmlns="http://schemas.openxmlformats.org/spreadsheetml/2006/main" count="226" uniqueCount="167">
  <si>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</si>
  <si>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</si>
  <si>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</si>
  <si>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</si>
  <si>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</si>
  <si>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</si>
  <si>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</si>
  <si>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</si>
  <si>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</si>
  <si>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</si>
  <si>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</si>
  <si>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</si>
  <si>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</si>
  <si>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</si>
  <si>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</si>
  <si>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</si>
  <si>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</si>
  <si>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</si>
  <si>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</si>
  <si>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</si>
  <si>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</si>
  <si>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</si>
  <si>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</si>
  <si>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</si>
  <si>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</si>
  <si>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</si>
  <si>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</si>
  <si>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</si>
  <si>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</si>
  <si>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</si>
  <si>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</si>
  <si>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</si>
  <si>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</si>
  <si>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</si>
  <si>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</si>
  <si>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</si>
  <si>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</si>
  <si>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</si>
  <si>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</si>
  <si>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</si>
  <si>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</si>
  <si>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</si>
  <si>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</si>
  <si>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</si>
  <si>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</si>
  <si>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</si>
  <si>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</si>
  <si>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</si>
  <si>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</si>
  <si>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</si>
  <si>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</si>
  <si>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</si>
  <si>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</si>
  <si>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</si>
  <si>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</si>
  <si>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</si>
  <si>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</si>
  <si>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</si>
  <si>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</si>
  <si>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</si>
  <si>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</si>
  <si>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</si>
  <si>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</si>
  <si>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</si>
  <si>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</si>
  <si>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</si>
  <si>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</si>
  <si>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</si>
  <si>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</si>
  <si>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</si>
  <si>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</si>
  <si>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</si>
  <si>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</si>
  <si>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</si>
  <si>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</si>
  <si>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</si>
  <si>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</si>
  <si>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</si>
  <si>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</si>
  <si>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</si>
  <si>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</si>
  <si>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</si>
  <si>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</si>
  <si>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</si>
  <si>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</si>
  <si>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</si>
  <si>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</si>
  <si>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</si>
  <si>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</si>
  <si>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</si>
  <si>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</si>
  <si>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</si>
  <si>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</si>
  <si>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</si>
  <si>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</si>
  <si>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</si>
  <si>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</si>
  <si>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</si>
  <si>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</si>
  <si>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</si>
  <si>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</si>
  <si>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</si>
  <si>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</si>
  <si>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</si>
  <si>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</si>
  <si>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</si>
  <si>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</si>
  <si>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</si>
  <si>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</si>
  <si>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</si>
  <si>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</si>
  <si>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</si>
  <si>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</si>
  <si>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</si>
  <si>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</si>
  <si>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</si>
  <si>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</si>
  <si>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</si>
  <si>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</si>
  <si>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</si>
  <si>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</si>
  <si>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</si>
  <si>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</si>
  <si>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</si>
  <si>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</si>
  <si>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</si>
  <si>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</si>
  <si>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</si>
  <si>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</si>
  <si>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</si>
  <si>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</si>
  <si>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</si>
  <si>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</si>
  <si>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</si>
  <si>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</si>
  <si>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</si>
  <si>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</si>
  <si>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</si>
  <si>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</si>
  <si>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</si>
  <si>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</si>
  <si>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</si>
  <si>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</si>
  <si>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</si>
  <si>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</si>
  <si>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</si>
  <si>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</si>
  <si>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</si>
  <si>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</si>
  <si>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</si>
  <si>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</si>
  <si>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</si>
  <si>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</si>
  <si>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</si>
  <si>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</si>
  <si>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</si>
  <si>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</si>
  <si>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</si>
  <si>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</si>
  <si>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</si>
  <si>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</si>
  <si>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</si>
  <si>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</si>
  <si>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RUN AT 70UM</t>
  </si>
  <si>
    <t>ARCPANEL</t>
  </si>
  <si>
    <t xml:space="preserve"> +/- 10mm</t>
  </si>
  <si>
    <t>TRIAL ROLLS AT NEW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</si>
</sst>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O23" sqref="O23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CFR500(1000)75</v>
      </c>
      <c r="C1" s="110"/>
      <c r="D1" s="111"/>
      <c r="E1" s="12" t="s">
        <v>55</v>
      </c>
      <c r="F1" s="121" t="s">
        <v>164</v>
      </c>
      <c r="G1" s="121"/>
      <c r="H1" s="122"/>
      <c r="I1" s="12" t="s">
        <v>148</v>
      </c>
      <c r="J1" s="123">
        <f ca="1">TODAY()</f>
        <v>44235</v>
      </c>
      <c r="K1" s="123"/>
      <c r="L1" s="124"/>
    </row>
    <row r="2" spans="1:14" ht="20.100000000000001" customHeight="1" x14ac:dyDescent="0.25">
      <c r="A2" s="12" t="s">
        <v>94</v>
      </c>
      <c r="B2" s="101" t="str">
        <f>IF(B7="Tube",(ROUNDUP(E11,0)&amp;"KG"),(ROUNDUP(H11,0)&amp;"M"))</f>
        <v>375M</v>
      </c>
      <c r="C2" s="101"/>
      <c r="D2" s="102"/>
      <c r="E2" s="12" t="s">
        <v>56</v>
      </c>
      <c r="F2" s="55">
        <v>55655</v>
      </c>
      <c r="G2" s="55"/>
      <c r="H2" s="56"/>
      <c r="I2" s="12" t="s">
        <v>57</v>
      </c>
      <c r="J2" s="125" t="s">
        <v>162</v>
      </c>
      <c r="K2" s="55"/>
      <c r="L2" s="56"/>
    </row>
    <row r="3" spans="1:14" ht="20.100000000000001" customHeight="1" x14ac:dyDescent="0.25">
      <c r="A3" s="112" t="s">
        <v>166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4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</row>
    <row r="5" spans="1:14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161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5" t="s">
        <v>146</v>
      </c>
      <c r="K7" s="105"/>
      <c r="L7" s="86"/>
    </row>
    <row r="8" spans="1:14" ht="20.100000000000001" customHeight="1" x14ac:dyDescent="0.25">
      <c r="A8" s="13" t="s">
        <v>14</v>
      </c>
      <c r="B8" s="75">
        <v>500</v>
      </c>
      <c r="C8" s="76"/>
      <c r="D8" s="13" t="str">
        <f>IF(B7="Tube","Gusset","Centrefold")</f>
        <v>Centrefold</v>
      </c>
      <c r="E8" s="106">
        <f>IF(B7="Cont Centrefold",B8*2,"")</f>
        <v>1000</v>
      </c>
      <c r="F8" s="107"/>
      <c r="G8" s="13" t="s">
        <v>50</v>
      </c>
      <c r="H8" s="75">
        <v>75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165</v>
      </c>
      <c r="C9" s="94"/>
      <c r="D9" s="127" t="str">
        <f>IF(K10="Middle","RUN 2 UP",IF(AND(B7="Cont Centrefold",B8=380),"RUN 2 UP",""))</f>
        <v/>
      </c>
      <c r="E9" s="128"/>
      <c r="F9" s="129"/>
      <c r="G9" s="14" t="s">
        <v>46</v>
      </c>
      <c r="H9" s="93" t="s">
        <v>163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2</v>
      </c>
      <c r="C10" s="56"/>
      <c r="D10" s="42" t="s">
        <v>104</v>
      </c>
      <c r="E10" s="97">
        <f>E11*B10</f>
        <v>52.083333333333336</v>
      </c>
      <c r="F10" s="98"/>
      <c r="G10" s="12" t="s">
        <v>51</v>
      </c>
      <c r="H10" s="101">
        <f>H11*B10</f>
        <v>750</v>
      </c>
      <c r="I10" s="102"/>
      <c r="J10" s="12" t="s">
        <v>39</v>
      </c>
      <c r="K10" s="55" t="s">
        <v>40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>CF Rolls</v>
      </c>
      <c r="B11" s="95">
        <f>IF(AND(B7="Cont Centrefold",D9="RUN 2 UP"),B10*2,IF(B7="Cont Centrefold",B10,IF(B7="Cont Sheet Roll",B10*2,"")))</f>
        <v>2</v>
      </c>
      <c r="C11" s="96"/>
      <c r="D11" s="51" t="s">
        <v>105</v>
      </c>
      <c r="E11" s="99">
        <f>IF(D9="RUN 2 UP",(B8*H8*H11/540000)*2,(B8*H8*H11/540000))</f>
        <v>26.041666666666668</v>
      </c>
      <c r="F11" s="100"/>
      <c r="G11" s="51" t="s">
        <v>13</v>
      </c>
      <c r="H11" s="103">
        <v>375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34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2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31" t="s">
        <v>149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3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87" t="str">
        <f>(IF(E7="NATURAL","",E7))</f>
        <v/>
      </c>
      <c r="B24" s="87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7"/>
      <c r="E24" s="68"/>
      <c r="F24" s="6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0" t="s">
        <v>103</v>
      </c>
      <c r="H27" s="130"/>
      <c r="I27" s="130" t="s">
        <v>102</v>
      </c>
      <c r="J27" s="130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6"/>
      <c r="H28" s="126"/>
      <c r="I28" s="126"/>
      <c r="J28" s="126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6"/>
      <c r="H29" s="126"/>
      <c r="I29" s="126"/>
      <c r="J29" s="126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40"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44263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44256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136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137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138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139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140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141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142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145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143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143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79CA683-0CCF-46EC-8182-8EE263F84B95}"/>
</file>

<file path=customXml/itemProps2.xml><?xml version="1.0" encoding="utf-8"?>
<ds:datastoreItem xmlns:ds="http://schemas.openxmlformats.org/officeDocument/2006/customXml" ds:itemID="{63384C9A-D972-43DD-989F-DC41A8603CE2}"/>
</file>

<file path=customXml/itemProps3.xml><?xml version="1.0" encoding="utf-8"?>
<ds:datastoreItem xmlns:ds="http://schemas.openxmlformats.org/officeDocument/2006/customXml" ds:itemID="{79CFDCD8-768D-40B8-9F3E-15496E4F7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2021-02-08T00:55:26Z</cp:lastPrinted>
  <dcterms:created xsi:type="dcterms:W3CDTF">2019-11-27T23:28:06Z</dcterms:created>
  <dcterms:modified xsi:type="dcterms:W3CDTF">2021-02-08T00:55:47Z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