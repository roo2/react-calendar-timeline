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F82D221-91D1-4723-A8A6-205122285D58}" xr6:coauthVersionLast="44" xr6:coauthVersionMax="44" xr10:uidLastSave="{00000000-0000-0000-0000-000000000000}"/>
  <bookViews>
    <workbookView xWindow="45" yWindow="45" windowWidth="28725" windowHeight="1555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<sst xmlns="http://schemas.openxmlformats.org/spreadsheetml/2006/main" count="305" uniqueCount="201">
  <si>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</si>
  <si>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</si>
  <si>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</si>
  <si>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</si>
  <si>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</si>
  <si>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</si>
  <si>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</si>
  <si>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</si>
  <si>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</si>
  <si>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</si>
  <si>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</si>
  <si>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</si>
  <si>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</si>
  <si>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</si>
  <si>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</si>
  <si>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</si>
  <si>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</si>
  <si>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</si>
  <si>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</si>
  <si>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</si>
  <si>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</si>
  <si>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</si>
  <si>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</si>
  <si>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</si>
  <si>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</si>
  <si>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</si>
  <si>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</si>
  <si>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</si>
  <si>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</si>
  <si>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</si>
  <si>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</si>
  <si>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</si>
  <si>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</si>
  <si>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</si>
  <si>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</si>
  <si>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</si>
  <si>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</si>
  <si>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</si>
  <si>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</si>
  <si>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</si>
  <si>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</si>
  <si>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</si>
  <si>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</si>
  <si>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</si>
  <si>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</si>
  <si>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</si>
  <si>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</si>
  <si>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</si>
  <si>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</si>
  <si>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</si>
  <si>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</si>
  <si>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</si>
  <si>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</si>
  <si>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</si>
  <si>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</si>
  <si>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</si>
  <si>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</si>
  <si>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</si>
  <si>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</si>
  <si>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</si>
  <si>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</si>
  <si>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</si>
  <si>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</si>
  <si>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</si>
  <si>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</si>
  <si>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</si>
  <si>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</si>
  <si>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</si>
  <si>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</si>
  <si>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</si>
  <si>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</si>
  <si>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</si>
  <si>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</si>
  <si>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</si>
  <si>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</si>
  <si>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</si>
  <si>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</si>
  <si>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</si>
  <si>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</si>
  <si>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</si>
  <si>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</si>
  <si>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</si>
  <si>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</si>
  <si>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</si>
  <si>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</si>
  <si>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</si>
  <si>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</si>
  <si>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</si>
  <si>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</si>
  <si>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</si>
  <si>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</si>
  <si>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</si>
  <si>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</si>
  <si>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</si>
  <si>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</si>
  <si>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</si>
  <si>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</si>
  <si>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</si>
  <si>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</si>
  <si>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</si>
  <si>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</si>
  <si>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</si>
  <si>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</si>
  <si>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</si>
  <si>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</si>
  <si>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</si>
  <si>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</si>
  <si>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</si>
  <si>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</si>
  <si>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</si>
  <si>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</si>
  <si>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</si>
  <si>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</si>
  <si>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</si>
  <si>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</si>
  <si>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</si>
  <si>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</si>
  <si>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</si>
  <si>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</si>
  <si>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</si>
  <si>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</si>
  <si>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</si>
  <si>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</si>
  <si>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</si>
  <si>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</si>
  <si>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</si>
  <si>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</si>
  <si>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</si>
  <si>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</si>
  <si>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</si>
  <si>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</si>
  <si>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</si>
  <si>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</si>
  <si>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</si>
  <si>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</si>
  <si>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</si>
  <si>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</si>
  <si>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</si>
  <si>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</si>
  <si>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</si>
  <si>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</si>
  <si>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</si>
  <si>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</si>
  <si>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</si>
  <si>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</si>
  <si>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</si>
  <si>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</si>
  <si>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</si>
  <si>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</si>
  <si>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</si>
  <si>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</si>
  <si>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</si>
  <si>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</si>
  <si>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</si>
  <si>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</si>
  <si>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</si>
  <si>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</si>
  <si>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</si>
  <si>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</si>
  <si>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</si>
  <si>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</si>
  <si>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</si>
  <si>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</si>
  <si>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</si>
  <si>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</si>
  <si>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</si>
  <si>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</si>
  <si>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</si>
  <si>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</si>
  <si>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</si>
  <si>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</si>
  <si>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</si>
  <si>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</si>
  <si>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</si>
  <si>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</si>
  <si>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</si>
  <si>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</si>
  <si>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</si>
  <si>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</si>
  <si>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</si>
  <si>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</si>
  <si>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</si>
  <si>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</si>
  <si>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</si>
  <si>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</si>
  <si>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</si>
  <si>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</si>
  <si>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</si>
  <si>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</si>
  <si>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</si>
  <si>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</si>
  <si>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</si>
  <si>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</si>
  <si>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</si>
  <si>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 xml:space="preserve"> +/- 5mm</t>
  </si>
  <si>
    <t>Centrefold Roll</t>
  </si>
  <si>
    <t>X02</t>
  </si>
  <si>
    <t>(385+385)</t>
  </si>
  <si>
    <t>239: RED LAUNDRY BAG</t>
  </si>
  <si>
    <t>NO SEALS, MINIMAL TAPE ON CTNS, SEALS HAVE TO BE STITCHED, PERFORATE 30MM DOWN FROM TOP OF SLEEVES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</si>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</sst>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 vertical="center" wrapText="1"/>
      <protection locked="0"/>
    </xf>
    <xf numFmtId="0" fontId="16" fillId="0" borderId="10" xfId="0" applyFont="1" applyBorder="1" applyAlignment="1" applyProtection="1">
      <alignment horizontal="center" vertical="center" wrapText="1"/>
      <protection locked="0"/>
    </xf>
    <xf numFmtId="0" fontId="16" fillId="0" borderId="1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U16" sqref="U16:V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PB770G110045R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146">
        <f ca="1">TODAY()</f>
        <v>43997</v>
      </c>
      <c r="K1" s="146"/>
      <c r="L1" s="147"/>
      <c r="M1" s="34"/>
      <c r="N1" s="12" t="s">
        <v>56</v>
      </c>
      <c r="O1" s="124" t="str">
        <f>B1</f>
        <v>PB770G110045R</v>
      </c>
      <c r="P1" s="124"/>
      <c r="Q1" s="125"/>
      <c r="R1" s="12" t="s">
        <v>57</v>
      </c>
      <c r="S1" s="124" t="str">
        <f>F1</f>
        <v>X02</v>
      </c>
      <c r="T1" s="124"/>
      <c r="U1" s="125"/>
      <c r="V1" s="12" t="s">
        <v>181</v>
      </c>
      <c r="W1" s="146">
        <f ca="1">J1</f>
        <v>43997</v>
      </c>
      <c r="X1" s="146"/>
      <c r="Y1" s="147"/>
    </row>
    <row r="2" spans="1:28" ht="20.100000000000001" customHeight="1" x14ac:dyDescent="0.25">
      <c r="A2" s="12" t="s">
        <v>100</v>
      </c>
      <c r="B2" s="124" t="str">
        <f>IF(U10="","",U10)</f>
        <v>239: RED LAUNDRY BAG</v>
      </c>
      <c r="C2" s="124"/>
      <c r="D2" s="125"/>
      <c r="E2" s="12" t="s">
        <v>58</v>
      </c>
      <c r="F2" s="73">
        <v>937208</v>
      </c>
      <c r="G2" s="73"/>
      <c r="H2" s="74"/>
      <c r="I2" s="12" t="s">
        <v>59</v>
      </c>
      <c r="J2" s="149">
        <v>43983</v>
      </c>
      <c r="K2" s="73"/>
      <c r="L2" s="74"/>
      <c r="M2" s="34"/>
      <c r="N2" s="12" t="s">
        <v>100</v>
      </c>
      <c r="O2" s="124" t="str">
        <f>IF(B2="","",B2)</f>
        <v>239: RED LAUNDRY BAG</v>
      </c>
      <c r="P2" s="124"/>
      <c r="Q2" s="125"/>
      <c r="R2" s="12" t="s">
        <v>58</v>
      </c>
      <c r="S2" s="124">
        <f>IF(F2="","",F2)</f>
        <v>937208</v>
      </c>
      <c r="T2" s="124"/>
      <c r="U2" s="125"/>
      <c r="V2" s="12" t="s">
        <v>59</v>
      </c>
      <c r="W2" s="148">
        <f>J2</f>
        <v>43983</v>
      </c>
      <c r="X2" s="124"/>
      <c r="Y2" s="125"/>
    </row>
    <row r="3" spans="1:28" ht="20.100000000000001" customHeight="1" x14ac:dyDescent="0.2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37" t="s">
        <v>199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8" ht="20.100000000000001" customHeight="1" x14ac:dyDescent="0.25">
      <c r="A6" s="151" t="s">
        <v>2</v>
      </c>
      <c r="B6" s="152"/>
      <c r="C6" s="152"/>
      <c r="D6" s="152"/>
      <c r="E6" s="152"/>
      <c r="F6" s="152"/>
      <c r="G6" s="152"/>
      <c r="H6" s="152"/>
      <c r="I6" s="15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151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37</v>
      </c>
      <c r="P7" s="74"/>
      <c r="Q7" s="12" t="str">
        <f>IF(ISNUMBER(SEARCH("roll",O8,1)),"Per Roll","Per Carton")</f>
        <v>Per Carton</v>
      </c>
      <c r="R7" s="73">
        <v>200</v>
      </c>
      <c r="S7" s="74"/>
      <c r="T7" s="12" t="str">
        <f>IF(ISNUMBER(SEARCH("bag",O8,1)),"Total Bags","Total Sheets")</f>
        <v>Total Bags</v>
      </c>
      <c r="U7" s="124">
        <f>R7*O7</f>
        <v>7400</v>
      </c>
      <c r="V7" s="125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770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(385+385)</v>
      </c>
      <c r="F8" s="112"/>
      <c r="G8" s="15" t="s">
        <v>52</v>
      </c>
      <c r="H8" s="111">
        <f>(IF(V9&lt;30,"30",V9))</f>
        <v>45</v>
      </c>
      <c r="I8" s="112"/>
      <c r="J8" s="12" t="s">
        <v>54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8" ht="20.100000000000001" customHeight="1" x14ac:dyDescent="0.3">
      <c r="A9" s="18" t="s">
        <v>48</v>
      </c>
      <c r="B9" s="153" t="s">
        <v>194</v>
      </c>
      <c r="C9" s="154"/>
      <c r="D9" s="161" t="str">
        <f>IF(K10="Middle","RUN 2 UP",IF(AND(O8="Centrefold Roll",B8=380),"RUN 2 UP",""))</f>
        <v/>
      </c>
      <c r="E9" s="115"/>
      <c r="F9" s="116"/>
      <c r="G9" s="18" t="s">
        <v>48</v>
      </c>
      <c r="H9" s="153" t="s">
        <v>193</v>
      </c>
      <c r="I9" s="15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770</v>
      </c>
      <c r="S9" s="20" t="s">
        <v>78</v>
      </c>
      <c r="T9" s="35">
        <v>1100</v>
      </c>
      <c r="U9" s="20" t="s">
        <v>78</v>
      </c>
      <c r="V9" s="35">
        <v>45</v>
      </c>
      <c r="W9" s="19"/>
      <c r="X9" s="99" t="s">
        <v>197</v>
      </c>
      <c r="Y9" s="100"/>
    </row>
    <row r="10" spans="1:28" ht="20.100000000000001" customHeight="1" x14ac:dyDescent="0.25">
      <c r="A10" s="12" t="s">
        <v>51</v>
      </c>
      <c r="B10" s="73">
        <v>14</v>
      </c>
      <c r="C10" s="74"/>
      <c r="D10" s="54" t="s">
        <v>134</v>
      </c>
      <c r="E10" s="155">
        <f>IF(ISNUMBER(SEARCH("sheet",O8,1)),((R9*T9*H8/540000)*U7/2000*1.3),((R9*T9*H8/540000)*U7/1000*1.08))</f>
        <v>564.10199999999998</v>
      </c>
      <c r="F10" s="156"/>
      <c r="G10" s="12" t="s">
        <v>53</v>
      </c>
      <c r="H10" s="159">
        <f>IF(ISNUMBER(SEARCH("sheet",O8,1)),(U7*T9/2000*1.08),(U7*T9/1000*1.08))</f>
        <v>8791.2000000000007</v>
      </c>
      <c r="I10" s="16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 t="s">
        <v>198</v>
      </c>
      <c r="V10" s="119"/>
      <c r="W10" s="119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57">
        <f>E10/B10</f>
        <v>40.292999999999999</v>
      </c>
      <c r="F11" s="158"/>
      <c r="G11" s="12" t="s">
        <v>15</v>
      </c>
      <c r="H11" s="157">
        <f>H10/B10</f>
        <v>627.94285714285718</v>
      </c>
      <c r="I11" s="15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5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37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5" t="s">
        <v>4</v>
      </c>
      <c r="F16" s="165"/>
      <c r="G16" s="165" t="s">
        <v>5</v>
      </c>
      <c r="H16" s="16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37</v>
      </c>
      <c r="P17" s="74"/>
      <c r="Q17" s="12" t="s">
        <v>104</v>
      </c>
      <c r="R17" s="73" t="s">
        <v>23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RED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R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6"/>
      <c r="B23" s="16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7"/>
      <c r="B24" s="16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200</v>
      </c>
      <c r="P25" s="39"/>
      <c r="Q25" s="10">
        <v>24</v>
      </c>
      <c r="R25" s="10">
        <v>6</v>
      </c>
      <c r="S25" s="10"/>
      <c r="T25" s="10">
        <v>6</v>
      </c>
      <c r="U25" s="10">
        <v>2</v>
      </c>
      <c r="V25" s="10">
        <v>3</v>
      </c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2" t="s">
        <v>136</v>
      </c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44027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44018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195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016BF75-925B-4A9D-9FE2-1994D6BCCC59}"/>
</file>

<file path=customXml/itemProps2.xml><?xml version="1.0" encoding="utf-8"?>
<ds:datastoreItem xmlns:ds="http://schemas.openxmlformats.org/officeDocument/2006/customXml" ds:itemID="{4E2A7821-4052-4B84-A587-2B595D5B4A7C}"/>
</file>

<file path=customXml/itemProps3.xml><?xml version="1.0" encoding="utf-8"?>
<ds:datastoreItem xmlns:ds="http://schemas.openxmlformats.org/officeDocument/2006/customXml" ds:itemID="{FC8AC1C0-1183-4E73-8507-4A5CE53B2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2020-05-11T00:30:49Z</cp:lastPrinted>
  <dcterms:created xsi:type="dcterms:W3CDTF">2019-11-27T23:28:06Z</dcterms:created>
  <dcterms:modified xsi:type="dcterms:W3CDTF">2020-06-14T23:13:11Z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