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4C9C176-BC43-43C0-BCE6-05860EC926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<sst xmlns="http://schemas.openxmlformats.org/spreadsheetml/2006/main" count="304" uniqueCount="200">
  <si>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</si>
  <si>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</si>
  <si>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</si>
  <si>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</si>
  <si>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</si>
  <si>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</si>
  <si>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</si>
  <si>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</si>
  <si>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</si>
  <si>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</si>
  <si>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</si>
  <si>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</si>
  <si>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</si>
  <si>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</si>
  <si>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</si>
  <si>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</si>
  <si>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</si>
  <si>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</si>
  <si>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</si>
  <si>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</si>
  <si>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</si>
  <si>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</si>
  <si>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</si>
  <si>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</si>
  <si>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</si>
  <si>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</si>
  <si>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</si>
  <si>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</si>
  <si>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</si>
  <si>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</si>
  <si>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</si>
  <si>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</si>
  <si>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</si>
  <si>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</si>
  <si>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</si>
  <si>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</si>
  <si>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</si>
  <si>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</si>
  <si>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</si>
  <si>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</si>
  <si>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</si>
  <si>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</si>
  <si>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</si>
  <si>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</si>
  <si>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</si>
  <si>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</si>
  <si>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</si>
  <si>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</si>
  <si>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</si>
  <si>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</si>
  <si>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</si>
  <si>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</si>
  <si>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</si>
  <si>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</si>
  <si>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</si>
  <si>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</si>
  <si>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</si>
  <si>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</si>
  <si>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</si>
  <si>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</si>
  <si>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</si>
  <si>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</si>
  <si>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</si>
  <si>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</si>
  <si>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</si>
  <si>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</si>
  <si>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</si>
  <si>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</si>
  <si>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</si>
  <si>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</si>
  <si>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</si>
  <si>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</si>
  <si>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</si>
  <si>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</si>
  <si>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</si>
  <si>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</si>
  <si>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</si>
  <si>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</si>
  <si>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</si>
  <si>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</si>
  <si>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</si>
  <si>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</si>
  <si>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</si>
  <si>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</si>
  <si>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</si>
  <si>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</si>
  <si>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</si>
  <si>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</si>
  <si>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</si>
  <si>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</si>
  <si>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</si>
  <si>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</si>
  <si>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</si>
  <si>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</si>
  <si>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</si>
  <si>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</si>
  <si>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</si>
  <si>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</si>
  <si>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</si>
  <si>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</si>
  <si>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</si>
  <si>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</si>
  <si>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</si>
  <si>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</si>
  <si>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</si>
  <si>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</si>
  <si>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</si>
  <si>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</si>
  <si>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</si>
  <si>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</si>
  <si>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</si>
  <si>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</si>
  <si>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</si>
  <si>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</si>
  <si>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</si>
  <si>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</si>
  <si>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</si>
  <si>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</si>
  <si>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</si>
  <si>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</si>
  <si>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</si>
  <si>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</si>
  <si>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</si>
  <si>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</si>
  <si>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</si>
  <si>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</si>
  <si>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</si>
  <si>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</si>
  <si>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</si>
  <si>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</si>
  <si>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</si>
  <si>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</si>
  <si>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</si>
  <si>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</si>
  <si>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</si>
  <si>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</si>
  <si>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</si>
  <si>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</si>
  <si>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</si>
  <si>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</si>
  <si>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</si>
  <si>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</si>
  <si>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</si>
  <si>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</si>
  <si>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</si>
  <si>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</si>
  <si>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</si>
  <si>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</si>
  <si>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</si>
  <si>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</si>
  <si>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</si>
  <si>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</si>
  <si>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</si>
  <si>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</si>
  <si>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</si>
  <si>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</si>
  <si>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</si>
  <si>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</si>
  <si>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</si>
  <si>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</si>
  <si>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</si>
  <si>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</si>
  <si>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</si>
  <si>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</si>
  <si>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</si>
  <si>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</si>
  <si>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</si>
  <si>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</si>
  <si>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</si>
  <si>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</si>
  <si>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</si>
  <si>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</si>
  <si>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</si>
  <si>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</si>
  <si>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</si>
  <si>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</si>
  <si>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</si>
  <si>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</si>
  <si>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</si>
  <si>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</si>
  <si>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</si>
  <si>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</si>
  <si>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</si>
  <si>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</si>
  <si>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</si>
  <si>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</si>
  <si>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</si>
  <si>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</si>
  <si>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</si>
  <si>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</si>
  <si>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</si>
  <si>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</si>
  <si>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</si>
  <si>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</si>
  <si>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LIMAX</t>
  </si>
  <si>
    <t>RUN AT 140um</t>
  </si>
  <si>
    <t xml:space="preserve"> +/- 10mm</t>
  </si>
  <si>
    <t>WHITE CROSS FIRST AID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</si>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</sst>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PB6009001000</v>
      </c>
      <c r="C1" s="110"/>
      <c r="D1" s="111"/>
      <c r="E1" s="10" t="s">
        <v>57</v>
      </c>
      <c r="F1" s="121" t="s">
        <v>197</v>
      </c>
      <c r="G1" s="86"/>
      <c r="H1" s="87"/>
      <c r="I1" s="11" t="s">
        <v>181</v>
      </c>
      <c r="J1" s="83">
        <f ca="1">TODAY()</f>
        <v>45483</v>
      </c>
      <c r="K1" s="83"/>
      <c r="L1" s="84"/>
      <c r="M1" s="28"/>
      <c r="N1" s="10" t="s">
        <v>56</v>
      </c>
      <c r="O1" s="110" t="str">
        <f>B1</f>
        <v>PB6009001000</v>
      </c>
      <c r="P1" s="110"/>
      <c r="Q1" s="111"/>
      <c r="R1" s="10" t="s">
        <v>57</v>
      </c>
      <c r="S1" s="110" t="str">
        <f>F1</f>
        <v>WHITE CROSS FIRST AID</v>
      </c>
      <c r="T1" s="110"/>
      <c r="U1" s="111"/>
      <c r="V1" s="10" t="s">
        <v>181</v>
      </c>
      <c r="W1" s="83">
        <f ca="1">J1</f>
        <v>45483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86">
        <v>57943</v>
      </c>
      <c r="G2" s="86"/>
      <c r="H2" s="87"/>
      <c r="I2" s="10" t="s">
        <v>59</v>
      </c>
      <c r="J2" s="85">
        <v>45493</v>
      </c>
      <c r="K2" s="86"/>
      <c r="L2" s="87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57943</v>
      </c>
      <c r="T2" s="110"/>
      <c r="U2" s="111"/>
      <c r="V2" s="10" t="s">
        <v>59</v>
      </c>
      <c r="W2" s="122">
        <f>J2</f>
        <v>45493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5</v>
      </c>
      <c r="P7" s="87"/>
      <c r="Q7" s="10" t="str">
        <f>IF(ISNUMBER(SEARCH("roll",O8,1)),"Per Roll","Per Carton")</f>
        <v>Per Carton</v>
      </c>
      <c r="R7" s="86">
        <v>100</v>
      </c>
      <c r="S7" s="87"/>
      <c r="T7" s="10" t="str">
        <f>IF(ISNUMBER(SEARCH("bag",O8,1)),"Total Bags","Total Sheets")</f>
        <v>Total Bags</v>
      </c>
      <c r="U7" s="110">
        <f>R7*O7</f>
        <v>500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600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100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8" t="s">
        <v>196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600</v>
      </c>
      <c r="S9" s="17" t="s">
        <v>78</v>
      </c>
      <c r="T9" s="29">
        <v>900</v>
      </c>
      <c r="U9" s="17" t="s">
        <v>78</v>
      </c>
      <c r="V9" s="29">
        <v>100</v>
      </c>
      <c r="W9" s="16"/>
      <c r="X9" s="136"/>
      <c r="Y9" s="137"/>
    </row>
    <row r="10" spans="1:25" ht="20.100000000000001" customHeight="1" x14ac:dyDescent="0.25">
      <c r="A10" s="10" t="s">
        <v>51</v>
      </c>
      <c r="B10" s="86">
        <v>2</v>
      </c>
      <c r="C10" s="87"/>
      <c r="D10" s="46" t="s">
        <v>134</v>
      </c>
      <c r="E10" s="100">
        <f>IF(ISNUMBER(SEARCH("sheet",O8,1)),((R9*T9*H8/540000)*U7/2000*1.3),((R9*T9*H8/540000)*U7/1000*1.08))</f>
        <v>54</v>
      </c>
      <c r="F10" s="101"/>
      <c r="G10" s="10" t="s">
        <v>53</v>
      </c>
      <c r="H10" s="104">
        <f>IF(ISNUMBER(SEARCH("sheet",O8,1)),(U7*T9/2000*1.08),(U7*T9/1000*1.08))</f>
        <v>486.00000000000006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None</v>
      </c>
      <c r="S10" s="123"/>
      <c r="T10" s="13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27</v>
      </c>
      <c r="F11" s="103"/>
      <c r="G11" s="10" t="s">
        <v>15</v>
      </c>
      <c r="H11" s="102">
        <f>H10/B10</f>
        <v>243.00000000000003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9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5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25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9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130</v>
      </c>
      <c r="P16" s="87"/>
      <c r="Q16" s="10" t="s">
        <v>105</v>
      </c>
      <c r="R16" s="86" t="s">
        <v>23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23</v>
      </c>
      <c r="V17" s="87"/>
      <c r="W17" s="10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23</v>
      </c>
      <c r="S18" s="87"/>
      <c r="T18" s="20" t="s">
        <v>27</v>
      </c>
      <c r="U18" s="86" t="s">
        <v>36</v>
      </c>
      <c r="V18" s="87"/>
      <c r="W18" s="10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141" t="s">
        <v>116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9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194</v>
      </c>
      <c r="P25" s="33"/>
      <c r="Q25" s="9">
        <v>22</v>
      </c>
      <c r="R25" s="9"/>
      <c r="S25" s="9"/>
      <c r="T25" s="9"/>
      <c r="U25" s="9"/>
      <c r="V25" s="9"/>
      <c r="W25" s="9">
        <v>18</v>
      </c>
      <c r="X25" s="9">
        <v>14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8" t="s">
        <v>132</v>
      </c>
      <c r="H26" s="138"/>
      <c r="I26" s="138" t="s">
        <v>131</v>
      </c>
      <c r="J26" s="138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199</v>
      </c>
      <c r="C27" s="7"/>
      <c r="D27" s="150">
        <v>21</v>
      </c>
      <c r="E27" s="151">
        <v>3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45514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45504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84212F1-DD05-4872-A5C5-EE0C70B56B3E}"/>
</file>

<file path=customXml/itemProps2.xml><?xml version="1.0" encoding="utf-8"?>
<ds:datastoreItem xmlns:ds="http://schemas.openxmlformats.org/officeDocument/2006/customXml" ds:itemID="{153466D1-AAAF-47AC-B41C-F78D31009E0D}"/>
</file>

<file path=customXml/itemProps3.xml><?xml version="1.0" encoding="utf-8"?>
<ds:datastoreItem xmlns:ds="http://schemas.openxmlformats.org/officeDocument/2006/customXml" ds:itemID="{8392B7E5-DE05-4294-AB89-9C241314A7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2024-06-20T00:07:13Z</cp:lastPrinted>
  <dcterms:created xsi:type="dcterms:W3CDTF">2019-11-27T23:28:06Z</dcterms:created>
  <dcterms:modified xsi:type="dcterms:W3CDTF">2024-07-10T05:28:11Z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