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8A4AA5D-FE14-4721-8B9C-2DC3BB0032BA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2" i="1"/>
  <c r="W1" i="1"/>
  <c r="S1" i="1" l="1"/>
  <c r="O1" i="1" l="1"/>
</calcChain>
</file>

<file path=xl/sharedStrings.xml><?xml version="1.0" encoding="utf-8"?>
<sst xmlns="http://schemas.openxmlformats.org/spreadsheetml/2006/main" count="310" uniqueCount="205">
  <si>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</si>
  <si>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</si>
  <si>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</si>
  <si>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</si>
  <si>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</si>
  <si>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</si>
  <si>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</si>
  <si>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</si>
  <si>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</si>
  <si>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</si>
  <si>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</si>
  <si>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</si>
  <si>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</si>
  <si>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</si>
  <si>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</si>
  <si>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</si>
  <si>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</si>
  <si>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</si>
  <si>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</si>
  <si>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</si>
  <si>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</si>
  <si>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</si>
  <si>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</si>
  <si>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</si>
  <si>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</si>
  <si>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</si>
  <si>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</si>
  <si>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</si>
  <si>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</si>
  <si>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</si>
  <si>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</si>
  <si>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</si>
  <si>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</si>
  <si>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</si>
  <si>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</si>
  <si>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</si>
  <si>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</si>
  <si>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</si>
  <si>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</si>
  <si>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</si>
  <si>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</si>
  <si>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</si>
  <si>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</si>
  <si>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</si>
  <si>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</si>
  <si>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</si>
  <si>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</si>
  <si>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</si>
  <si>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</si>
  <si>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</si>
  <si>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</si>
  <si>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</si>
  <si>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</si>
  <si>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</si>
  <si>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</si>
  <si>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</si>
  <si>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</si>
  <si>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</si>
  <si>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</si>
  <si>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</si>
  <si>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</si>
  <si>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</si>
  <si>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</si>
  <si>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</si>
  <si>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</si>
  <si>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</si>
  <si>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</si>
  <si>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</si>
  <si>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</si>
  <si>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</si>
  <si>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</si>
  <si>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</si>
  <si>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</si>
  <si>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</si>
  <si>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</si>
  <si>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</si>
  <si>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</si>
  <si>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</si>
  <si>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</si>
  <si>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</si>
  <si>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</si>
  <si>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</si>
  <si>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</si>
  <si>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</si>
  <si>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</si>
  <si>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</si>
  <si>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</si>
  <si>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</si>
  <si>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</si>
  <si>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</si>
  <si>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</si>
  <si>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</si>
  <si>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</si>
  <si>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</si>
  <si>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</si>
  <si>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</si>
  <si>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</si>
  <si>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</si>
  <si>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</si>
  <si>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</si>
  <si>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</si>
  <si>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</si>
  <si>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</si>
  <si>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</si>
  <si>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</si>
  <si>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</si>
  <si>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</si>
  <si>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</si>
  <si>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</si>
  <si>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</si>
  <si>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</si>
  <si>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</si>
  <si>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</si>
  <si>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</si>
  <si>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</si>
  <si>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</si>
  <si>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</si>
  <si>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</si>
  <si>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</si>
  <si>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</si>
  <si>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</si>
  <si>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</si>
  <si>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</si>
  <si>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</si>
  <si>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</si>
  <si>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</si>
  <si>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</si>
  <si>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</si>
  <si>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</si>
  <si>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</si>
  <si>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</si>
  <si>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</si>
  <si>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</si>
  <si>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</si>
  <si>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</si>
  <si>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</si>
  <si>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</si>
  <si>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</si>
  <si>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</si>
  <si>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</si>
  <si>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</si>
  <si>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</si>
  <si>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</si>
  <si>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</si>
  <si>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</si>
  <si>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</si>
  <si>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</si>
  <si>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</si>
  <si>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</si>
  <si>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</si>
  <si>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</si>
  <si>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</si>
  <si>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</si>
  <si>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</si>
  <si>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</si>
  <si>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</si>
  <si>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</si>
  <si>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</si>
  <si>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</si>
  <si>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</si>
  <si>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</si>
  <si>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</si>
  <si>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</si>
  <si>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</si>
  <si>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</si>
  <si>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</si>
  <si>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</si>
  <si>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</si>
  <si>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</si>
  <si>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</si>
  <si>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</si>
  <si>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</si>
  <si>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</si>
  <si>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</si>
  <si>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</si>
  <si>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</si>
  <si>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</si>
  <si>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</si>
  <si>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</si>
  <si>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</si>
  <si>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</si>
  <si>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</si>
  <si>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</si>
  <si>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</si>
  <si>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</si>
  <si>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</si>
  <si>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</si>
  <si>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</si>
  <si>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</si>
  <si>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</si>
  <si>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</si>
  <si>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</si>
  <si>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</si>
  <si>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 xml:space="preserve"> +/-5mm</t>
  </si>
  <si>
    <t>HT CONCEPTS</t>
  </si>
  <si>
    <t>(155+145)</t>
  </si>
  <si>
    <t>UV</t>
  </si>
  <si>
    <t xml:space="preserve"> +/- 5mm</t>
  </si>
  <si>
    <t>ASAP</t>
  </si>
  <si>
    <t>Centrefold Roll</t>
  </si>
  <si>
    <t>130 Meat</t>
  </si>
  <si>
    <t>150 Meat</t>
  </si>
  <si>
    <t>7.5L STANDARD PLANTER</t>
  </si>
  <si>
    <t>PERF</t>
  </si>
  <si>
    <r>
      <rPr>
        <b/>
        <sz val="16"/>
        <color rgb="FFFF0000"/>
        <rFont val="Calibri"/>
        <family val="2"/>
        <scheme val="minor"/>
      </rPr>
      <t>130 MEAT  ONLY</t>
    </r>
    <r>
      <rPr>
        <sz val="14"/>
        <color theme="1"/>
        <rFont val="Calibri"/>
        <family val="2"/>
        <scheme val="minor"/>
      </rPr>
      <t xml:space="preserve">
PUNCH: 50MM SPACING FROM BOTTOM SEAL, 60MM IN FROM OUTER EDGE -</t>
    </r>
    <r>
      <rPr>
        <sz val="16"/>
        <color rgb="FFFF0000"/>
        <rFont val="Calibri"/>
        <family val="2"/>
        <scheme val="minor"/>
      </rPr>
      <t xml:space="preserve"> </t>
    </r>
    <r>
      <rPr>
        <b/>
        <sz val="16"/>
        <color rgb="FFFF0000"/>
        <rFont val="Calibri"/>
        <family val="2"/>
        <scheme val="minor"/>
      </rPr>
      <t>BUNDLES MUST BE IN PACKS OF 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</si>
</sst>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8" fillId="5" borderId="5" xfId="0" applyFont="1" applyFill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6" fillId="0" borderId="7" xfId="0" applyFont="1" applyBorder="1" applyAlignment="1" applyProtection="1">
      <alignment horizontal="center" vertical="top" wrapText="1"/>
      <protection locked="0"/>
    </xf>
    <xf numFmtId="0" fontId="16" fillId="0" borderId="3" xfId="0" applyFont="1" applyBorder="1" applyAlignment="1" applyProtection="1">
      <alignment horizontal="center" vertical="top"/>
      <protection locked="0"/>
    </xf>
    <xf numFmtId="0" fontId="16" fillId="0" borderId="8" xfId="0" applyFont="1" applyBorder="1" applyAlignment="1" applyProtection="1">
      <alignment horizontal="center" vertical="top"/>
      <protection locked="0"/>
    </xf>
    <xf numFmtId="0" fontId="16" fillId="0" borderId="9" xfId="0" applyFont="1" applyBorder="1" applyAlignment="1" applyProtection="1">
      <alignment horizontal="center" vertical="top"/>
      <protection locked="0"/>
    </xf>
    <xf numFmtId="0" fontId="16" fillId="0" borderId="0" xfId="0" applyFont="1" applyAlignment="1" applyProtection="1">
      <alignment horizontal="center" vertical="top"/>
      <protection locked="0"/>
    </xf>
    <xf numFmtId="0" fontId="16" fillId="0" borderId="10" xfId="0" applyFont="1" applyBorder="1" applyAlignment="1" applyProtection="1">
      <alignment horizontal="center" vertical="top"/>
      <protection locked="0"/>
    </xf>
    <xf numFmtId="0" fontId="16" fillId="0" borderId="11" xfId="0" applyFont="1" applyBorder="1" applyAlignment="1" applyProtection="1">
      <alignment horizontal="center" vertical="top"/>
      <protection locked="0"/>
    </xf>
    <xf numFmtId="0" fontId="16" fillId="0" borderId="1" xfId="0" applyFont="1" applyBorder="1" applyAlignment="1" applyProtection="1">
      <alignment horizontal="center" vertical="top"/>
      <protection locked="0"/>
    </xf>
    <xf numFmtId="0" fontId="16" fillId="0" borderId="12" xfId="0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14" fontId="10" fillId="0" borderId="5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B10" sqref="B10:C10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0" t="str">
        <f>O9&amp;R9&amp;IF(X8="G","G","")&amp;IF(O8="Centrefold Roll","("&amp;E8&amp;")","")&amp;T9&amp;V9&amp;C22&amp;C23&amp;C24&amp;O11&amp;R11</f>
        <v>PB300G345120BKUVV</v>
      </c>
      <c r="C1" s="110"/>
      <c r="D1" s="111"/>
      <c r="E1" s="11" t="s">
        <v>57</v>
      </c>
      <c r="F1" s="64" t="s">
        <v>194</v>
      </c>
      <c r="G1" s="64"/>
      <c r="H1" s="65"/>
      <c r="I1" s="12" t="s">
        <v>181</v>
      </c>
      <c r="J1" s="121">
        <f ca="1">TODAY()</f>
        <v>45210</v>
      </c>
      <c r="K1" s="121"/>
      <c r="L1" s="122"/>
      <c r="M1" s="30"/>
      <c r="N1" s="11" t="s">
        <v>56</v>
      </c>
      <c r="O1" s="110" t="str">
        <f>B1</f>
        <v>PB300G345120BKUVV</v>
      </c>
      <c r="P1" s="110"/>
      <c r="Q1" s="111"/>
      <c r="R1" s="11" t="s">
        <v>57</v>
      </c>
      <c r="S1" s="110" t="str">
        <f>F1</f>
        <v>HT CONCEPTS</v>
      </c>
      <c r="T1" s="110"/>
      <c r="U1" s="111"/>
      <c r="V1" s="11" t="s">
        <v>181</v>
      </c>
      <c r="W1" s="121">
        <f ca="1">J1</f>
        <v>45210</v>
      </c>
      <c r="X1" s="121"/>
      <c r="Y1" s="122"/>
    </row>
    <row r="2" spans="1:25" ht="20.149999999999999" customHeight="1" x14ac:dyDescent="0.8">
      <c r="A2" s="11" t="s">
        <v>100</v>
      </c>
      <c r="B2" s="110" t="str">
        <f>IF(U10="","",U10)</f>
        <v>7.5L STANDARD PLANTER</v>
      </c>
      <c r="C2" s="110"/>
      <c r="D2" s="111"/>
      <c r="E2" s="11" t="s">
        <v>58</v>
      </c>
      <c r="F2" s="64">
        <v>946472</v>
      </c>
      <c r="G2" s="64"/>
      <c r="H2" s="65"/>
      <c r="I2" s="11" t="s">
        <v>59</v>
      </c>
      <c r="J2" s="124" t="s">
        <v>198</v>
      </c>
      <c r="K2" s="124"/>
      <c r="L2" s="125"/>
      <c r="M2" s="30"/>
      <c r="N2" s="11" t="s">
        <v>100</v>
      </c>
      <c r="O2" s="110" t="str">
        <f>IF(B2="","",B2)</f>
        <v>7.5L STANDARD PLANTER</v>
      </c>
      <c r="P2" s="110"/>
      <c r="Q2" s="111"/>
      <c r="R2" s="11" t="s">
        <v>58</v>
      </c>
      <c r="S2" s="110">
        <f>IF(F2="","",F2)</f>
        <v>946472</v>
      </c>
      <c r="T2" s="110"/>
      <c r="U2" s="111"/>
      <c r="V2" s="11" t="s">
        <v>59</v>
      </c>
      <c r="W2" s="123" t="str">
        <f>J2</f>
        <v>ASAP</v>
      </c>
      <c r="X2" s="110"/>
      <c r="Y2" s="111"/>
    </row>
    <row r="3" spans="1:25" ht="20.149999999999999" customHeight="1" x14ac:dyDescent="0.75">
      <c r="A3" s="112" t="s">
        <v>192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30"/>
      <c r="N3" s="112" t="str">
        <f>A3</f>
        <v>SPOT ON FINISH. USE DOLPHIN REMILL, MUST NOT BE BLOCKED.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49999999999999" customHeight="1" x14ac:dyDescent="0.7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30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49999999999999" customHeight="1" x14ac:dyDescent="0.7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30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49999999999999" customHeight="1" x14ac:dyDescent="0.75">
      <c r="A6" s="126" t="s">
        <v>2</v>
      </c>
      <c r="B6" s="127"/>
      <c r="C6" s="127"/>
      <c r="D6" s="127"/>
      <c r="E6" s="127"/>
      <c r="F6" s="127"/>
      <c r="G6" s="127"/>
      <c r="H6" s="127"/>
      <c r="I6" s="127"/>
      <c r="J6" s="72"/>
      <c r="K6" s="72"/>
      <c r="L6" s="73"/>
      <c r="M6" s="30"/>
      <c r="N6" s="74" t="s">
        <v>2</v>
      </c>
      <c r="O6" s="75"/>
      <c r="P6" s="75"/>
      <c r="Q6" s="75"/>
      <c r="R6" s="75"/>
      <c r="S6" s="75"/>
      <c r="T6" s="75"/>
      <c r="U6" s="75"/>
      <c r="V6" s="75"/>
      <c r="W6" s="75"/>
      <c r="X6" s="75"/>
      <c r="Y6" s="76"/>
    </row>
    <row r="7" spans="1:25" ht="20.149999999999999" customHeight="1" x14ac:dyDescent="0.9">
      <c r="A7" s="11" t="s">
        <v>49</v>
      </c>
      <c r="B7" s="102" t="s">
        <v>177</v>
      </c>
      <c r="C7" s="102"/>
      <c r="D7" s="102"/>
      <c r="E7" s="102"/>
      <c r="F7" s="102"/>
      <c r="G7" s="102"/>
      <c r="H7" s="102"/>
      <c r="I7" s="103"/>
      <c r="J7" s="69" t="s">
        <v>179</v>
      </c>
      <c r="K7" s="69"/>
      <c r="L7" s="70"/>
      <c r="M7" s="30"/>
      <c r="N7" s="11" t="str">
        <f>IF(ISNUMBER(SEARCH("roll",O8,1)),"No. Rolls","No. Cartons")</f>
        <v>No. Cartons</v>
      </c>
      <c r="O7" s="64">
        <v>12</v>
      </c>
      <c r="P7" s="65"/>
      <c r="Q7" s="11" t="str">
        <f>IF(ISNUMBER(SEARCH("roll",O8,1)),"Per Roll","Per Carton")</f>
        <v>Per Carton</v>
      </c>
      <c r="R7" s="64">
        <v>500</v>
      </c>
      <c r="S7" s="65"/>
      <c r="T7" s="11" t="str">
        <f>IF(ISNUMBER(SEARCH("bag",O8,1)),"Total Bags","Total Sheets")</f>
        <v>Total Bags</v>
      </c>
      <c r="U7" s="110">
        <f>R7*O7</f>
        <v>6000</v>
      </c>
      <c r="V7" s="111"/>
      <c r="W7" s="11" t="s">
        <v>102</v>
      </c>
      <c r="X7" s="64" t="s">
        <v>23</v>
      </c>
      <c r="Y7" s="65"/>
    </row>
    <row r="8" spans="1:25" ht="20.149999999999999" customHeight="1" x14ac:dyDescent="0.8">
      <c r="A8" s="13" t="s">
        <v>16</v>
      </c>
      <c r="B8" s="98">
        <f>R9</f>
        <v>300</v>
      </c>
      <c r="C8" s="99"/>
      <c r="D8" s="13" t="str">
        <f>IF(ISNUMBER(SEARCH("bag",O8,1)),"Gusset","Centrefold")</f>
        <v>Gusset</v>
      </c>
      <c r="E8" s="98" t="str">
        <f>IF(O8="Centrefold Roll",B8*2,IF(X9="","None",X9))</f>
        <v>(155+145)</v>
      </c>
      <c r="F8" s="99"/>
      <c r="G8" s="13" t="s">
        <v>52</v>
      </c>
      <c r="H8" s="98">
        <f>(IF(V9&lt;30,"30",V9))</f>
        <v>120</v>
      </c>
      <c r="I8" s="99"/>
      <c r="J8" s="11" t="s">
        <v>54</v>
      </c>
      <c r="K8" s="110" t="str">
        <f>IF(X8="None","Layflat Tube",IF(X8="","Layflat Tube",IF(X8="CF","Layflat Tube",IF(X8="G","Gusset Tube",IF(X9="","Layflat Tube",)))))</f>
        <v>Gusset Tube</v>
      </c>
      <c r="L8" s="111"/>
      <c r="M8" s="30"/>
      <c r="N8" s="14" t="s">
        <v>54</v>
      </c>
      <c r="O8" s="100" t="s">
        <v>164</v>
      </c>
      <c r="P8" s="101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16" t="str">
        <f>IF(ISNUMBER(SEARCH("bag",O8,1)),"Gusset","Centrefold")</f>
        <v>Gusset</v>
      </c>
      <c r="X8" s="96" t="str">
        <f>IF(AND(W8="Gusset",X9=""), "None",IF(AND(W8="Centrefold",X9=""),"None",IF(W8="Gusset","G",IF(W8="Centrefold","CF"))))</f>
        <v>G</v>
      </c>
      <c r="Y8" s="97"/>
    </row>
    <row r="9" spans="1:25" ht="20.149999999999999" customHeight="1" x14ac:dyDescent="0.9">
      <c r="A9" s="17" t="s">
        <v>48</v>
      </c>
      <c r="B9" s="128" t="s">
        <v>197</v>
      </c>
      <c r="C9" s="129"/>
      <c r="D9" s="136" t="str">
        <f>IF(K10="Middle","RUN 2 UP",IF(AND(O8="Centrefold Roll",B8=380),"RUN 2 UP",""))</f>
        <v/>
      </c>
      <c r="E9" s="102"/>
      <c r="F9" s="103"/>
      <c r="G9" s="17" t="s">
        <v>48</v>
      </c>
      <c r="H9" s="128" t="s">
        <v>193</v>
      </c>
      <c r="I9" s="129"/>
      <c r="J9" s="11" t="s">
        <v>55</v>
      </c>
      <c r="K9" s="64" t="s">
        <v>30</v>
      </c>
      <c r="L9" s="65"/>
      <c r="M9" s="30"/>
      <c r="N9" s="18"/>
      <c r="O9" s="104" t="str">
        <f>IF(O8="Poly Bag","PB",IF(O8="Poly Bag Roll","PBR",IF(O8="Centrefold Roll","CFR",IF(O8="Sheet","S",IF(O8="Sheet Roll","SR")))))</f>
        <v>PB</v>
      </c>
      <c r="P9" s="105"/>
      <c r="Q9" s="18"/>
      <c r="R9" s="31">
        <v>300</v>
      </c>
      <c r="S9" s="19" t="s">
        <v>78</v>
      </c>
      <c r="T9" s="31">
        <v>345</v>
      </c>
      <c r="U9" s="19" t="s">
        <v>78</v>
      </c>
      <c r="V9" s="31">
        <v>120</v>
      </c>
      <c r="W9" s="18"/>
      <c r="X9" s="90" t="s">
        <v>195</v>
      </c>
      <c r="Y9" s="91"/>
    </row>
    <row r="10" spans="1:25" ht="20.149999999999999" customHeight="1" x14ac:dyDescent="0.8">
      <c r="A10" s="11" t="s">
        <v>51</v>
      </c>
      <c r="B10" s="64">
        <v>8</v>
      </c>
      <c r="C10" s="65"/>
      <c r="D10" s="48" t="s">
        <v>134</v>
      </c>
      <c r="E10" s="130">
        <f>IF(ISNUMBER(SEARCH("sheet",O8,1)),((R9*T9*H8/540000)*U7/2000*1.3),((R9*T9*H8/540000)*U7/1000*1.08))</f>
        <v>149.04000000000002</v>
      </c>
      <c r="F10" s="131"/>
      <c r="G10" s="11" t="s">
        <v>53</v>
      </c>
      <c r="H10" s="134">
        <f>IF(ISNUMBER(SEARCH("sheet",O8,1)),(U7*T9/2000*1.08),(U7*T9/1000*1.08))</f>
        <v>2235.6000000000004</v>
      </c>
      <c r="I10" s="135"/>
      <c r="J10" s="11" t="s">
        <v>41</v>
      </c>
      <c r="K10" s="64" t="s">
        <v>44</v>
      </c>
      <c r="L10" s="65"/>
      <c r="M10" s="30"/>
      <c r="N10" s="14" t="s">
        <v>141</v>
      </c>
      <c r="O10" s="100" t="s">
        <v>188</v>
      </c>
      <c r="P10" s="101"/>
      <c r="Q10" s="14" t="s">
        <v>50</v>
      </c>
      <c r="R10" s="96" t="str">
        <f>IF(K11="NONE","None",IF(K11="INLINE","Yes",IF(K11="OUT OF LINE","Yes")))</f>
        <v>None</v>
      </c>
      <c r="S10" s="96"/>
      <c r="T10" s="14" t="s">
        <v>100</v>
      </c>
      <c r="U10" s="106" t="s">
        <v>202</v>
      </c>
      <c r="V10" s="106"/>
      <c r="W10" s="106"/>
      <c r="X10" s="106"/>
      <c r="Y10" s="107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1" t="s">
        <v>135</v>
      </c>
      <c r="E11" s="132">
        <f>E10/B10</f>
        <v>18.630000000000003</v>
      </c>
      <c r="F11" s="133"/>
      <c r="G11" s="11" t="s">
        <v>15</v>
      </c>
      <c r="H11" s="132">
        <f>H10/B10</f>
        <v>279.45000000000005</v>
      </c>
      <c r="I11" s="133"/>
      <c r="J11" s="11" t="s">
        <v>50</v>
      </c>
      <c r="K11" s="64" t="s">
        <v>44</v>
      </c>
      <c r="L11" s="65"/>
      <c r="M11" s="30"/>
      <c r="N11" s="13"/>
      <c r="O11" s="98" t="str">
        <f>IF(O10="NONE","","V")</f>
        <v>V</v>
      </c>
      <c r="P11" s="99"/>
      <c r="Q11" s="13"/>
      <c r="R11" s="98" t="str">
        <f>IF(R10="None","","P")</f>
        <v/>
      </c>
      <c r="S11" s="99"/>
      <c r="T11" s="13"/>
      <c r="U11" s="108"/>
      <c r="V11" s="108"/>
      <c r="W11" s="108"/>
      <c r="X11" s="108"/>
      <c r="Y11" s="109"/>
    </row>
    <row r="12" spans="1:25" ht="20.149999999999999" customHeight="1" x14ac:dyDescent="0.75">
      <c r="A12" s="86" t="s">
        <v>13</v>
      </c>
      <c r="B12" s="87"/>
      <c r="C12" s="87"/>
      <c r="D12" s="87"/>
      <c r="E12" s="75"/>
      <c r="F12" s="75"/>
      <c r="G12" s="75"/>
      <c r="H12" s="75"/>
      <c r="I12" s="75"/>
      <c r="J12" s="75"/>
      <c r="K12" s="75"/>
      <c r="L12" s="76"/>
      <c r="M12" s="30"/>
      <c r="N12" s="71" t="s">
        <v>71</v>
      </c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3"/>
    </row>
    <row r="13" spans="1:25" ht="20.149999999999999" customHeight="1" x14ac:dyDescent="0.8">
      <c r="A13" s="11" t="s">
        <v>68</v>
      </c>
      <c r="B13" s="64" t="s">
        <v>44</v>
      </c>
      <c r="C13" s="64"/>
      <c r="D13" s="65"/>
      <c r="E13" s="20" t="s">
        <v>61</v>
      </c>
      <c r="F13" s="64" t="s">
        <v>44</v>
      </c>
      <c r="G13" s="64"/>
      <c r="H13" s="65"/>
      <c r="I13" s="11" t="s">
        <v>62</v>
      </c>
      <c r="J13" s="64" t="s">
        <v>44</v>
      </c>
      <c r="K13" s="64"/>
      <c r="L13" s="65"/>
      <c r="M13" s="30"/>
      <c r="N13" s="11" t="s">
        <v>72</v>
      </c>
      <c r="O13" s="32" t="s">
        <v>77</v>
      </c>
      <c r="P13" s="11" t="s">
        <v>73</v>
      </c>
      <c r="Q13" s="21">
        <f>O7</f>
        <v>12</v>
      </c>
      <c r="R13" s="11" t="s">
        <v>74</v>
      </c>
      <c r="S13" s="32" t="s">
        <v>23</v>
      </c>
      <c r="T13" s="11" t="s">
        <v>178</v>
      </c>
      <c r="U13" s="21" t="str">
        <f>IF(S13="No","",(ROUNDUP(U7/W13/24,0)))</f>
        <v/>
      </c>
      <c r="V13" s="11" t="s">
        <v>75</v>
      </c>
      <c r="W13" s="60" t="str">
        <f>IF(AND((O17="LOOSE"),(NOT(O18="BUNDLE"))),"",IF(AND((O17="LINED"),(NOT(O18="BUNDLE"))),"",(IF(R7&lt;=500,"50",IF(R7&gt;500,"100")))))</f>
        <v>50</v>
      </c>
      <c r="X13" s="11" t="s">
        <v>76</v>
      </c>
      <c r="Y13" s="33"/>
    </row>
    <row r="14" spans="1:25" ht="20.149999999999999" customHeight="1" x14ac:dyDescent="0.9">
      <c r="A14" s="13" t="s">
        <v>60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30"/>
      <c r="N14" s="71" t="s">
        <v>110</v>
      </c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3"/>
    </row>
    <row r="15" spans="1:25" ht="20.149999999999999" customHeight="1" x14ac:dyDescent="0.75">
      <c r="A15" s="74" t="s">
        <v>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6"/>
      <c r="M15" s="30"/>
      <c r="N15" s="68" t="s">
        <v>108</v>
      </c>
      <c r="O15" s="69"/>
      <c r="P15" s="70"/>
      <c r="Q15" s="68" t="s">
        <v>107</v>
      </c>
      <c r="R15" s="69"/>
      <c r="S15" s="70"/>
      <c r="T15" s="68" t="s">
        <v>118</v>
      </c>
      <c r="U15" s="69"/>
      <c r="V15" s="70"/>
      <c r="W15" s="68" t="s">
        <v>117</v>
      </c>
      <c r="X15" s="69"/>
      <c r="Y15" s="70"/>
    </row>
    <row r="16" spans="1:25" ht="20.149999999999999" customHeight="1" x14ac:dyDescent="0.8">
      <c r="A16" s="68" t="s">
        <v>3</v>
      </c>
      <c r="B16" s="70"/>
      <c r="C16" s="68" t="s">
        <v>142</v>
      </c>
      <c r="D16" s="70"/>
      <c r="E16" s="149" t="s">
        <v>4</v>
      </c>
      <c r="F16" s="149"/>
      <c r="G16" s="149" t="s">
        <v>5</v>
      </c>
      <c r="H16" s="149"/>
      <c r="I16" s="69" t="s">
        <v>11</v>
      </c>
      <c r="J16" s="70"/>
      <c r="K16" s="69" t="s">
        <v>12</v>
      </c>
      <c r="L16" s="70"/>
      <c r="M16" s="30"/>
      <c r="N16" s="11" t="s">
        <v>28</v>
      </c>
      <c r="O16" s="64" t="s">
        <v>200</v>
      </c>
      <c r="P16" s="65"/>
      <c r="Q16" s="11" t="s">
        <v>105</v>
      </c>
      <c r="R16" s="64" t="s">
        <v>23</v>
      </c>
      <c r="S16" s="65"/>
      <c r="T16" s="12" t="s">
        <v>103</v>
      </c>
      <c r="U16" s="64" t="s">
        <v>31</v>
      </c>
      <c r="V16" s="65"/>
      <c r="W16" s="11" t="str">
        <f>IF(ISNUMBER(SEARCH("bag",O8,1)),"Total Bags","Total Sheets")</f>
        <v>Total Bags</v>
      </c>
      <c r="X16" s="66"/>
      <c r="Y16" s="67"/>
    </row>
    <row r="17" spans="1:25" ht="20.149999999999999" customHeight="1" x14ac:dyDescent="0.8">
      <c r="A17" s="63" t="s">
        <v>6</v>
      </c>
      <c r="B17" s="63"/>
      <c r="C17" s="94" t="s">
        <v>147</v>
      </c>
      <c r="D17" s="95"/>
      <c r="E17" s="61"/>
      <c r="F17" s="62"/>
      <c r="G17" s="49" t="s">
        <v>81</v>
      </c>
      <c r="H17" s="33"/>
      <c r="I17" s="61"/>
      <c r="J17" s="62"/>
      <c r="K17" s="61"/>
      <c r="L17" s="62"/>
      <c r="M17" s="30"/>
      <c r="N17" s="11" t="s">
        <v>26</v>
      </c>
      <c r="O17" s="64" t="s">
        <v>37</v>
      </c>
      <c r="P17" s="65"/>
      <c r="Q17" s="11" t="s">
        <v>104</v>
      </c>
      <c r="R17" s="64" t="s">
        <v>31</v>
      </c>
      <c r="S17" s="65"/>
      <c r="T17" s="12" t="str">
        <f>IF(ISNUMBER(SEARCH("roll",O8,1)),"Part Rolls","Part Ctns")</f>
        <v>Part Ctns</v>
      </c>
      <c r="U17" s="64" t="s">
        <v>31</v>
      </c>
      <c r="V17" s="65"/>
      <c r="W17" s="11" t="str">
        <f>IF(ISNUMBER(SEARCH("roll",O8,1)),"Total Rolls","Total Ctns")</f>
        <v>Total Ctns</v>
      </c>
      <c r="X17" s="66"/>
      <c r="Y17" s="67"/>
    </row>
    <row r="18" spans="1:25" ht="20.149999999999999" customHeight="1" x14ac:dyDescent="0.8">
      <c r="A18" s="63" t="s">
        <v>7</v>
      </c>
      <c r="B18" s="63"/>
      <c r="C18" s="94" t="s">
        <v>146</v>
      </c>
      <c r="D18" s="95"/>
      <c r="E18" s="61"/>
      <c r="F18" s="62"/>
      <c r="G18" s="49" t="s">
        <v>82</v>
      </c>
      <c r="H18" s="33"/>
      <c r="I18" s="61"/>
      <c r="J18" s="62"/>
      <c r="K18" s="61"/>
      <c r="L18" s="62"/>
      <c r="M18" s="30"/>
      <c r="N18" s="11" t="s">
        <v>101</v>
      </c>
      <c r="O18" s="64" t="s">
        <v>185</v>
      </c>
      <c r="P18" s="65"/>
      <c r="Q18" s="11" t="s">
        <v>106</v>
      </c>
      <c r="R18" s="64" t="s">
        <v>31</v>
      </c>
      <c r="S18" s="65"/>
      <c r="T18" s="22" t="s">
        <v>27</v>
      </c>
      <c r="U18" s="64" t="s">
        <v>36</v>
      </c>
      <c r="V18" s="65"/>
      <c r="W18" s="11" t="s">
        <v>109</v>
      </c>
      <c r="X18" s="66"/>
      <c r="Y18" s="67"/>
    </row>
    <row r="19" spans="1:25" ht="20.149999999999999" customHeight="1" x14ac:dyDescent="0.75">
      <c r="A19" s="63" t="s">
        <v>8</v>
      </c>
      <c r="B19" s="63"/>
      <c r="C19" s="94" t="s">
        <v>145</v>
      </c>
      <c r="D19" s="95"/>
      <c r="E19" s="61"/>
      <c r="F19" s="62"/>
      <c r="G19" s="49" t="s">
        <v>83</v>
      </c>
      <c r="H19" s="33"/>
      <c r="I19" s="61"/>
      <c r="J19" s="62"/>
      <c r="K19" s="61"/>
      <c r="L19" s="62"/>
      <c r="M19" s="30"/>
      <c r="N19" s="77" t="s">
        <v>204</v>
      </c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9"/>
    </row>
    <row r="20" spans="1:25" ht="20.149999999999999" customHeight="1" x14ac:dyDescent="0.75">
      <c r="A20" s="63" t="s">
        <v>9</v>
      </c>
      <c r="B20" s="63"/>
      <c r="C20" s="94" t="s">
        <v>144</v>
      </c>
      <c r="D20" s="95"/>
      <c r="E20" s="61"/>
      <c r="F20" s="62"/>
      <c r="G20" s="49" t="s">
        <v>84</v>
      </c>
      <c r="H20" s="33"/>
      <c r="I20" s="61"/>
      <c r="J20" s="62"/>
      <c r="K20" s="61"/>
      <c r="L20" s="62"/>
      <c r="M20" s="30"/>
      <c r="N20" s="80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2"/>
    </row>
    <row r="21" spans="1:25" ht="20.149999999999999" customHeight="1" x14ac:dyDescent="0.75">
      <c r="A21" s="63" t="s">
        <v>10</v>
      </c>
      <c r="B21" s="63"/>
      <c r="C21" s="94" t="s">
        <v>143</v>
      </c>
      <c r="D21" s="95"/>
      <c r="E21" s="61"/>
      <c r="F21" s="62"/>
      <c r="G21" s="49" t="s">
        <v>85</v>
      </c>
      <c r="H21" s="33"/>
      <c r="I21" s="61"/>
      <c r="J21" s="62"/>
      <c r="K21" s="61"/>
      <c r="L21" s="62"/>
      <c r="M21" s="30"/>
      <c r="N21" s="80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2"/>
    </row>
    <row r="22" spans="1:25" ht="20.149999999999999" customHeight="1" x14ac:dyDescent="0.75">
      <c r="A22" s="63" t="str">
        <f>(IF(B7="NATURAL","",B7))</f>
        <v>BLACK</v>
      </c>
      <c r="B22" s="63"/>
      <c r="C22" s="94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5"/>
      <c r="E22" s="61"/>
      <c r="F22" s="62"/>
      <c r="G22" s="49" t="s">
        <v>86</v>
      </c>
      <c r="H22" s="33"/>
      <c r="I22" s="61"/>
      <c r="J22" s="62"/>
      <c r="K22" s="61"/>
      <c r="L22" s="62"/>
      <c r="M22" s="30"/>
      <c r="N22" s="83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5"/>
    </row>
    <row r="23" spans="1:25" ht="20.149999999999999" customHeight="1" x14ac:dyDescent="0.75">
      <c r="A23" s="150" t="s">
        <v>196</v>
      </c>
      <c r="B23" s="150"/>
      <c r="C23" s="94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5"/>
      <c r="E23" s="61"/>
      <c r="F23" s="62"/>
      <c r="G23" s="49" t="s">
        <v>87</v>
      </c>
      <c r="H23" s="33"/>
      <c r="I23" s="61"/>
      <c r="J23" s="62"/>
      <c r="K23" s="61"/>
      <c r="L23" s="62"/>
      <c r="M23" s="30"/>
      <c r="N23" s="71" t="s">
        <v>133</v>
      </c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3"/>
    </row>
    <row r="24" spans="1:25" ht="20.149999999999999" customHeight="1" x14ac:dyDescent="0.75">
      <c r="A24" s="151"/>
      <c r="B24" s="152"/>
      <c r="C24" s="9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5"/>
      <c r="E24" s="61"/>
      <c r="F24" s="62"/>
      <c r="G24" s="49" t="s">
        <v>88</v>
      </c>
      <c r="H24" s="33"/>
      <c r="I24" s="61"/>
      <c r="J24" s="62"/>
      <c r="K24" s="61"/>
      <c r="L24" s="62"/>
      <c r="M24" s="30"/>
      <c r="N24" s="34"/>
      <c r="O24" s="23" t="s">
        <v>119</v>
      </c>
      <c r="P24" s="23" t="s">
        <v>129</v>
      </c>
      <c r="Q24" s="23" t="s">
        <v>120</v>
      </c>
      <c r="R24" s="23" t="s">
        <v>121</v>
      </c>
      <c r="S24" s="23" t="s">
        <v>122</v>
      </c>
      <c r="T24" s="23" t="s">
        <v>123</v>
      </c>
      <c r="U24" s="23" t="s">
        <v>124</v>
      </c>
      <c r="V24" s="23" t="s">
        <v>125</v>
      </c>
      <c r="W24" s="23" t="s">
        <v>126</v>
      </c>
      <c r="X24" s="23" t="s">
        <v>127</v>
      </c>
      <c r="Y24" s="23" t="s">
        <v>176</v>
      </c>
    </row>
    <row r="25" spans="1:25" ht="20.149999999999999" customHeight="1" x14ac:dyDescent="0.75">
      <c r="A25" s="74" t="s">
        <v>1</v>
      </c>
      <c r="B25" s="75"/>
      <c r="C25" s="75"/>
      <c r="D25" s="75"/>
      <c r="E25" s="75"/>
      <c r="F25" s="87"/>
      <c r="G25" s="87"/>
      <c r="H25" s="87"/>
      <c r="I25" s="87"/>
      <c r="J25" s="87"/>
      <c r="K25" s="75"/>
      <c r="L25" s="76"/>
      <c r="M25" s="30"/>
      <c r="N25" s="23" t="s">
        <v>96</v>
      </c>
      <c r="O25" s="10" t="s">
        <v>203</v>
      </c>
      <c r="P25" s="35"/>
      <c r="Q25" s="10">
        <v>21</v>
      </c>
      <c r="R25" s="10">
        <v>6</v>
      </c>
      <c r="S25" s="10">
        <v>1</v>
      </c>
      <c r="T25" s="10">
        <v>11</v>
      </c>
      <c r="U25" s="10"/>
      <c r="V25" s="10">
        <v>3</v>
      </c>
      <c r="W25" s="10">
        <v>230</v>
      </c>
      <c r="X25" s="10">
        <v>230</v>
      </c>
      <c r="Y25" s="10"/>
    </row>
    <row r="26" spans="1:25" ht="20.149999999999999" customHeight="1" x14ac:dyDescent="0.75">
      <c r="A26" s="24"/>
      <c r="B26" s="23" t="s">
        <v>180</v>
      </c>
      <c r="C26" s="23" t="s">
        <v>92</v>
      </c>
      <c r="D26" s="25" t="s">
        <v>90</v>
      </c>
      <c r="E26" s="25" t="s">
        <v>91</v>
      </c>
      <c r="F26" s="25" t="s">
        <v>93</v>
      </c>
      <c r="G26" s="93" t="s">
        <v>132</v>
      </c>
      <c r="H26" s="93"/>
      <c r="I26" s="93" t="s">
        <v>131</v>
      </c>
      <c r="J26" s="93"/>
      <c r="K26" s="25" t="s">
        <v>94</v>
      </c>
      <c r="L26" s="25" t="s">
        <v>95</v>
      </c>
      <c r="M26" s="30"/>
      <c r="N26" s="74" t="s">
        <v>137</v>
      </c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6"/>
    </row>
    <row r="27" spans="1:25" ht="20.149999999999999" customHeight="1" x14ac:dyDescent="0.75">
      <c r="A27" s="23" t="s">
        <v>96</v>
      </c>
      <c r="B27" s="7"/>
      <c r="C27" s="7"/>
      <c r="D27" s="7"/>
      <c r="E27" s="8"/>
      <c r="F27" s="7"/>
      <c r="G27" s="92"/>
      <c r="H27" s="92"/>
      <c r="I27" s="92"/>
      <c r="J27" s="92"/>
      <c r="K27" s="7"/>
      <c r="L27" s="10"/>
      <c r="M27" s="30"/>
      <c r="N27" s="25" t="s">
        <v>182</v>
      </c>
      <c r="O27" s="25" t="s">
        <v>21</v>
      </c>
      <c r="P27" s="25" t="s">
        <v>17</v>
      </c>
      <c r="Q27" s="25" t="s">
        <v>14</v>
      </c>
      <c r="R27" s="25" t="s">
        <v>128</v>
      </c>
      <c r="S27" s="25" t="s">
        <v>129</v>
      </c>
      <c r="T27" s="25" t="s">
        <v>112</v>
      </c>
      <c r="U27" s="25" t="s">
        <v>130</v>
      </c>
      <c r="V27" s="25" t="s">
        <v>116</v>
      </c>
      <c r="W27" s="25" t="s">
        <v>190</v>
      </c>
      <c r="X27" s="25" t="s">
        <v>191</v>
      </c>
      <c r="Y27" s="25" t="s">
        <v>22</v>
      </c>
    </row>
    <row r="28" spans="1:25" ht="20.149999999999999" customHeight="1" x14ac:dyDescent="0.75">
      <c r="A28" s="23" t="s">
        <v>97</v>
      </c>
      <c r="B28" s="7"/>
      <c r="C28" s="7"/>
      <c r="D28" s="7"/>
      <c r="E28" s="9"/>
      <c r="F28" s="7"/>
      <c r="G28" s="92"/>
      <c r="H28" s="92"/>
      <c r="I28" s="92"/>
      <c r="J28" s="92"/>
      <c r="K28" s="7"/>
      <c r="L28" s="10"/>
      <c r="M28" s="30"/>
      <c r="N28" s="50">
        <v>1</v>
      </c>
      <c r="O28" s="6"/>
      <c r="P28" s="6"/>
      <c r="Q28" s="6"/>
      <c r="R28" s="6"/>
      <c r="S28" s="6"/>
      <c r="T28" s="34"/>
      <c r="U28" s="6"/>
      <c r="V28" s="6"/>
      <c r="W28" s="6"/>
      <c r="X28" s="6"/>
      <c r="Y28" s="6"/>
    </row>
    <row r="29" spans="1:25" ht="20.149999999999999" customHeight="1" x14ac:dyDescent="0.75">
      <c r="A29" s="86" t="s">
        <v>99</v>
      </c>
      <c r="B29" s="87"/>
      <c r="C29" s="87"/>
      <c r="D29" s="87"/>
      <c r="E29" s="87"/>
      <c r="F29" s="88"/>
      <c r="G29" s="88"/>
      <c r="H29" s="88"/>
      <c r="I29" s="88"/>
      <c r="J29" s="88"/>
      <c r="K29" s="87"/>
      <c r="L29" s="89"/>
      <c r="M29" s="30"/>
      <c r="N29" s="50">
        <v>2</v>
      </c>
      <c r="O29" s="6"/>
      <c r="P29" s="6"/>
      <c r="Q29" s="6"/>
      <c r="R29" s="6"/>
      <c r="S29" s="6"/>
      <c r="T29" s="34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6"/>
      <c r="C30" s="33"/>
      <c r="D30" s="12" t="s">
        <v>92</v>
      </c>
      <c r="E30" s="37"/>
      <c r="F30" s="33"/>
      <c r="G30" s="27" t="s">
        <v>98</v>
      </c>
      <c r="H30" s="38"/>
      <c r="I30" s="38"/>
      <c r="J30" s="39"/>
      <c r="K30" s="38"/>
      <c r="L30" s="40"/>
      <c r="M30" s="30"/>
      <c r="N30" s="50">
        <v>3</v>
      </c>
      <c r="O30" s="6"/>
      <c r="P30" s="6"/>
      <c r="Q30" s="6"/>
      <c r="R30" s="6"/>
      <c r="S30" s="6"/>
      <c r="T30" s="34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6"/>
      <c r="C31" s="33"/>
      <c r="D31" s="12" t="s">
        <v>112</v>
      </c>
      <c r="E31" s="37"/>
      <c r="F31" s="41"/>
      <c r="G31" s="12" t="s">
        <v>98</v>
      </c>
      <c r="H31" s="37"/>
      <c r="I31" s="37"/>
      <c r="J31" s="37"/>
      <c r="K31" s="37"/>
      <c r="L31" s="33"/>
      <c r="M31" s="30"/>
      <c r="N31" s="50">
        <v>4</v>
      </c>
      <c r="O31" s="6"/>
      <c r="P31" s="6"/>
      <c r="Q31" s="6"/>
      <c r="R31" s="6"/>
      <c r="S31" s="6"/>
      <c r="T31" s="34"/>
      <c r="U31" s="6"/>
      <c r="V31" s="6"/>
      <c r="W31" s="6"/>
      <c r="X31" s="6"/>
      <c r="Y31" s="6"/>
    </row>
    <row r="32" spans="1:25" ht="20.149999999999999" customHeight="1" x14ac:dyDescent="0.75">
      <c r="A32" s="28" t="s">
        <v>113</v>
      </c>
      <c r="B32" s="42"/>
      <c r="C32" s="40"/>
      <c r="D32" s="28" t="s">
        <v>89</v>
      </c>
      <c r="E32" s="38"/>
      <c r="F32" s="40"/>
      <c r="G32" s="28" t="s">
        <v>111</v>
      </c>
      <c r="H32" s="38"/>
      <c r="I32" s="38"/>
      <c r="J32" s="38"/>
      <c r="K32" s="38"/>
      <c r="L32" s="40"/>
      <c r="M32" s="30"/>
      <c r="N32" s="51">
        <v>5</v>
      </c>
      <c r="O32" s="44"/>
      <c r="P32" s="44"/>
      <c r="Q32" s="44"/>
      <c r="R32" s="44"/>
      <c r="S32" s="44"/>
      <c r="T32" s="45"/>
      <c r="U32" s="44"/>
      <c r="V32" s="44"/>
      <c r="W32" s="44"/>
      <c r="X32" s="44"/>
      <c r="Y32" s="44"/>
    </row>
    <row r="33" spans="1:25" ht="20.149999999999999" customHeight="1" x14ac:dyDescent="0.75">
      <c r="A33" s="137" t="s">
        <v>116</v>
      </c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9"/>
      <c r="M33" s="30"/>
      <c r="N33" s="50">
        <v>6</v>
      </c>
      <c r="O33" s="6"/>
      <c r="P33" s="6"/>
      <c r="Q33" s="6"/>
      <c r="R33" s="6"/>
      <c r="S33" s="6"/>
      <c r="T33" s="34"/>
      <c r="U33" s="6"/>
      <c r="V33" s="6"/>
      <c r="W33" s="6"/>
      <c r="X33" s="6"/>
      <c r="Y33" s="6"/>
    </row>
    <row r="34" spans="1:25" ht="20.149999999999999" customHeight="1" x14ac:dyDescent="0.75">
      <c r="A34" s="140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2"/>
      <c r="M34" s="30"/>
      <c r="N34" s="50">
        <v>7</v>
      </c>
      <c r="O34" s="6"/>
      <c r="P34" s="6"/>
      <c r="Q34" s="6"/>
      <c r="R34" s="6"/>
      <c r="S34" s="6"/>
      <c r="T34" s="34"/>
      <c r="U34" s="6"/>
      <c r="V34" s="6"/>
      <c r="W34" s="6"/>
      <c r="X34" s="6"/>
      <c r="Y34" s="6"/>
    </row>
    <row r="35" spans="1:25" ht="20.149999999999999" customHeight="1" x14ac:dyDescent="0.75">
      <c r="A35" s="143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5"/>
      <c r="M35" s="30"/>
      <c r="N35" s="50">
        <v>8</v>
      </c>
      <c r="O35" s="6"/>
      <c r="P35" s="6"/>
      <c r="Q35" s="6"/>
      <c r="R35" s="6"/>
      <c r="S35" s="6"/>
      <c r="T35" s="34"/>
      <c r="U35" s="6"/>
      <c r="V35" s="6"/>
      <c r="W35" s="6"/>
      <c r="X35" s="6"/>
      <c r="Y35" s="6"/>
    </row>
    <row r="36" spans="1:25" ht="20.149999999999999" customHeight="1" x14ac:dyDescent="0.75">
      <c r="A36" s="146" t="s">
        <v>136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8"/>
      <c r="M36" s="30"/>
      <c r="N36" s="50">
        <v>9</v>
      </c>
      <c r="O36" s="6"/>
      <c r="P36" s="6"/>
      <c r="Q36" s="6"/>
      <c r="R36" s="6"/>
      <c r="S36" s="6"/>
      <c r="T36" s="34"/>
      <c r="U36" s="6"/>
      <c r="V36" s="6"/>
      <c r="W36" s="6"/>
      <c r="X36" s="6"/>
      <c r="Y36" s="6"/>
    </row>
    <row r="37" spans="1:25" ht="20.149999999999999" customHeight="1" x14ac:dyDescent="0.75">
      <c r="A37" s="25" t="s">
        <v>14</v>
      </c>
      <c r="B37" s="1" t="s">
        <v>21</v>
      </c>
      <c r="C37" s="25" t="s">
        <v>135</v>
      </c>
      <c r="D37" s="25" t="s">
        <v>15</v>
      </c>
      <c r="E37" s="25" t="s">
        <v>16</v>
      </c>
      <c r="F37" s="25" t="s">
        <v>52</v>
      </c>
      <c r="G37" s="29" t="s">
        <v>17</v>
      </c>
      <c r="H37" s="29" t="s">
        <v>18</v>
      </c>
      <c r="I37" s="26" t="s">
        <v>29</v>
      </c>
      <c r="J37" s="25" t="s">
        <v>19</v>
      </c>
      <c r="K37" s="25" t="s">
        <v>20</v>
      </c>
      <c r="L37" s="25" t="s">
        <v>22</v>
      </c>
      <c r="M37" s="30"/>
      <c r="N37" s="51">
        <v>10</v>
      </c>
      <c r="O37" s="44"/>
      <c r="P37" s="44"/>
      <c r="Q37" s="44"/>
      <c r="R37" s="44"/>
      <c r="S37" s="44"/>
      <c r="T37" s="45"/>
      <c r="U37" s="44"/>
      <c r="V37" s="44"/>
      <c r="W37" s="44"/>
      <c r="X37" s="44"/>
      <c r="Y37" s="44"/>
    </row>
    <row r="38" spans="1:25" ht="20.149999999999999" customHeight="1" x14ac:dyDescent="0.75">
      <c r="A38" s="23">
        <v>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0"/>
      <c r="N38" s="50">
        <v>11</v>
      </c>
      <c r="O38" s="6"/>
      <c r="P38" s="6"/>
      <c r="Q38" s="6"/>
      <c r="R38" s="6"/>
      <c r="S38" s="6"/>
      <c r="T38" s="34"/>
      <c r="U38" s="6"/>
      <c r="V38" s="6"/>
      <c r="W38" s="6"/>
      <c r="X38" s="6"/>
      <c r="Y38" s="6"/>
    </row>
    <row r="39" spans="1:25" ht="20.149999999999999" customHeight="1" x14ac:dyDescent="0.75">
      <c r="A39" s="23">
        <v>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0"/>
      <c r="N39" s="50">
        <v>12</v>
      </c>
      <c r="O39" s="6"/>
      <c r="P39" s="6"/>
      <c r="Q39" s="6"/>
      <c r="R39" s="6"/>
      <c r="S39" s="6"/>
      <c r="T39" s="34"/>
      <c r="U39" s="6"/>
      <c r="V39" s="6"/>
      <c r="W39" s="6"/>
      <c r="X39" s="6"/>
      <c r="Y39" s="6"/>
    </row>
    <row r="40" spans="1:25" ht="20.149999999999999" customHeight="1" x14ac:dyDescent="0.75">
      <c r="A40" s="23">
        <v>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0"/>
      <c r="N40" s="50">
        <v>13</v>
      </c>
      <c r="O40" s="6"/>
      <c r="P40" s="6"/>
      <c r="Q40" s="6"/>
      <c r="R40" s="6"/>
      <c r="S40" s="6"/>
      <c r="T40" s="34"/>
      <c r="U40" s="6"/>
      <c r="V40" s="6"/>
      <c r="W40" s="6"/>
      <c r="X40" s="6"/>
      <c r="Y40" s="6"/>
    </row>
    <row r="41" spans="1:25" ht="20.149999999999999" customHeight="1" x14ac:dyDescent="0.75">
      <c r="A41" s="23">
        <v>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0"/>
      <c r="N41" s="50">
        <v>14</v>
      </c>
      <c r="O41" s="6"/>
      <c r="P41" s="6"/>
      <c r="Q41" s="6"/>
      <c r="R41" s="6"/>
      <c r="S41" s="6"/>
      <c r="T41" s="34"/>
      <c r="U41" s="6"/>
      <c r="V41" s="6"/>
      <c r="W41" s="6"/>
      <c r="X41" s="6"/>
      <c r="Y41" s="6"/>
    </row>
    <row r="42" spans="1:25" ht="20.149999999999999" customHeight="1" x14ac:dyDescent="0.75">
      <c r="A42" s="47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4"/>
      <c r="P42" s="44"/>
      <c r="Q42" s="44"/>
      <c r="R42" s="44"/>
      <c r="S42" s="44"/>
      <c r="T42" s="45"/>
      <c r="U42" s="44"/>
      <c r="V42" s="44"/>
      <c r="W42" s="44"/>
      <c r="X42" s="44"/>
      <c r="Y42" s="44"/>
    </row>
    <row r="43" spans="1:25" ht="20.149999999999999" customHeight="1" x14ac:dyDescent="0.75">
      <c r="N43" s="52"/>
    </row>
    <row r="44" spans="1:25" ht="20.149999999999999" customHeight="1" x14ac:dyDescent="0.75">
      <c r="A44" s="25" t="s">
        <v>14</v>
      </c>
      <c r="B44" s="23" t="s">
        <v>21</v>
      </c>
      <c r="C44" s="25" t="s">
        <v>135</v>
      </c>
      <c r="D44" s="25" t="s">
        <v>15</v>
      </c>
      <c r="E44" s="25" t="s">
        <v>16</v>
      </c>
      <c r="F44" s="25" t="s">
        <v>52</v>
      </c>
      <c r="G44" s="29" t="s">
        <v>17</v>
      </c>
      <c r="H44" s="29" t="s">
        <v>18</v>
      </c>
      <c r="I44" s="25" t="s">
        <v>29</v>
      </c>
      <c r="J44" s="25" t="s">
        <v>19</v>
      </c>
      <c r="K44" s="25" t="s">
        <v>20</v>
      </c>
      <c r="L44" s="25" t="s">
        <v>22</v>
      </c>
      <c r="N44" s="25" t="s">
        <v>182</v>
      </c>
      <c r="O44" s="25" t="s">
        <v>21</v>
      </c>
      <c r="P44" s="25" t="s">
        <v>17</v>
      </c>
      <c r="Q44" s="25" t="s">
        <v>14</v>
      </c>
      <c r="R44" s="25" t="s">
        <v>128</v>
      </c>
      <c r="S44" s="25" t="s">
        <v>129</v>
      </c>
      <c r="T44" s="25" t="s">
        <v>112</v>
      </c>
      <c r="U44" s="25" t="s">
        <v>130</v>
      </c>
      <c r="V44" s="25" t="s">
        <v>116</v>
      </c>
      <c r="W44" s="25" t="s">
        <v>190</v>
      </c>
      <c r="X44" s="25" t="s">
        <v>191</v>
      </c>
      <c r="Y44" s="25" t="s">
        <v>22</v>
      </c>
    </row>
    <row r="45" spans="1:25" ht="20.149999999999999" customHeight="1" x14ac:dyDescent="0.75">
      <c r="A45" s="23">
        <v>6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N45" s="50">
        <v>16</v>
      </c>
      <c r="O45" s="6"/>
      <c r="P45" s="6"/>
      <c r="Q45" s="6"/>
      <c r="R45" s="6"/>
      <c r="S45" s="6"/>
      <c r="T45" s="34"/>
      <c r="U45" s="6"/>
      <c r="V45" s="6"/>
      <c r="W45" s="6"/>
      <c r="X45" s="6"/>
      <c r="Y45" s="6"/>
    </row>
    <row r="46" spans="1:25" ht="20.149999999999999" customHeight="1" x14ac:dyDescent="0.75">
      <c r="A46" s="23">
        <v>7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N46" s="50">
        <v>17</v>
      </c>
      <c r="O46" s="6"/>
      <c r="P46" s="6"/>
      <c r="Q46" s="6"/>
      <c r="R46" s="6"/>
      <c r="S46" s="6"/>
      <c r="T46" s="34"/>
      <c r="U46" s="6"/>
      <c r="V46" s="6"/>
      <c r="W46" s="6"/>
      <c r="X46" s="6"/>
      <c r="Y46" s="6"/>
    </row>
    <row r="47" spans="1:25" ht="20.149999999999999" customHeight="1" x14ac:dyDescent="0.75">
      <c r="A47" s="23">
        <v>8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50">
        <v>18</v>
      </c>
      <c r="O47" s="6"/>
      <c r="P47" s="6"/>
      <c r="Q47" s="6"/>
      <c r="R47" s="6"/>
      <c r="S47" s="6"/>
      <c r="T47" s="34"/>
      <c r="U47" s="6"/>
      <c r="V47" s="6"/>
      <c r="W47" s="6"/>
      <c r="X47" s="6"/>
      <c r="Y47" s="6"/>
    </row>
    <row r="48" spans="1:25" ht="20.149999999999999" customHeight="1" x14ac:dyDescent="0.75">
      <c r="A48" s="23">
        <v>9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50">
        <v>19</v>
      </c>
      <c r="O48" s="6"/>
      <c r="P48" s="6"/>
      <c r="Q48" s="6"/>
      <c r="R48" s="6"/>
      <c r="S48" s="6"/>
      <c r="T48" s="34"/>
      <c r="U48" s="6"/>
      <c r="V48" s="6"/>
      <c r="W48" s="6"/>
      <c r="X48" s="6"/>
      <c r="Y48" s="6"/>
    </row>
    <row r="49" spans="1:25" ht="20.149999999999999" customHeight="1" x14ac:dyDescent="0.75">
      <c r="A49" s="47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4"/>
      <c r="P49" s="44"/>
      <c r="Q49" s="44"/>
      <c r="R49" s="44"/>
      <c r="S49" s="44"/>
      <c r="T49" s="45"/>
      <c r="U49" s="44"/>
      <c r="V49" s="44"/>
      <c r="W49" s="44"/>
      <c r="X49" s="44"/>
      <c r="Y49" s="44"/>
    </row>
    <row r="50" spans="1:25" ht="20.149999999999999" customHeight="1" x14ac:dyDescent="0.75">
      <c r="A50" s="23">
        <v>11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N50" s="50">
        <v>21</v>
      </c>
      <c r="O50" s="6"/>
      <c r="P50" s="6"/>
      <c r="Q50" s="6"/>
      <c r="R50" s="6"/>
      <c r="S50" s="6"/>
      <c r="T50" s="34"/>
      <c r="U50" s="6"/>
      <c r="V50" s="6"/>
      <c r="W50" s="6"/>
      <c r="X50" s="6"/>
      <c r="Y50" s="6"/>
    </row>
    <row r="51" spans="1:25" ht="20.149999999999999" customHeight="1" x14ac:dyDescent="0.75">
      <c r="A51" s="23">
        <v>12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N51" s="50">
        <v>22</v>
      </c>
      <c r="O51" s="6"/>
      <c r="P51" s="6"/>
      <c r="Q51" s="6"/>
      <c r="R51" s="6"/>
      <c r="S51" s="6"/>
      <c r="T51" s="34"/>
      <c r="U51" s="6"/>
      <c r="V51" s="6"/>
      <c r="W51" s="6"/>
      <c r="X51" s="6"/>
      <c r="Y51" s="6"/>
    </row>
    <row r="52" spans="1:25" ht="20.149999999999999" customHeight="1" x14ac:dyDescent="0.75">
      <c r="A52" s="23">
        <v>13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N52" s="50">
        <v>23</v>
      </c>
      <c r="O52" s="6"/>
      <c r="P52" s="6"/>
      <c r="Q52" s="6"/>
      <c r="R52" s="6"/>
      <c r="S52" s="6"/>
      <c r="T52" s="34"/>
      <c r="U52" s="6"/>
      <c r="V52" s="6"/>
      <c r="W52" s="6"/>
      <c r="X52" s="6"/>
      <c r="Y52" s="6"/>
    </row>
    <row r="53" spans="1:25" ht="20.149999999999999" customHeight="1" x14ac:dyDescent="0.75">
      <c r="A53" s="23">
        <v>14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N53" s="50">
        <v>24</v>
      </c>
      <c r="O53" s="6"/>
      <c r="P53" s="6"/>
      <c r="Q53" s="6"/>
      <c r="R53" s="6"/>
      <c r="S53" s="6"/>
      <c r="T53" s="34"/>
      <c r="U53" s="6"/>
      <c r="V53" s="6"/>
      <c r="W53" s="6"/>
      <c r="X53" s="6"/>
      <c r="Y53" s="6"/>
    </row>
    <row r="54" spans="1:25" ht="20.149999999999999" customHeight="1" x14ac:dyDescent="0.75">
      <c r="A54" s="47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51">
        <v>25</v>
      </c>
      <c r="O54" s="44"/>
      <c r="P54" s="44"/>
      <c r="Q54" s="44"/>
      <c r="R54" s="44"/>
      <c r="S54" s="44"/>
      <c r="T54" s="45"/>
      <c r="U54" s="44"/>
      <c r="V54" s="44"/>
      <c r="W54" s="44"/>
      <c r="X54" s="44"/>
      <c r="Y54" s="44"/>
    </row>
    <row r="55" spans="1:25" ht="20.149999999999999" customHeight="1" x14ac:dyDescent="0.75">
      <c r="A55" s="23">
        <v>16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N55" s="50">
        <v>26</v>
      </c>
      <c r="O55" s="6"/>
      <c r="P55" s="6"/>
      <c r="Q55" s="6"/>
      <c r="R55" s="6"/>
      <c r="S55" s="6"/>
      <c r="T55" s="34"/>
      <c r="U55" s="6"/>
      <c r="V55" s="6"/>
      <c r="W55" s="6"/>
      <c r="X55" s="6"/>
      <c r="Y55" s="6"/>
    </row>
    <row r="56" spans="1:25" ht="20.149999999999999" customHeight="1" x14ac:dyDescent="0.75">
      <c r="A56" s="23">
        <v>17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N56" s="50">
        <v>27</v>
      </c>
      <c r="O56" s="6"/>
      <c r="P56" s="6"/>
      <c r="Q56" s="6"/>
      <c r="R56" s="6"/>
      <c r="S56" s="6"/>
      <c r="T56" s="34"/>
      <c r="U56" s="6"/>
      <c r="V56" s="6"/>
      <c r="W56" s="6"/>
      <c r="X56" s="6"/>
      <c r="Y56" s="6"/>
    </row>
    <row r="57" spans="1:25" ht="20.149999999999999" customHeight="1" x14ac:dyDescent="0.75">
      <c r="A57" s="23">
        <v>18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N57" s="50">
        <v>28</v>
      </c>
      <c r="O57" s="6"/>
      <c r="P57" s="6"/>
      <c r="Q57" s="6"/>
      <c r="R57" s="6"/>
      <c r="S57" s="6"/>
      <c r="T57" s="34"/>
      <c r="U57" s="6"/>
      <c r="V57" s="6"/>
      <c r="W57" s="6"/>
      <c r="X57" s="6"/>
      <c r="Y57" s="6"/>
    </row>
    <row r="58" spans="1:25" ht="20.149999999999999" customHeight="1" x14ac:dyDescent="0.75">
      <c r="A58" s="23">
        <v>19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N58" s="50">
        <v>29</v>
      </c>
      <c r="O58" s="6"/>
      <c r="P58" s="6"/>
      <c r="Q58" s="6"/>
      <c r="R58" s="6"/>
      <c r="S58" s="6"/>
      <c r="T58" s="34"/>
      <c r="U58" s="6"/>
      <c r="V58" s="6"/>
      <c r="W58" s="6"/>
      <c r="X58" s="6"/>
      <c r="Y58" s="6"/>
    </row>
    <row r="59" spans="1:25" ht="20.149999999999999" customHeight="1" x14ac:dyDescent="0.75">
      <c r="A59" s="47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51">
        <v>30</v>
      </c>
      <c r="O59" s="44"/>
      <c r="P59" s="44"/>
      <c r="Q59" s="44"/>
      <c r="R59" s="44"/>
      <c r="S59" s="44"/>
      <c r="T59" s="45"/>
      <c r="U59" s="44"/>
      <c r="V59" s="44"/>
      <c r="W59" s="44"/>
      <c r="X59" s="44"/>
      <c r="Y59" s="44"/>
    </row>
    <row r="60" spans="1:25" ht="20.149999999999999" customHeight="1" x14ac:dyDescent="0.75">
      <c r="A60" s="23">
        <v>21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N60" s="53">
        <v>31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20.149999999999999" customHeight="1" x14ac:dyDescent="0.75">
      <c r="A61" s="23">
        <v>22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N61" s="53">
        <v>32</v>
      </c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20.149999999999999" customHeight="1" x14ac:dyDescent="0.75">
      <c r="A62" s="23">
        <v>23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N62" s="53">
        <v>33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20.149999999999999" customHeight="1" x14ac:dyDescent="0.75">
      <c r="A63" s="23">
        <v>24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N63" s="53">
        <v>34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20.149999999999999" customHeight="1" x14ac:dyDescent="0.75">
      <c r="A64" s="47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4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49999999999999" customHeight="1" x14ac:dyDescent="0.75">
      <c r="A65" s="23">
        <v>26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N65" s="53">
        <v>36</v>
      </c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20.149999999999999" customHeight="1" x14ac:dyDescent="0.75">
      <c r="A66" s="23">
        <v>27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N66" s="53">
        <v>37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20.149999999999999" customHeight="1" x14ac:dyDescent="0.75">
      <c r="A67" s="23">
        <v>28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N67" s="53">
        <v>38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20.149999999999999" customHeight="1" x14ac:dyDescent="0.75">
      <c r="A68" s="23">
        <v>29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N68" s="53">
        <v>39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20.149999999999999" customHeight="1" x14ac:dyDescent="0.75">
      <c r="A69" s="47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4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49999999999999" customHeight="1" x14ac:dyDescent="0.75">
      <c r="A70" s="23">
        <v>31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N70" s="53">
        <v>41</v>
      </c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20.149999999999999" customHeight="1" x14ac:dyDescent="0.75">
      <c r="A71" s="23">
        <v>32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N71" s="53">
        <v>42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20.149999999999999" customHeight="1" x14ac:dyDescent="0.75">
      <c r="A72" s="23">
        <v>33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N72" s="53">
        <v>43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20.149999999999999" customHeight="1" x14ac:dyDescent="0.75">
      <c r="A73" s="23">
        <v>34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N73" s="53">
        <v>44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20.149999999999999" customHeight="1" x14ac:dyDescent="0.75">
      <c r="A74" s="47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4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49999999999999" customHeight="1" x14ac:dyDescent="0.75">
      <c r="A75" s="23">
        <v>36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N75" s="53">
        <v>46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20.149999999999999" customHeight="1" x14ac:dyDescent="0.75">
      <c r="A76" s="23">
        <v>37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N76" s="53">
        <v>47</v>
      </c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20.149999999999999" customHeight="1" x14ac:dyDescent="0.75">
      <c r="A77" s="23">
        <v>38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N77" s="53">
        <v>48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20.149999999999999" customHeight="1" x14ac:dyDescent="0.75">
      <c r="A78" s="23">
        <v>39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N78" s="53">
        <v>49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20.149999999999999" customHeight="1" x14ac:dyDescent="0.75">
      <c r="A79" s="47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4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49999999999999" customHeight="1" x14ac:dyDescent="0.75">
      <c r="A80" s="23">
        <v>41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N80" s="53">
        <v>51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20.149999999999999" customHeight="1" x14ac:dyDescent="0.75">
      <c r="A81" s="23">
        <v>42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N81" s="53">
        <v>52</v>
      </c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20.149999999999999" customHeight="1" x14ac:dyDescent="0.75">
      <c r="A82" s="23">
        <v>43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N82" s="53">
        <v>53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20.149999999999999" customHeight="1" x14ac:dyDescent="0.75">
      <c r="A83" s="23">
        <v>44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N83" s="53">
        <v>54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20.149999999999999" customHeight="1" x14ac:dyDescent="0.75">
      <c r="A84" s="47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4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49999999999999" customHeight="1" x14ac:dyDescent="0.75">
      <c r="A85" s="23">
        <v>46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N85" s="53">
        <v>56</v>
      </c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="90" zoomScaleNormal="90" workbookViewId="0">
      <selection activeCell="N34" sqref="N34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"/>
      <c r="P2" s="1"/>
      <c r="Q2" s="1"/>
      <c r="R2" s="1"/>
      <c r="S2" s="1"/>
      <c r="T2" s="1"/>
      <c r="U2" s="1"/>
      <c r="V2" s="1"/>
    </row>
    <row r="3" spans="1:22" x14ac:dyDescent="0.75">
      <c r="A3" s="58" t="s">
        <v>59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58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45241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45231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198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</row>
    <row r="8" spans="1:22" x14ac:dyDescent="0.75">
      <c r="A8" s="57" t="s">
        <v>49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58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5" t="s">
        <v>163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5" t="s">
        <v>177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6" t="s">
        <v>155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6" t="s">
        <v>148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57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6" t="s">
        <v>149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6" t="s">
        <v>150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6" t="s">
        <v>151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6" t="s">
        <v>152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57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6" t="s">
        <v>153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6" t="s">
        <v>174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6" t="s">
        <v>154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55"/>
      <c r="N19" s="22" t="s">
        <v>199</v>
      </c>
      <c r="T19" s="1"/>
      <c r="V19" s="1"/>
    </row>
    <row r="20" spans="1:23" x14ac:dyDescent="0.75">
      <c r="A20" s="56" t="s">
        <v>156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55"/>
      <c r="N20" s="22" t="s">
        <v>166</v>
      </c>
      <c r="T20" s="1"/>
      <c r="V20" s="1"/>
    </row>
    <row r="21" spans="1:23" x14ac:dyDescent="0.75">
      <c r="A21" s="56" t="s">
        <v>157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55"/>
      <c r="N21" s="22" t="s">
        <v>167</v>
      </c>
      <c r="T21" s="1"/>
      <c r="V21" s="1"/>
      <c r="W21" s="2"/>
    </row>
    <row r="22" spans="1:23" x14ac:dyDescent="0.75">
      <c r="A22" s="56" t="s">
        <v>158</v>
      </c>
      <c r="B22" s="22"/>
      <c r="C22" s="22"/>
      <c r="D22" s="22"/>
      <c r="E22" s="5"/>
      <c r="F22" s="22"/>
      <c r="G22" s="5"/>
      <c r="H22" s="22"/>
      <c r="I22" s="5"/>
      <c r="J22" s="22"/>
      <c r="K22" s="22"/>
      <c r="L22" s="22"/>
      <c r="M22" s="55"/>
      <c r="N22" s="55"/>
      <c r="T22" s="1"/>
      <c r="V22" s="1"/>
      <c r="W22" s="2"/>
    </row>
    <row r="23" spans="1:23" x14ac:dyDescent="0.75">
      <c r="A23" s="56" t="s">
        <v>159</v>
      </c>
      <c r="B23" s="22"/>
      <c r="C23" s="22"/>
      <c r="D23" s="22"/>
      <c r="E23" s="5"/>
      <c r="F23" s="22"/>
      <c r="G23" s="5"/>
      <c r="H23" s="22"/>
      <c r="I23" s="22"/>
      <c r="J23" s="22"/>
      <c r="K23" s="22"/>
      <c r="L23" s="22"/>
      <c r="M23" s="55"/>
      <c r="N23" s="57" t="s">
        <v>141</v>
      </c>
      <c r="T23" s="1"/>
      <c r="V23" s="1"/>
      <c r="W23" s="2"/>
    </row>
    <row r="24" spans="1:23" x14ac:dyDescent="0.75">
      <c r="A24" s="56" t="s">
        <v>160</v>
      </c>
      <c r="B24" s="22"/>
      <c r="C24" s="22"/>
      <c r="D24" s="22"/>
      <c r="E24" s="5"/>
      <c r="F24" s="22"/>
      <c r="G24" s="22"/>
      <c r="H24" s="22"/>
      <c r="I24" s="22"/>
      <c r="J24" s="22"/>
      <c r="K24" s="22"/>
      <c r="L24" s="22"/>
      <c r="M24" s="22"/>
      <c r="N24" s="2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6" t="s">
        <v>161</v>
      </c>
      <c r="B25" s="22"/>
      <c r="C25" s="22"/>
      <c r="D25" s="22"/>
      <c r="E25" s="5"/>
      <c r="F25" s="22"/>
      <c r="G25" s="22"/>
      <c r="H25" s="22"/>
      <c r="I25" s="22"/>
      <c r="J25" s="22"/>
      <c r="K25" s="22"/>
      <c r="L25" s="22"/>
      <c r="M25" s="22"/>
      <c r="N25" s="2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6" t="s">
        <v>162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6" t="s">
        <v>175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6" t="s">
        <v>184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 t="s">
        <v>140</v>
      </c>
      <c r="U28" s="1"/>
      <c r="V28" s="1"/>
    </row>
    <row r="29" spans="1:23" x14ac:dyDescent="0.75">
      <c r="A29" s="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55"/>
      <c r="U29" s="1"/>
      <c r="V29" s="1"/>
    </row>
    <row r="30" spans="1:23" x14ac:dyDescent="0.75">
      <c r="A30" s="58" t="s">
        <v>46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58" t="s">
        <v>28</v>
      </c>
      <c r="U30" s="1"/>
      <c r="V30" s="1"/>
    </row>
    <row r="31" spans="1:23" x14ac:dyDescent="0.75">
      <c r="A31" s="5" t="s">
        <v>30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5" t="s">
        <v>168</v>
      </c>
      <c r="U31" s="1"/>
      <c r="V31" s="1"/>
    </row>
    <row r="32" spans="1:23" x14ac:dyDescent="0.75">
      <c r="A32" s="5" t="s">
        <v>34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5">
        <v>110</v>
      </c>
      <c r="U32" s="1"/>
      <c r="V32" s="1"/>
    </row>
    <row r="33" spans="1:22" x14ac:dyDescent="0.75">
      <c r="A33" s="5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5" t="s">
        <v>200</v>
      </c>
      <c r="U33" s="1"/>
      <c r="V33" s="1"/>
    </row>
    <row r="34" spans="1:22" x14ac:dyDescent="0.75">
      <c r="A34" s="58" t="s">
        <v>47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5" t="s">
        <v>201</v>
      </c>
      <c r="U34" s="1"/>
      <c r="V34" s="1"/>
    </row>
    <row r="35" spans="1:22" x14ac:dyDescent="0.75">
      <c r="A35" s="5" t="s">
        <v>44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5">
        <v>180</v>
      </c>
      <c r="U35" s="1"/>
      <c r="V35" s="1"/>
    </row>
    <row r="36" spans="1:22" x14ac:dyDescent="0.75">
      <c r="A36" s="5" t="s">
        <v>42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5" t="s">
        <v>169</v>
      </c>
      <c r="U36" s="1"/>
      <c r="V36" s="1"/>
    </row>
    <row r="37" spans="1:22" x14ac:dyDescent="0.75">
      <c r="A37" s="5" t="s">
        <v>43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5" t="s">
        <v>170</v>
      </c>
      <c r="U37" s="1"/>
      <c r="V37" s="1"/>
    </row>
    <row r="38" spans="1:22" x14ac:dyDescent="0.75">
      <c r="A38" s="5" t="s">
        <v>45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5" t="s">
        <v>38</v>
      </c>
      <c r="U38" s="1"/>
      <c r="V38" s="1"/>
    </row>
    <row r="39" spans="1:22" x14ac:dyDescent="0.75">
      <c r="A39" s="22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2" x14ac:dyDescent="0.75">
      <c r="A40" s="58" t="s">
        <v>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8" t="s">
        <v>26</v>
      </c>
    </row>
    <row r="41" spans="1:22" x14ac:dyDescent="0.75">
      <c r="A41" s="5" t="s">
        <v>44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" t="s">
        <v>35</v>
      </c>
    </row>
    <row r="42" spans="1:22" x14ac:dyDescent="0.75">
      <c r="A42" s="5" t="s">
        <v>65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" t="s">
        <v>37</v>
      </c>
    </row>
    <row r="43" spans="1:22" x14ac:dyDescent="0.75">
      <c r="A43" s="5" t="s">
        <v>64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" t="s">
        <v>171</v>
      </c>
    </row>
    <row r="44" spans="1:22" x14ac:dyDescent="0.7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"/>
    </row>
    <row r="45" spans="1:22" x14ac:dyDescent="0.75">
      <c r="A45" s="58" t="s">
        <v>68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8" t="s">
        <v>101</v>
      </c>
    </row>
    <row r="46" spans="1:22" x14ac:dyDescent="0.75">
      <c r="A46" s="5" t="s">
        <v>44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" t="s">
        <v>38</v>
      </c>
    </row>
    <row r="47" spans="1:22" x14ac:dyDescent="0.75">
      <c r="A47" s="5" t="s">
        <v>70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" t="s">
        <v>32</v>
      </c>
    </row>
    <row r="48" spans="1:22" x14ac:dyDescent="0.75">
      <c r="A48" s="5" t="s">
        <v>69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" t="s">
        <v>172</v>
      </c>
    </row>
    <row r="49" spans="1:20" x14ac:dyDescent="0.75">
      <c r="A49" s="22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" t="s">
        <v>183</v>
      </c>
    </row>
    <row r="50" spans="1:20" x14ac:dyDescent="0.75">
      <c r="A50" s="58" t="s">
        <v>61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" t="s">
        <v>185</v>
      </c>
    </row>
    <row r="51" spans="1:20" x14ac:dyDescent="0.75">
      <c r="A51" s="5" t="s">
        <v>44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20" x14ac:dyDescent="0.75">
      <c r="A52" s="5" t="s">
        <v>66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7" t="s">
        <v>173</v>
      </c>
    </row>
    <row r="53" spans="1:20" x14ac:dyDescent="0.75">
      <c r="A53" s="5" t="s">
        <v>67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22" t="s">
        <v>31</v>
      </c>
    </row>
    <row r="54" spans="1:20" x14ac:dyDescent="0.75">
      <c r="A54" s="22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22" t="s">
        <v>23</v>
      </c>
    </row>
    <row r="55" spans="1:20" x14ac:dyDescent="0.75">
      <c r="A55" s="57" t="s">
        <v>62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20" x14ac:dyDescent="0.75">
      <c r="A56" s="22" t="s">
        <v>44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8" t="s">
        <v>27</v>
      </c>
    </row>
    <row r="57" spans="1:20" x14ac:dyDescent="0.75">
      <c r="A57" s="55" t="s">
        <v>177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22" t="s">
        <v>36</v>
      </c>
      <c r="O57" s="1"/>
      <c r="P57" s="1"/>
      <c r="Q57" s="1"/>
      <c r="R57" s="1"/>
      <c r="S57" s="1"/>
      <c r="T57" s="1"/>
    </row>
    <row r="58" spans="1:20" x14ac:dyDescent="0.75">
      <c r="A58" s="56" t="s">
        <v>155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22" t="s">
        <v>33</v>
      </c>
    </row>
    <row r="59" spans="1:20" x14ac:dyDescent="0.75">
      <c r="A59" s="56" t="s">
        <v>148</v>
      </c>
    </row>
    <row r="60" spans="1:20" x14ac:dyDescent="0.75">
      <c r="A60" s="56" t="s">
        <v>149</v>
      </c>
      <c r="O60" s="1"/>
      <c r="Q60" s="1"/>
      <c r="R60" s="3"/>
      <c r="S60" s="1"/>
    </row>
    <row r="61" spans="1:20" x14ac:dyDescent="0.75">
      <c r="A61" s="56" t="s">
        <v>150</v>
      </c>
      <c r="O61" s="1"/>
      <c r="Q61" s="1"/>
      <c r="R61" s="1"/>
      <c r="S61" s="1"/>
    </row>
    <row r="62" spans="1:20" x14ac:dyDescent="0.75">
      <c r="A62" s="56" t="s">
        <v>151</v>
      </c>
      <c r="O62" s="1"/>
      <c r="Q62" s="1"/>
      <c r="R62" s="1"/>
      <c r="S62" s="1"/>
    </row>
    <row r="63" spans="1:20" x14ac:dyDescent="0.75">
      <c r="A63" s="56" t="s">
        <v>152</v>
      </c>
      <c r="O63" s="1"/>
      <c r="Q63" s="1"/>
      <c r="R63" s="1"/>
      <c r="S63" s="1"/>
      <c r="T63" s="1"/>
    </row>
    <row r="64" spans="1:20" x14ac:dyDescent="0.75">
      <c r="A64" s="56" t="s">
        <v>153</v>
      </c>
      <c r="O64" s="1"/>
      <c r="Q64" s="1"/>
      <c r="R64" s="1"/>
      <c r="S64" s="1"/>
      <c r="T64" s="1"/>
    </row>
    <row r="65" spans="1:20" x14ac:dyDescent="0.75">
      <c r="A65" s="56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6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A8C6276-2B73-4CF0-9FDE-1F305EB2E4BE}"/>
</file>

<file path=customXml/itemProps2.xml><?xml version="1.0" encoding="utf-8"?>
<ds:datastoreItem xmlns:ds="http://schemas.openxmlformats.org/officeDocument/2006/customXml" ds:itemID="{76D8C41A-1E27-46D0-87B3-E3F9BCA2EC81}"/>
</file>

<file path=customXml/itemProps3.xml><?xml version="1.0" encoding="utf-8"?>
<ds:datastoreItem xmlns:ds="http://schemas.openxmlformats.org/officeDocument/2006/customXml" ds:itemID="{DAEA3838-C006-43F5-B504-B5C99BF005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2023-10-11T01:08:15Z</cp:lastPrinted>
  <dcterms:created xsi:type="dcterms:W3CDTF">2019-11-27T23:28:06Z</dcterms:created>
  <dcterms:modified xsi:type="dcterms:W3CDTF">2023-10-11T04:42:16Z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