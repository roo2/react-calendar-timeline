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14E8D315-F26E-471B-8E0A-5FCB6E9F5B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<sst xmlns="http://schemas.openxmlformats.org/spreadsheetml/2006/main" count="305" uniqueCount="200">
  <si>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</si>
  <si>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</si>
  <si>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</si>
  <si>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</si>
  <si>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</si>
  <si>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</si>
  <si>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</si>
  <si>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</si>
  <si>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</si>
  <si>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</si>
  <si>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</si>
  <si>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</si>
  <si>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</si>
  <si>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</si>
  <si>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</si>
  <si>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</si>
  <si>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</si>
  <si>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</si>
  <si>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</si>
  <si>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</si>
  <si>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</si>
  <si>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</si>
  <si>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</si>
  <si>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</si>
  <si>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</si>
  <si>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</si>
  <si>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</si>
  <si>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</si>
  <si>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</si>
  <si>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</si>
  <si>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</si>
  <si>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</si>
  <si>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</si>
  <si>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</si>
  <si>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</si>
  <si>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</si>
  <si>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</si>
  <si>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</si>
  <si>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</si>
  <si>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</si>
  <si>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</si>
  <si>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</si>
  <si>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</si>
  <si>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</si>
  <si>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</si>
  <si>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</si>
  <si>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</si>
  <si>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</si>
  <si>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</si>
  <si>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</si>
  <si>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</si>
  <si>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</si>
  <si>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</si>
  <si>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</si>
  <si>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</si>
  <si>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</si>
  <si>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</si>
  <si>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</si>
  <si>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</si>
  <si>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</si>
  <si>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</si>
  <si>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</si>
  <si>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</si>
  <si>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</si>
  <si>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</si>
  <si>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</si>
  <si>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</si>
  <si>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</si>
  <si>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</si>
  <si>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</si>
  <si>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</si>
  <si>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</si>
  <si>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</si>
  <si>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</si>
  <si>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</si>
  <si>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</si>
  <si>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</si>
  <si>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</si>
  <si>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</si>
  <si>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</si>
  <si>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</si>
  <si>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</si>
  <si>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</si>
  <si>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</si>
  <si>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</si>
  <si>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</si>
  <si>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</si>
  <si>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</si>
  <si>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</si>
  <si>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</si>
  <si>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</si>
  <si>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</si>
  <si>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</si>
  <si>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</si>
  <si>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</si>
  <si>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</si>
  <si>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</si>
  <si>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</si>
  <si>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</si>
  <si>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</si>
  <si>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</si>
  <si>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</si>
  <si>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</si>
  <si>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</si>
  <si>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</si>
  <si>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</si>
  <si>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</si>
  <si>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</si>
  <si>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</si>
  <si>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</si>
  <si>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</si>
  <si>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</si>
  <si>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</si>
  <si>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</si>
  <si>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</si>
  <si>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</si>
  <si>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</si>
  <si>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</si>
  <si>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</si>
  <si>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</si>
  <si>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</si>
  <si>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</si>
  <si>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</si>
  <si>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</si>
  <si>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</si>
  <si>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</si>
  <si>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</si>
  <si>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</si>
  <si>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</si>
  <si>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</si>
  <si>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</si>
  <si>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</si>
  <si>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</si>
  <si>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</si>
  <si>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</si>
  <si>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</si>
  <si>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</si>
  <si>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</si>
  <si>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</si>
  <si>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</si>
  <si>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</si>
  <si>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</si>
  <si>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</si>
  <si>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</si>
  <si>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</si>
  <si>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</si>
  <si>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</si>
  <si>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</si>
  <si>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</si>
  <si>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</si>
  <si>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</si>
  <si>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</si>
  <si>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</si>
  <si>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</si>
  <si>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</si>
  <si>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</si>
  <si>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</si>
  <si>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</si>
  <si>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</si>
  <si>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</si>
  <si>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</si>
  <si>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</si>
  <si>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</si>
  <si>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</si>
  <si>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</si>
  <si>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</si>
  <si>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</si>
  <si>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</si>
  <si>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</si>
  <si>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</si>
  <si>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</si>
  <si>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</si>
  <si>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</si>
  <si>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</si>
  <si>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</si>
  <si>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</si>
  <si>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</si>
  <si>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</si>
  <si>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</si>
  <si>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</si>
  <si>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</si>
  <si>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</si>
  <si>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</si>
  <si>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</si>
  <si>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</si>
  <si>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</si>
  <si>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</si>
  <si>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</si>
  <si>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</si>
  <si>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</si>
  <si>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</si>
  <si>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</si>
  <si>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</si>
  <si>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</si>
  <si>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</si>
  <si>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BE WITHIN TOLERANCE - MUST HAVE WATER TIGHT SEALS - PLEASE CHECK SEALS FREQUENTLY.</t>
  </si>
  <si>
    <t xml:space="preserve"> +/-5mm</t>
  </si>
  <si>
    <t xml:space="preserve">LIMAX </t>
  </si>
  <si>
    <t>ULTRA CORAL AUSTRALIA</t>
  </si>
  <si>
    <t>#2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</si>
</sst>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PB140475100</v>
      </c>
      <c r="C1" s="122"/>
      <c r="D1" s="123"/>
      <c r="E1" s="12" t="s">
        <v>57</v>
      </c>
      <c r="F1" s="133" t="s">
        <v>198</v>
      </c>
      <c r="G1" s="133"/>
      <c r="H1" s="134"/>
      <c r="I1" s="13" t="s">
        <v>181</v>
      </c>
      <c r="J1" s="95">
        <f ca="1">TODAY()</f>
        <v>44146</v>
      </c>
      <c r="K1" s="95"/>
      <c r="L1" s="96"/>
      <c r="M1" s="34"/>
      <c r="N1" s="12" t="s">
        <v>56</v>
      </c>
      <c r="O1" s="122" t="str">
        <f>B1</f>
        <v>PB140475100</v>
      </c>
      <c r="P1" s="122"/>
      <c r="Q1" s="123"/>
      <c r="R1" s="12" t="s">
        <v>57</v>
      </c>
      <c r="S1" s="122" t="str">
        <f>F1</f>
        <v>ULTRA CORAL AUSTRALIA</v>
      </c>
      <c r="T1" s="122"/>
      <c r="U1" s="123"/>
      <c r="V1" s="12" t="s">
        <v>181</v>
      </c>
      <c r="W1" s="95">
        <f ca="1">J1</f>
        <v>44146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#2 BAG</v>
      </c>
      <c r="C2" s="122"/>
      <c r="D2" s="123"/>
      <c r="E2" s="12" t="s">
        <v>58</v>
      </c>
      <c r="F2" s="98">
        <v>938889</v>
      </c>
      <c r="G2" s="98"/>
      <c r="H2" s="99"/>
      <c r="I2" s="12" t="s">
        <v>59</v>
      </c>
      <c r="J2" s="97">
        <v>44172</v>
      </c>
      <c r="K2" s="98"/>
      <c r="L2" s="99"/>
      <c r="M2" s="34"/>
      <c r="N2" s="12" t="s">
        <v>100</v>
      </c>
      <c r="O2" s="122" t="str">
        <f>IF(B2="","",B2)</f>
        <v>#2 BAG</v>
      </c>
      <c r="P2" s="122"/>
      <c r="Q2" s="123"/>
      <c r="R2" s="12" t="s">
        <v>58</v>
      </c>
      <c r="S2" s="122">
        <f>IF(F2="","",F2)</f>
        <v>938889</v>
      </c>
      <c r="T2" s="122"/>
      <c r="U2" s="123"/>
      <c r="V2" s="12" t="s">
        <v>59</v>
      </c>
      <c r="W2" s="135">
        <f>J2</f>
        <v>44172</v>
      </c>
      <c r="X2" s="122"/>
      <c r="Y2" s="123"/>
    </row>
    <row r="3" spans="1:28" ht="20.100000000000001" customHeight="1" x14ac:dyDescent="0.25">
      <c r="A3" s="124" t="s">
        <v>195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BE WITHIN TOLERANCE - MUST HAVE WATER TIGHT SEALS - PLEASE CHECK SEALS FREQUENTLY.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5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5000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140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196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140</v>
      </c>
      <c r="S9" s="20" t="s">
        <v>78</v>
      </c>
      <c r="T9" s="35">
        <v>475</v>
      </c>
      <c r="U9" s="20" t="s">
        <v>78</v>
      </c>
      <c r="V9" s="35">
        <v>100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5</v>
      </c>
      <c r="C10" s="99"/>
      <c r="D10" s="54" t="s">
        <v>134</v>
      </c>
      <c r="E10" s="112">
        <f>IF(ISNUMBER(SEARCH("sheet",O8,1)),((R9*T9*H8/540000)*U7/2000*1.3),((R9*T9*H8/540000)*U7/1000*1.08))</f>
        <v>66.5</v>
      </c>
      <c r="F10" s="113"/>
      <c r="G10" s="12" t="s">
        <v>53</v>
      </c>
      <c r="H10" s="116">
        <f>IF(ISNUMBER(SEARCH("sheet",O8,1)),(U7*T9/2000*1.08),(U7*T9/1000*1.08))</f>
        <v>2565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199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13.3</v>
      </c>
      <c r="F11" s="115"/>
      <c r="G11" s="12" t="s">
        <v>15</v>
      </c>
      <c r="H11" s="114">
        <f>H10/B10</f>
        <v>513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197</v>
      </c>
      <c r="P25" s="39"/>
      <c r="Q25" s="10">
        <v>22</v>
      </c>
      <c r="R25" s="10"/>
      <c r="S25" s="10"/>
      <c r="T25" s="10"/>
      <c r="U25" s="10"/>
      <c r="V25" s="10"/>
      <c r="W25" s="10">
        <v>18</v>
      </c>
      <c r="X25" s="10">
        <v>14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44176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44167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A2A1E2E-4D2E-4131-A5D2-23B689391681}"/>
</file>

<file path=customXml/itemProps2.xml><?xml version="1.0" encoding="utf-8"?>
<ds:datastoreItem xmlns:ds="http://schemas.openxmlformats.org/officeDocument/2006/customXml" ds:itemID="{2BCB2727-17A8-460E-8DB9-DD824292BDB8}"/>
</file>

<file path=customXml/itemProps3.xml><?xml version="1.0" encoding="utf-8"?>
<ds:datastoreItem xmlns:ds="http://schemas.openxmlformats.org/officeDocument/2006/customXml" ds:itemID="{62BD24FA-62B2-4BA6-9326-4E2ACA2925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2020-11-11T03:06:47Z</cp:lastPrinted>
  <dcterms:created xsi:type="dcterms:W3CDTF">2019-11-27T23:28:06Z</dcterms:created>
  <dcterms:modified xsi:type="dcterms:W3CDTF">2020-11-11T03:07:04Z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