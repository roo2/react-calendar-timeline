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054CDBE-69A6-41C0-BAD7-E29AF5C639C7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<sst xmlns="http://schemas.openxmlformats.org/spreadsheetml/2006/main" count="309" uniqueCount="204">
  <si>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</si>
  <si>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</si>
  <si>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</si>
  <si>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</si>
  <si>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</si>
  <si>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</si>
  <si>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</si>
  <si>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</si>
  <si>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</si>
  <si>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</si>
  <si>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</si>
  <si>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</si>
  <si>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</si>
  <si>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</si>
  <si>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</si>
  <si>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</si>
  <si>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</si>
  <si>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</si>
  <si>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</si>
  <si>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</si>
  <si>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</si>
  <si>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</si>
  <si>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</si>
  <si>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</si>
  <si>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</si>
  <si>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</si>
  <si>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</si>
  <si>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</si>
  <si>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</si>
  <si>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</si>
  <si>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</si>
  <si>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</si>
  <si>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</si>
  <si>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</si>
  <si>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</si>
  <si>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</si>
  <si>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</si>
  <si>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</si>
  <si>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</si>
  <si>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</si>
  <si>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</si>
  <si>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</si>
  <si>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</si>
  <si>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</si>
  <si>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</si>
  <si>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</si>
  <si>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</si>
  <si>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</si>
  <si>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</si>
  <si>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</si>
  <si>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</si>
  <si>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</si>
  <si>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</si>
  <si>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</si>
  <si>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</si>
  <si>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</si>
  <si>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</si>
  <si>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</si>
  <si>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</si>
  <si>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</si>
  <si>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</si>
  <si>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</si>
  <si>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</si>
  <si>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</si>
  <si>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</si>
  <si>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</si>
  <si>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</si>
  <si>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</si>
  <si>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</si>
  <si>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</si>
  <si>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</si>
  <si>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</si>
  <si>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</si>
  <si>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</si>
  <si>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</si>
  <si>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</si>
  <si>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</si>
  <si>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</si>
  <si>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</si>
  <si>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</si>
  <si>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</si>
  <si>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</si>
  <si>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</si>
  <si>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</si>
  <si>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</si>
  <si>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</si>
  <si>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</si>
  <si>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</si>
  <si>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</si>
  <si>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</si>
  <si>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</si>
  <si>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</si>
  <si>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</si>
  <si>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</si>
  <si>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</si>
  <si>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</si>
  <si>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</si>
  <si>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</si>
  <si>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</si>
  <si>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</si>
  <si>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</si>
  <si>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</si>
  <si>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</si>
  <si>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</si>
  <si>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</si>
  <si>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</si>
  <si>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</si>
  <si>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</si>
  <si>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</si>
  <si>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</si>
  <si>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</si>
  <si>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</si>
  <si>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</si>
  <si>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</si>
  <si>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</si>
  <si>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</si>
  <si>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</si>
  <si>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</si>
  <si>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</si>
  <si>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</si>
  <si>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</si>
  <si>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</si>
  <si>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</si>
  <si>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</si>
  <si>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</si>
  <si>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</si>
  <si>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</si>
  <si>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</si>
  <si>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</si>
  <si>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</si>
  <si>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</si>
  <si>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</si>
  <si>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</si>
  <si>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</si>
  <si>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</si>
  <si>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</si>
  <si>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</si>
  <si>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</si>
  <si>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</si>
  <si>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</si>
  <si>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</si>
  <si>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</si>
  <si>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</si>
  <si>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</si>
  <si>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</si>
  <si>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</si>
  <si>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</si>
  <si>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</si>
  <si>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</si>
  <si>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</si>
  <si>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</si>
  <si>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</si>
  <si>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</si>
  <si>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</si>
  <si>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</si>
  <si>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</si>
  <si>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</si>
  <si>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</si>
  <si>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</si>
  <si>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</si>
  <si>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</si>
  <si>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</si>
  <si>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</si>
  <si>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</si>
  <si>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</si>
  <si>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</si>
  <si>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</si>
  <si>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</si>
  <si>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</si>
  <si>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</si>
  <si>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</si>
  <si>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</si>
  <si>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</si>
  <si>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</si>
  <si>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</si>
  <si>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</si>
  <si>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</si>
  <si>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</si>
  <si>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</si>
  <si>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</si>
  <si>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</si>
  <si>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</si>
  <si>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</si>
  <si>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</si>
  <si>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</si>
  <si>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</si>
  <si>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</si>
  <si>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</si>
  <si>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</si>
  <si>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</si>
  <si>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</si>
  <si>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</si>
  <si>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</si>
  <si>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</si>
  <si>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ANTISTATIC</t>
  </si>
  <si>
    <t>PUNCH 2 HOLES 100MM FROM BOTTOM, THEN 100MM BETWEEN. 150MM FROM EDGE</t>
  </si>
  <si>
    <t>HOLIDAY HIRING SERVICE</t>
  </si>
  <si>
    <t>L24V</t>
  </si>
  <si>
    <t xml:space="preserve"> +/- 5mm</t>
  </si>
  <si>
    <t xml:space="preserve"> +/- 5um</t>
  </si>
  <si>
    <t>PERF</t>
  </si>
  <si>
    <t>2+2.5</t>
  </si>
  <si>
    <t>ANTIBLOCK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</si>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</sst>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PB45561035AS0V</v>
      </c>
      <c r="C1" s="111"/>
      <c r="D1" s="112"/>
      <c r="E1" s="11" t="s">
        <v>57</v>
      </c>
      <c r="F1" s="62" t="s">
        <v>196</v>
      </c>
      <c r="G1" s="62"/>
      <c r="H1" s="63"/>
      <c r="I1" s="12" t="s">
        <v>181</v>
      </c>
      <c r="J1" s="122">
        <f ca="1">TODAY()</f>
        <v>45615</v>
      </c>
      <c r="K1" s="122"/>
      <c r="L1" s="123"/>
      <c r="M1" s="29"/>
      <c r="N1" s="11" t="s">
        <v>56</v>
      </c>
      <c r="O1" s="111" t="str">
        <f>B1</f>
        <v>PB45561035AS0V</v>
      </c>
      <c r="P1" s="111"/>
      <c r="Q1" s="112"/>
      <c r="R1" s="11" t="s">
        <v>57</v>
      </c>
      <c r="S1" s="111" t="str">
        <f>F1</f>
        <v>HOLIDAY HIRING SERVICE</v>
      </c>
      <c r="T1" s="111"/>
      <c r="U1" s="112"/>
      <c r="V1" s="11" t="s">
        <v>181</v>
      </c>
      <c r="W1" s="122">
        <f ca="1">J1</f>
        <v>45615</v>
      </c>
      <c r="X1" s="122"/>
      <c r="Y1" s="123"/>
    </row>
    <row r="2" spans="1:25" ht="20.149999999999999" customHeight="1" x14ac:dyDescent="0.8">
      <c r="A2" s="11" t="s">
        <v>100</v>
      </c>
      <c r="B2" s="111" t="str">
        <f>IF(U10="","",U10)</f>
        <v>L24V</v>
      </c>
      <c r="C2" s="111"/>
      <c r="D2" s="112"/>
      <c r="E2" s="11" t="s">
        <v>58</v>
      </c>
      <c r="F2" s="62">
        <v>948798</v>
      </c>
      <c r="G2" s="62"/>
      <c r="H2" s="63"/>
      <c r="I2" s="11" t="s">
        <v>59</v>
      </c>
      <c r="J2" s="125" t="s">
        <v>192</v>
      </c>
      <c r="K2" s="62"/>
      <c r="L2" s="63"/>
      <c r="M2" s="29"/>
      <c r="N2" s="11" t="s">
        <v>100</v>
      </c>
      <c r="O2" s="111" t="str">
        <f>IF(B2="","",B2)</f>
        <v>L24V</v>
      </c>
      <c r="P2" s="111"/>
      <c r="Q2" s="112"/>
      <c r="R2" s="11" t="s">
        <v>58</v>
      </c>
      <c r="S2" s="111">
        <f>IF(F2="","",F2)</f>
        <v>948798</v>
      </c>
      <c r="T2" s="111"/>
      <c r="U2" s="112"/>
      <c r="V2" s="11" t="s">
        <v>59</v>
      </c>
      <c r="W2" s="124" t="str">
        <f>J2</f>
        <v>ASAP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3" t="s">
        <v>163</v>
      </c>
      <c r="C7" s="103"/>
      <c r="D7" s="103"/>
      <c r="E7" s="103"/>
      <c r="F7" s="103"/>
      <c r="G7" s="103"/>
      <c r="H7" s="103"/>
      <c r="I7" s="104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30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11">
        <f>R7*O7</f>
        <v>30000</v>
      </c>
      <c r="V7" s="112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9">
        <f>R9</f>
        <v>455</v>
      </c>
      <c r="C8" s="100"/>
      <c r="D8" s="27" t="str">
        <f>IF(ISNUMBER(SEARCH("bag",O8,1)),"Gusset","Centrefold")</f>
        <v>Gusset</v>
      </c>
      <c r="E8" s="99" t="str">
        <f>IF(O8="Centrefold Roll",B8*2,IF(X9="","None",X9))</f>
        <v>None</v>
      </c>
      <c r="F8" s="100"/>
      <c r="G8" s="13" t="s">
        <v>52</v>
      </c>
      <c r="H8" s="99">
        <f>(IF(V9&lt;30,"30",V9))</f>
        <v>35</v>
      </c>
      <c r="I8" s="10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01" t="s">
        <v>164</v>
      </c>
      <c r="P8" s="102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None</v>
      </c>
      <c r="Y8" s="98"/>
    </row>
    <row r="9" spans="1:25" ht="20.149999999999999" customHeight="1" x14ac:dyDescent="0.9">
      <c r="A9" s="16" t="s">
        <v>48</v>
      </c>
      <c r="B9" s="128" t="s">
        <v>198</v>
      </c>
      <c r="C9" s="129"/>
      <c r="D9" s="136" t="str">
        <f>IF(K10="Middle","RUN 2 UP",IF(AND(O8="Centrefold Roll",B8=380),"RUN 2 UP",""))</f>
        <v/>
      </c>
      <c r="E9" s="103"/>
      <c r="F9" s="104"/>
      <c r="G9" s="16" t="s">
        <v>48</v>
      </c>
      <c r="H9" s="128" t="s">
        <v>199</v>
      </c>
      <c r="I9" s="129"/>
      <c r="J9" s="11" t="s">
        <v>55</v>
      </c>
      <c r="K9" s="62" t="s">
        <v>30</v>
      </c>
      <c r="L9" s="63"/>
      <c r="M9" s="29"/>
      <c r="N9" s="17"/>
      <c r="O9" s="105" t="str">
        <f>IF(O8="Poly Bag","PB",IF(O8="Poly Bag Roll","PBR",IF(O8="Centrefold Roll","CFR",IF(O8="Sheet","S",IF(O8="Sheet Roll","SR")))))</f>
        <v>PB</v>
      </c>
      <c r="P9" s="106"/>
      <c r="Q9" s="17"/>
      <c r="R9" s="30">
        <v>455</v>
      </c>
      <c r="S9" s="18" t="s">
        <v>78</v>
      </c>
      <c r="T9" s="30">
        <v>610</v>
      </c>
      <c r="U9" s="18" t="s">
        <v>78</v>
      </c>
      <c r="V9" s="30">
        <v>35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14</v>
      </c>
      <c r="C10" s="63"/>
      <c r="D10" s="47" t="s">
        <v>134</v>
      </c>
      <c r="E10" s="130">
        <f>IF(ISNUMBER(SEARCH("sheet",O8,1)),((R9*T9*H8/540000)*U7/2000*1.3),((R9*T9*H8/540000)*U7/1000*1.08))</f>
        <v>582.85500000000002</v>
      </c>
      <c r="F10" s="131"/>
      <c r="G10" s="11" t="s">
        <v>53</v>
      </c>
      <c r="H10" s="134">
        <f>IF(ISNUMBER(SEARCH("sheet",O8,1)),(U7*T9/2000*1.08),(U7*T9/1000*1.08))</f>
        <v>19764</v>
      </c>
      <c r="I10" s="135"/>
      <c r="J10" s="11" t="s">
        <v>41</v>
      </c>
      <c r="K10" s="62" t="s">
        <v>44</v>
      </c>
      <c r="L10" s="63"/>
      <c r="M10" s="29"/>
      <c r="N10" s="14" t="s">
        <v>141</v>
      </c>
      <c r="O10" s="101" t="s">
        <v>187</v>
      </c>
      <c r="P10" s="102"/>
      <c r="Q10" s="14" t="s">
        <v>50</v>
      </c>
      <c r="R10" s="97" t="str">
        <f>IF(K11="NONE","None",IF(K11="INLINE","Yes",IF(K11="OUT OF LINE","Yes")))</f>
        <v>None</v>
      </c>
      <c r="S10" s="97"/>
      <c r="T10" s="14" t="s">
        <v>100</v>
      </c>
      <c r="U10" s="107" t="s">
        <v>197</v>
      </c>
      <c r="V10" s="107"/>
      <c r="W10" s="107"/>
      <c r="X10" s="107"/>
      <c r="Y10" s="108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32">
        <f>E10/B10</f>
        <v>41.6325</v>
      </c>
      <c r="F11" s="133"/>
      <c r="G11" s="11" t="s">
        <v>15</v>
      </c>
      <c r="H11" s="132">
        <f>H10/B10</f>
        <v>1411.7142857142858</v>
      </c>
      <c r="I11" s="133"/>
      <c r="J11" s="11" t="s">
        <v>50</v>
      </c>
      <c r="K11" s="62" t="s">
        <v>44</v>
      </c>
      <c r="L11" s="63"/>
      <c r="M11" s="29"/>
      <c r="N11" s="13"/>
      <c r="O11" s="99" t="str">
        <f>IF(O10="NONE","","V")</f>
        <v>V</v>
      </c>
      <c r="P11" s="100"/>
      <c r="Q11" s="13"/>
      <c r="R11" s="99" t="str">
        <f>IF(R10="None","","P")</f>
        <v/>
      </c>
      <c r="S11" s="100"/>
      <c r="T11" s="13"/>
      <c r="U11" s="109"/>
      <c r="V11" s="109"/>
      <c r="W11" s="109"/>
      <c r="X11" s="109"/>
      <c r="Y11" s="110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30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13</v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9" t="s">
        <v>4</v>
      </c>
      <c r="F16" s="149"/>
      <c r="G16" s="149" t="s">
        <v>5</v>
      </c>
      <c r="H16" s="14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180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5" t="s">
        <v>147</v>
      </c>
      <c r="D17" s="96"/>
      <c r="E17" s="92"/>
      <c r="F17" s="65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5" t="s">
        <v>146</v>
      </c>
      <c r="D18" s="96"/>
      <c r="E18" s="92"/>
      <c r="F18" s="65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5" t="s">
        <v>145</v>
      </c>
      <c r="D19" s="96"/>
      <c r="E19" s="92"/>
      <c r="F19" s="65"/>
      <c r="G19" s="48" t="s">
        <v>83</v>
      </c>
      <c r="H19" s="32"/>
      <c r="I19" s="59"/>
      <c r="J19" s="60"/>
      <c r="K19" s="59"/>
      <c r="L19" s="60"/>
      <c r="M19" s="29"/>
      <c r="N19" s="75" t="s">
        <v>195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5" t="s">
        <v>144</v>
      </c>
      <c r="D20" s="96"/>
      <c r="E20" s="92"/>
      <c r="F20" s="65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5" t="s">
        <v>143</v>
      </c>
      <c r="D21" s="96"/>
      <c r="E21" s="92"/>
      <c r="F21" s="65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6"/>
      <c r="E22" s="90"/>
      <c r="F22" s="65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50" t="s">
        <v>194</v>
      </c>
      <c r="B23" s="150"/>
      <c r="C23" s="9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6"/>
      <c r="E23" s="90" t="s">
        <v>203</v>
      </c>
      <c r="F23" s="65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1" t="s">
        <v>202</v>
      </c>
      <c r="B24" s="152"/>
      <c r="C24" s="95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6"/>
      <c r="E24" s="90" t="s">
        <v>203</v>
      </c>
      <c r="F24" s="91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200</v>
      </c>
      <c r="P25" s="34"/>
      <c r="Q25" s="10">
        <v>30</v>
      </c>
      <c r="R25" s="10">
        <v>5.5</v>
      </c>
      <c r="S25" s="10">
        <v>4</v>
      </c>
      <c r="T25" s="10">
        <v>8</v>
      </c>
      <c r="U25" s="10" t="s">
        <v>201</v>
      </c>
      <c r="V25" s="10">
        <v>2.5</v>
      </c>
      <c r="W25" s="10">
        <v>155</v>
      </c>
      <c r="X25" s="10">
        <v>155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4" t="s">
        <v>132</v>
      </c>
      <c r="H26" s="94"/>
      <c r="I26" s="94" t="s">
        <v>131</v>
      </c>
      <c r="J26" s="94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3"/>
      <c r="H27" s="93"/>
      <c r="I27" s="93"/>
      <c r="J27" s="93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3"/>
      <c r="H28" s="93"/>
      <c r="I28" s="93"/>
      <c r="J28" s="93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45645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45636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B80D810-BB7E-4824-8E8C-A12BEDBD230E}"/>
</file>

<file path=customXml/itemProps2.xml><?xml version="1.0" encoding="utf-8"?>
<ds:datastoreItem xmlns:ds="http://schemas.openxmlformats.org/officeDocument/2006/customXml" ds:itemID="{AAB1A6BB-72C5-4B55-8C8C-8F26CE743260}"/>
</file>

<file path=customXml/itemProps3.xml><?xml version="1.0" encoding="utf-8"?>
<ds:datastoreItem xmlns:ds="http://schemas.openxmlformats.org/officeDocument/2006/customXml" ds:itemID="{5D25CA66-FE72-4A01-BF16-9D300531E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2024-11-18T23:39:50Z</cp:lastPrinted>
  <dcterms:created xsi:type="dcterms:W3CDTF">2019-11-27T23:28:06Z</dcterms:created>
  <dcterms:modified xsi:type="dcterms:W3CDTF">2024-11-19T00:01:50Z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