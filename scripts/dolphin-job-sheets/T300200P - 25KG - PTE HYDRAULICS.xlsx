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4A3A804-5026-40A4-ADD1-E1CFBB21E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<sst xmlns="http://schemas.openxmlformats.org/spreadsheetml/2006/main" count="229" uniqueCount="171">
  <si>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</si>
  <si>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</si>
  <si>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</si>
  <si>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</si>
  <si>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</si>
  <si>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</si>
  <si>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</si>
  <si>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</si>
  <si>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</si>
  <si>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</si>
  <si>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</si>
  <si>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</si>
  <si>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</si>
  <si>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</si>
  <si>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</si>
  <si>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</si>
  <si>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</si>
  <si>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</si>
  <si>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</si>
  <si>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</si>
  <si>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</si>
  <si>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</si>
  <si>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</si>
  <si>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</si>
  <si>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</si>
  <si>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</si>
  <si>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</si>
  <si>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</si>
  <si>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</si>
  <si>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</si>
  <si>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</si>
  <si>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</si>
  <si>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</si>
  <si>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</si>
  <si>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</si>
  <si>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</si>
  <si>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</si>
  <si>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</si>
  <si>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</si>
  <si>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</si>
  <si>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</si>
  <si>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</si>
  <si>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</si>
  <si>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</si>
  <si>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</si>
  <si>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</si>
  <si>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</si>
  <si>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</si>
  <si>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</si>
  <si>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</si>
  <si>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</si>
  <si>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</si>
  <si>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</si>
  <si>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</si>
  <si>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</si>
  <si>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</si>
  <si>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</si>
  <si>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</si>
  <si>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</si>
  <si>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</si>
  <si>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</si>
  <si>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</si>
  <si>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</si>
  <si>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</si>
  <si>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</si>
  <si>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</si>
  <si>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</si>
  <si>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</si>
  <si>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</si>
  <si>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</si>
  <si>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</si>
  <si>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</si>
  <si>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</si>
  <si>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</si>
  <si>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</si>
  <si>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</si>
  <si>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</si>
  <si>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</si>
  <si>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</si>
  <si>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</si>
  <si>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</si>
  <si>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</si>
  <si>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</si>
  <si>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</si>
  <si>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</si>
  <si>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</si>
  <si>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</si>
  <si>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</si>
  <si>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</si>
  <si>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</si>
  <si>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</si>
  <si>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</si>
  <si>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</si>
  <si>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</si>
  <si>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</si>
  <si>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</si>
  <si>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</si>
  <si>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</si>
  <si>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</si>
  <si>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</si>
  <si>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</si>
  <si>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</si>
  <si>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</si>
  <si>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</si>
  <si>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</si>
  <si>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</si>
  <si>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</si>
  <si>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</si>
  <si>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</si>
  <si>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</si>
  <si>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</si>
  <si>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</si>
  <si>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</si>
  <si>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</si>
  <si>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</si>
  <si>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</si>
  <si>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</si>
  <si>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</si>
  <si>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</si>
  <si>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</si>
  <si>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</si>
  <si>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</si>
  <si>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</si>
  <si>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</si>
  <si>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</si>
  <si>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</si>
  <si>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</si>
  <si>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</si>
  <si>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</si>
  <si>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</si>
  <si>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</si>
  <si>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</si>
  <si>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</si>
  <si>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</si>
  <si>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</si>
  <si>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</si>
  <si>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</si>
  <si>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</si>
  <si>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</si>
  <si>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</si>
  <si>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</si>
  <si>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</si>
  <si>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</si>
  <si>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</si>
  <si>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</si>
  <si>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</si>
  <si>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</si>
  <si>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</si>
  <si>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</si>
  <si>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</si>
  <si>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</si>
  <si>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</si>
  <si>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</si>
  <si>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</si>
  <si>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</si>
  <si>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</si>
  <si>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</si>
  <si>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</si>
  <si>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</si>
  <si>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</si>
  <si>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</si>
  <si>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</si>
  <si>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</si>
  <si>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</si>
  <si>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RUN AT 190um</t>
  </si>
  <si>
    <t>"PTE HYDRAULICS"</t>
  </si>
  <si>
    <t>MAKE SURE TUBE IS TREATED PLEASE</t>
  </si>
  <si>
    <t>ABL</t>
  </si>
  <si>
    <t>ANTIBLOCK</t>
  </si>
  <si>
    <t>951217/951508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</si>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</sst>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1" applyNumberFormat="1" applyFont="1" applyBorder="1" applyProtection="1">
      <protection locked="0"/>
    </xf>
    <xf numFmtId="0" fontId="11" fillId="0" borderId="6" xfId="0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I27" sqref="I27:J27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T300200PFALSE</v>
      </c>
      <c r="C1" s="100"/>
      <c r="D1" s="101"/>
      <c r="E1" s="10" t="s">
        <v>55</v>
      </c>
      <c r="F1" s="45" t="s">
        <v>167</v>
      </c>
      <c r="G1" s="45"/>
      <c r="H1" s="46"/>
      <c r="I1" s="10" t="s">
        <v>147</v>
      </c>
      <c r="J1" s="111">
        <f ca="1">TODAY()</f>
        <v>46101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25KG</v>
      </c>
      <c r="C2" s="91"/>
      <c r="D2" s="92"/>
      <c r="E2" s="10" t="s">
        <v>56</v>
      </c>
      <c r="F2" s="45" t="s">
        <v>169</v>
      </c>
      <c r="G2" s="45"/>
      <c r="H2" s="46"/>
      <c r="I2" s="10" t="s">
        <v>57</v>
      </c>
      <c r="J2" s="113">
        <v>46106</v>
      </c>
      <c r="K2" s="45"/>
      <c r="L2" s="46"/>
    </row>
    <row r="3" spans="1:14" ht="20.100000000000001" customHeight="1" x14ac:dyDescent="0.25">
      <c r="A3" s="102" t="s">
        <v>166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157</v>
      </c>
      <c r="B7" s="45" t="s">
        <v>158</v>
      </c>
      <c r="C7" s="46"/>
      <c r="D7" s="10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300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200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163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164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13</v>
      </c>
      <c r="C10" s="46"/>
      <c r="D10" s="35" t="s">
        <v>104</v>
      </c>
      <c r="E10" s="87">
        <f>E11*B10</f>
        <v>325</v>
      </c>
      <c r="F10" s="88"/>
      <c r="G10" s="10" t="s">
        <v>51</v>
      </c>
      <c r="H10" s="91">
        <f>H11*B10</f>
        <v>2925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25</v>
      </c>
      <c r="F11" s="90"/>
      <c r="G11" s="41" t="s">
        <v>13</v>
      </c>
      <c r="H11" s="93">
        <f>E11*540000/B8/H8</f>
        <v>225</v>
      </c>
      <c r="I11" s="94"/>
      <c r="J11" s="41" t="s">
        <v>48</v>
      </c>
      <c r="K11" s="98" t="s">
        <v>63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68</v>
      </c>
      <c r="C13" s="45"/>
      <c r="D13" s="46"/>
      <c r="E13" s="13" t="s">
        <v>60</v>
      </c>
      <c r="F13" s="45" t="s">
        <v>65</v>
      </c>
      <c r="G13" s="45"/>
      <c r="H13" s="46"/>
      <c r="I13" s="10" t="s">
        <v>61</v>
      </c>
      <c r="J13" s="45" t="s">
        <v>144</v>
      </c>
      <c r="K13" s="45"/>
      <c r="L13" s="46"/>
    </row>
    <row r="14" spans="1:14" ht="20.100000000000001" customHeight="1" x14ac:dyDescent="0.3">
      <c r="A14" s="11" t="s">
        <v>58</v>
      </c>
      <c r="B14" s="44" t="s">
        <v>165</v>
      </c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13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149</v>
      </c>
      <c r="B23" s="77"/>
      <c r="C23" s="56" t="s">
        <v>150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/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77" t="s">
        <v>168</v>
      </c>
      <c r="B25" s="77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>
        <v>5.0000000000000001E-3</v>
      </c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8" t="s">
        <v>103</v>
      </c>
      <c r="H27" s="118"/>
      <c r="I27" s="118" t="s">
        <v>102</v>
      </c>
      <c r="J27" s="118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 t="s">
        <v>170</v>
      </c>
      <c r="C28" s="6"/>
      <c r="D28" s="121">
        <v>13.4</v>
      </c>
      <c r="E28" s="120">
        <v>2.1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46132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46122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91B360D-1463-41D6-B253-531037F520F9}"/>
</file>

<file path=customXml/itemProps2.xml><?xml version="1.0" encoding="utf-8"?>
<ds:datastoreItem xmlns:ds="http://schemas.openxmlformats.org/officeDocument/2006/customXml" ds:itemID="{169BBB08-F12C-45A9-B01C-2B108B807EF8}"/>
</file>

<file path=customXml/itemProps3.xml><?xml version="1.0" encoding="utf-8"?>
<ds:datastoreItem xmlns:ds="http://schemas.openxmlformats.org/officeDocument/2006/customXml" ds:itemID="{5C6E452F-B22D-464D-B5BD-D69611D99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2026-03-05T05:17:43Z</cp:lastPrinted>
  <dcterms:created xsi:type="dcterms:W3CDTF">2019-11-27T23:28:06Z</dcterms:created>
  <dcterms:modified xsi:type="dcterms:W3CDTF">2026-03-19T22:51:31Z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