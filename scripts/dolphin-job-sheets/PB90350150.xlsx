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02C40220-4DCE-4383-9CBD-9392B1E348C1}" xr6:coauthVersionLast="47" xr6:coauthVersionMax="47" xr10:uidLastSave="{00000000-0000-0000-0000-000000000000}"/>
  <bookViews>
    <workbookView minimized="1" xWindow="0" yWindow="2370" windowWidth="19200" windowHeight="783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<sst xmlns="http://schemas.openxmlformats.org/spreadsheetml/2006/main" count="302" uniqueCount="198">
  <si>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</si>
  <si>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</si>
  <si>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</si>
  <si>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</si>
  <si>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</si>
  <si>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</si>
  <si>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</si>
  <si>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</si>
  <si>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</si>
  <si>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</si>
  <si>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</si>
  <si>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</si>
  <si>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</si>
  <si>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</si>
  <si>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</si>
  <si>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</si>
  <si>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</si>
  <si>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</si>
  <si>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</si>
  <si>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</si>
  <si>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</si>
  <si>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</si>
  <si>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</si>
  <si>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</si>
  <si>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</si>
  <si>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</si>
  <si>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</si>
  <si>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</si>
  <si>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</si>
  <si>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</si>
  <si>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</si>
  <si>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</si>
  <si>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</si>
  <si>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</si>
  <si>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</si>
  <si>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</si>
  <si>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</si>
  <si>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</si>
  <si>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</si>
  <si>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</si>
  <si>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</si>
  <si>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</si>
  <si>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</si>
  <si>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</si>
  <si>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</si>
  <si>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</si>
  <si>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</si>
  <si>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</si>
  <si>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</si>
  <si>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</si>
  <si>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</si>
  <si>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</si>
  <si>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</si>
  <si>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</si>
  <si>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</si>
  <si>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</si>
  <si>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</si>
  <si>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</si>
  <si>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</si>
  <si>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</si>
  <si>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</si>
  <si>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</si>
  <si>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</si>
  <si>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</si>
  <si>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</si>
  <si>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</si>
  <si>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</si>
  <si>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</si>
  <si>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</si>
  <si>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</si>
  <si>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</si>
  <si>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</si>
  <si>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</si>
  <si>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</si>
  <si>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</si>
  <si>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</si>
  <si>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</si>
  <si>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</si>
  <si>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</si>
  <si>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</si>
  <si>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</si>
  <si>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</si>
  <si>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</si>
  <si>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</si>
  <si>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</si>
  <si>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</si>
  <si>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</si>
  <si>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</si>
  <si>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</si>
  <si>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</si>
  <si>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</si>
  <si>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</si>
  <si>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</si>
  <si>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</si>
  <si>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</si>
  <si>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</si>
  <si>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</si>
  <si>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</si>
  <si>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</si>
  <si>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</si>
  <si>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</si>
  <si>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</si>
  <si>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</si>
  <si>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</si>
  <si>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</si>
  <si>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</si>
  <si>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</si>
  <si>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</si>
  <si>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</si>
  <si>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</si>
  <si>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</si>
  <si>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</si>
  <si>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</si>
  <si>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</si>
  <si>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</si>
  <si>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</si>
  <si>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</si>
  <si>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</si>
  <si>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</si>
  <si>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</si>
  <si>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</si>
  <si>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</si>
  <si>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</si>
  <si>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</si>
  <si>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</si>
  <si>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</si>
  <si>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</si>
  <si>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</si>
  <si>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</si>
  <si>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</si>
  <si>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</si>
  <si>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</si>
  <si>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</si>
  <si>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</si>
  <si>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</si>
  <si>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</si>
  <si>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</si>
  <si>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</si>
  <si>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</si>
  <si>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</si>
  <si>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</si>
  <si>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</si>
  <si>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</si>
  <si>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</si>
  <si>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</si>
  <si>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</si>
  <si>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</si>
  <si>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</si>
  <si>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</si>
  <si>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</si>
  <si>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</si>
  <si>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</si>
  <si>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</si>
  <si>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</si>
  <si>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</si>
  <si>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</si>
  <si>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</si>
  <si>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</si>
  <si>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</si>
  <si>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</si>
  <si>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</si>
  <si>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</si>
  <si>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</si>
  <si>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</si>
  <si>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</si>
  <si>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</si>
  <si>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</si>
  <si>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</si>
  <si>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</si>
  <si>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</si>
  <si>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</si>
  <si>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</si>
  <si>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</si>
  <si>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</si>
  <si>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</si>
  <si>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</si>
  <si>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</si>
  <si>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</si>
  <si>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</si>
  <si>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</si>
  <si>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</si>
  <si>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</si>
  <si>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</si>
  <si>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</si>
  <si>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</si>
  <si>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</si>
  <si>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</si>
  <si>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</si>
  <si>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</si>
  <si>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</si>
  <si>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</si>
  <si>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</si>
  <si>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</si>
  <si>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</si>
  <si>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SO DATE 28/10 - MUST HAVE WATER TIGHT SEALS - PLEASE CHECK FREQUENTLY</t>
  </si>
  <si>
    <t>TINDALL DIVING</t>
  </si>
  <si>
    <t xml:space="preserve"> +/- 5mm</t>
  </si>
  <si>
    <t>RUN AT 140um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</si>
</sst>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O8" sqref="O8:P8"/>
    </sheetView>
  </sheetViews>
  <sheetFormatPr defaultRowHeight="14.75" x14ac:dyDescent="0.75"/>
  <sheetData>
    <row r="1" spans="1:25" ht="20.100000000000001" customHeight="1" x14ac:dyDescent="0.8">
      <c r="A1" s="11" t="s">
        <v>56</v>
      </c>
      <c r="B1" s="110" t="str">
        <f>O9&amp;R9&amp;IF(X8="G","G","")&amp;IF(O8="Centrefold Roll","("&amp;E8&amp;")","")&amp;T9&amp;V9&amp;C22&amp;C23&amp;C24&amp;O11&amp;R11</f>
        <v>PB11001200150</v>
      </c>
      <c r="C1" s="110"/>
      <c r="D1" s="111"/>
      <c r="E1" s="11" t="s">
        <v>57</v>
      </c>
      <c r="F1" s="121" t="s">
        <v>195</v>
      </c>
      <c r="G1" s="62"/>
      <c r="H1" s="63"/>
      <c r="I1" s="12" t="s">
        <v>181</v>
      </c>
      <c r="J1" s="122">
        <f ca="1">TODAY()</f>
        <v>45863</v>
      </c>
      <c r="K1" s="122"/>
      <c r="L1" s="123"/>
      <c r="M1" s="29"/>
      <c r="N1" s="11" t="s">
        <v>56</v>
      </c>
      <c r="O1" s="110" t="str">
        <f>B1</f>
        <v>PB11001200150</v>
      </c>
      <c r="P1" s="110"/>
      <c r="Q1" s="111"/>
      <c r="R1" s="11" t="s">
        <v>57</v>
      </c>
      <c r="S1" s="110" t="str">
        <f>F1</f>
        <v>TINDALL DIVING</v>
      </c>
      <c r="T1" s="110"/>
      <c r="U1" s="111"/>
      <c r="V1" s="11" t="s">
        <v>181</v>
      </c>
      <c r="W1" s="122">
        <f ca="1">J1</f>
        <v>45863</v>
      </c>
      <c r="X1" s="122"/>
      <c r="Y1" s="123"/>
    </row>
    <row r="2" spans="1:25" ht="20.100000000000001" customHeight="1" x14ac:dyDescent="0.8">
      <c r="A2" s="11" t="s">
        <v>100</v>
      </c>
      <c r="B2" s="110" t="str">
        <f>IF(U10="","",U10)</f>
        <v/>
      </c>
      <c r="C2" s="110"/>
      <c r="D2" s="111"/>
      <c r="E2" s="11" t="s">
        <v>58</v>
      </c>
      <c r="F2" s="62">
        <v>938530</v>
      </c>
      <c r="G2" s="62"/>
      <c r="H2" s="63"/>
      <c r="I2" s="11" t="s">
        <v>59</v>
      </c>
      <c r="J2" s="125">
        <v>44126</v>
      </c>
      <c r="K2" s="62"/>
      <c r="L2" s="63"/>
      <c r="M2" s="29"/>
      <c r="N2" s="11" t="s">
        <v>100</v>
      </c>
      <c r="O2" s="110" t="str">
        <f>IF(B2="","",B2)</f>
        <v/>
      </c>
      <c r="P2" s="110"/>
      <c r="Q2" s="111"/>
      <c r="R2" s="11" t="s">
        <v>58</v>
      </c>
      <c r="S2" s="110">
        <f>IF(F2="","",F2)</f>
        <v>938530</v>
      </c>
      <c r="T2" s="110"/>
      <c r="U2" s="111"/>
      <c r="V2" s="11" t="s">
        <v>59</v>
      </c>
      <c r="W2" s="124">
        <f>J2</f>
        <v>44126</v>
      </c>
      <c r="X2" s="110"/>
      <c r="Y2" s="111"/>
    </row>
    <row r="3" spans="1:25" ht="20.100000000000001" customHeight="1" x14ac:dyDescent="0.75">
      <c r="A3" s="112" t="s">
        <v>194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9"/>
      <c r="N3" s="112" t="str">
        <f>A3</f>
        <v>SO DATE 28/10 - MUST HAVE WATER TIGHT SEALS - PLEASE CHECK FREQUENTLY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7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9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7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9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7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9">
      <c r="A7" s="11" t="s">
        <v>49</v>
      </c>
      <c r="B7" s="102" t="s">
        <v>163</v>
      </c>
      <c r="C7" s="102"/>
      <c r="D7" s="102"/>
      <c r="E7" s="102"/>
      <c r="F7" s="102"/>
      <c r="G7" s="102"/>
      <c r="H7" s="102"/>
      <c r="I7" s="103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8</v>
      </c>
      <c r="P7" s="63"/>
      <c r="Q7" s="11" t="str">
        <f>IF(ISNUMBER(SEARCH("roll",O8,1)),"Per Roll","Per Carton")</f>
        <v>Per Carton</v>
      </c>
      <c r="R7" s="62">
        <v>50</v>
      </c>
      <c r="S7" s="63"/>
      <c r="T7" s="11" t="str">
        <f>IF(ISNUMBER(SEARCH("bag",O8,1)),"Total Bags","Total Sheets")</f>
        <v>Total Bags</v>
      </c>
      <c r="U7" s="110">
        <f>R7*O7</f>
        <v>400</v>
      </c>
      <c r="V7" s="111"/>
      <c r="W7" s="11" t="s">
        <v>102</v>
      </c>
      <c r="X7" s="62" t="s">
        <v>23</v>
      </c>
      <c r="Y7" s="63"/>
    </row>
    <row r="8" spans="1:25" ht="20.100000000000001" customHeight="1" x14ac:dyDescent="0.8">
      <c r="A8" s="13" t="s">
        <v>16</v>
      </c>
      <c r="B8" s="98">
        <f>R9</f>
        <v>1100</v>
      </c>
      <c r="C8" s="99"/>
      <c r="D8" s="27" t="str">
        <f>IF(ISNUMBER(SEARCH("bag",O8,1)),"Gusset","Centrefold")</f>
        <v>Gusset</v>
      </c>
      <c r="E8" s="98" t="str">
        <f>IF(O8="Centrefold Roll",B8*2,IF(X9="","None",X9))</f>
        <v>None</v>
      </c>
      <c r="F8" s="99"/>
      <c r="G8" s="13" t="s">
        <v>52</v>
      </c>
      <c r="H8" s="98">
        <f>(IF(V9&lt;30,"30",V9))</f>
        <v>150</v>
      </c>
      <c r="I8" s="99"/>
      <c r="J8" s="11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9"/>
      <c r="N8" s="14" t="s">
        <v>54</v>
      </c>
      <c r="O8" s="100" t="s">
        <v>164</v>
      </c>
      <c r="P8" s="101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6" t="str">
        <f>IF(AND(W8="Gusset",X9=""), "None",IF(AND(W8="Centrefold",X9=""),"None",IF(W8="Gusset","G",IF(W8="Centrefold","CF"))))</f>
        <v>None</v>
      </c>
      <c r="Y8" s="97"/>
    </row>
    <row r="9" spans="1:25" ht="20.100000000000001" customHeight="1" x14ac:dyDescent="0.9">
      <c r="A9" s="16" t="s">
        <v>48</v>
      </c>
      <c r="B9" s="128" t="s">
        <v>196</v>
      </c>
      <c r="C9" s="129"/>
      <c r="D9" s="136" t="str">
        <f>IF(K10="Middle","RUN 2 UP",IF(AND(O8="Centrefold Roll",B8=380),"RUN 2 UP",""))</f>
        <v/>
      </c>
      <c r="E9" s="102"/>
      <c r="F9" s="103"/>
      <c r="G9" s="16" t="s">
        <v>48</v>
      </c>
      <c r="H9" s="128" t="s">
        <v>197</v>
      </c>
      <c r="I9" s="129"/>
      <c r="J9" s="11" t="s">
        <v>55</v>
      </c>
      <c r="K9" s="62" t="s">
        <v>30</v>
      </c>
      <c r="L9" s="63"/>
      <c r="M9" s="29"/>
      <c r="N9" s="17"/>
      <c r="O9" s="104" t="str">
        <f>IF(O8="Poly Bag","PB",IF(O8="Poly Bag Roll","PBR",IF(O8="Centrefold Roll","CFR",IF(O8="Sheet","S",IF(O8="Sheet Roll","SR")))))</f>
        <v>PB</v>
      </c>
      <c r="P9" s="105"/>
      <c r="Q9" s="17"/>
      <c r="R9" s="30">
        <v>1100</v>
      </c>
      <c r="S9" s="18" t="s">
        <v>78</v>
      </c>
      <c r="T9" s="30">
        <v>1200</v>
      </c>
      <c r="U9" s="18" t="s">
        <v>78</v>
      </c>
      <c r="V9" s="30">
        <v>150</v>
      </c>
      <c r="W9" s="17"/>
      <c r="X9" s="88"/>
      <c r="Y9" s="89"/>
    </row>
    <row r="10" spans="1:25" ht="20.100000000000001" customHeight="1" x14ac:dyDescent="0.8">
      <c r="A10" s="11" t="s">
        <v>51</v>
      </c>
      <c r="B10" s="62">
        <v>1</v>
      </c>
      <c r="C10" s="63"/>
      <c r="D10" s="47" t="s">
        <v>134</v>
      </c>
      <c r="E10" s="130">
        <f>IF(ISNUMBER(SEARCH("sheet",O8,1)),((R9*T9*H8/540000)*U7/2000*1.3),((R9*T9*H8/540000)*U7/1000*1.08))</f>
        <v>158.40000000000003</v>
      </c>
      <c r="F10" s="131"/>
      <c r="G10" s="11" t="s">
        <v>53</v>
      </c>
      <c r="H10" s="134">
        <f>IF(ISNUMBER(SEARCH("sheet",O8,1)),(U7*T9/2000*1.08),(U7*T9/1000*1.08))</f>
        <v>518.40000000000009</v>
      </c>
      <c r="I10" s="135"/>
      <c r="J10" s="11" t="s">
        <v>41</v>
      </c>
      <c r="K10" s="62" t="s">
        <v>44</v>
      </c>
      <c r="L10" s="63"/>
      <c r="M10" s="29"/>
      <c r="N10" s="14" t="s">
        <v>141</v>
      </c>
      <c r="O10" s="100" t="s">
        <v>44</v>
      </c>
      <c r="P10" s="101"/>
      <c r="Q10" s="14" t="s">
        <v>50</v>
      </c>
      <c r="R10" s="96" t="str">
        <f>IF(K11="NONE","None",IF(K11="INLINE","Yes",IF(K11="OUT OF LINE","Yes")))</f>
        <v>None</v>
      </c>
      <c r="S10" s="96"/>
      <c r="T10" s="14" t="s">
        <v>100</v>
      </c>
      <c r="U10" s="106"/>
      <c r="V10" s="106"/>
      <c r="W10" s="106"/>
      <c r="X10" s="106"/>
      <c r="Y10" s="107"/>
    </row>
    <row r="11" spans="1:25" ht="20.100000000000001" customHeight="1" x14ac:dyDescent="0.8">
      <c r="A11" s="11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1" t="s">
        <v>135</v>
      </c>
      <c r="E11" s="132">
        <f>E10/B10</f>
        <v>158.40000000000003</v>
      </c>
      <c r="F11" s="133"/>
      <c r="G11" s="11" t="s">
        <v>15</v>
      </c>
      <c r="H11" s="132">
        <f>H10/B10</f>
        <v>518.40000000000009</v>
      </c>
      <c r="I11" s="133"/>
      <c r="J11" s="11" t="s">
        <v>50</v>
      </c>
      <c r="K11" s="62" t="s">
        <v>44</v>
      </c>
      <c r="L11" s="63"/>
      <c r="M11" s="29"/>
      <c r="N11" s="13"/>
      <c r="O11" s="98" t="str">
        <f>IF(O10="NONE","","V")</f>
        <v/>
      </c>
      <c r="P11" s="99"/>
      <c r="Q11" s="13"/>
      <c r="R11" s="98" t="str">
        <f>IF(R10="None","","P")</f>
        <v/>
      </c>
      <c r="S11" s="99"/>
      <c r="T11" s="13"/>
      <c r="U11" s="108"/>
      <c r="V11" s="108"/>
      <c r="W11" s="108"/>
      <c r="X11" s="108"/>
      <c r="Y11" s="109"/>
    </row>
    <row r="12" spans="1:25" ht="20.100000000000001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8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9">
      <c r="A14" s="13" t="s">
        <v>60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3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8">
      <c r="A16" s="66" t="s">
        <v>3</v>
      </c>
      <c r="B16" s="68"/>
      <c r="C16" s="66" t="s">
        <v>142</v>
      </c>
      <c r="D16" s="68"/>
      <c r="E16" s="149" t="s">
        <v>4</v>
      </c>
      <c r="F16" s="149"/>
      <c r="G16" s="149" t="s">
        <v>5</v>
      </c>
      <c r="H16" s="149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38</v>
      </c>
      <c r="P16" s="63"/>
      <c r="Q16" s="11" t="s">
        <v>105</v>
      </c>
      <c r="R16" s="62" t="s">
        <v>31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8">
      <c r="A17" s="61" t="s">
        <v>6</v>
      </c>
      <c r="B17" s="61"/>
      <c r="C17" s="93" t="s">
        <v>147</v>
      </c>
      <c r="D17" s="94"/>
      <c r="E17" s="90"/>
      <c r="F17" s="65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8">
      <c r="A18" s="61" t="s">
        <v>7</v>
      </c>
      <c r="B18" s="61"/>
      <c r="C18" s="93" t="s">
        <v>146</v>
      </c>
      <c r="D18" s="94"/>
      <c r="E18" s="90"/>
      <c r="F18" s="65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75">
      <c r="A19" s="61" t="s">
        <v>8</v>
      </c>
      <c r="B19" s="61"/>
      <c r="C19" s="93" t="s">
        <v>145</v>
      </c>
      <c r="D19" s="94"/>
      <c r="E19" s="90"/>
      <c r="F19" s="65"/>
      <c r="G19" s="48" t="s">
        <v>83</v>
      </c>
      <c r="H19" s="32"/>
      <c r="I19" s="59"/>
      <c r="J19" s="60"/>
      <c r="K19" s="59"/>
      <c r="L19" s="60"/>
      <c r="M19" s="29"/>
      <c r="N19" s="75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75">
      <c r="A20" s="61" t="s">
        <v>9</v>
      </c>
      <c r="B20" s="61"/>
      <c r="C20" s="93" t="s">
        <v>144</v>
      </c>
      <c r="D20" s="94"/>
      <c r="E20" s="90"/>
      <c r="F20" s="65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75">
      <c r="A21" s="61" t="s">
        <v>10</v>
      </c>
      <c r="B21" s="61"/>
      <c r="C21" s="93" t="s">
        <v>143</v>
      </c>
      <c r="D21" s="94"/>
      <c r="E21" s="90"/>
      <c r="F21" s="65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75">
      <c r="A22" s="61" t="str">
        <f>(IF(B7="NATURAL","",B7))</f>
        <v/>
      </c>
      <c r="B22" s="61"/>
      <c r="C22" s="93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4"/>
      <c r="E22" s="95"/>
      <c r="F22" s="65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75">
      <c r="A23" s="150"/>
      <c r="B23" s="150"/>
      <c r="C23" s="93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4"/>
      <c r="E23" s="90"/>
      <c r="F23" s="65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75">
      <c r="A24" s="151"/>
      <c r="B24" s="152"/>
      <c r="C24" s="9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4"/>
      <c r="E24" s="90"/>
      <c r="F24" s="65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2" t="s">
        <v>132</v>
      </c>
      <c r="H26" s="92"/>
      <c r="I26" s="92" t="s">
        <v>131</v>
      </c>
      <c r="J26" s="92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75">
      <c r="A27" s="22" t="s">
        <v>96</v>
      </c>
      <c r="B27" s="7"/>
      <c r="C27" s="7"/>
      <c r="D27" s="7"/>
      <c r="E27" s="8"/>
      <c r="F27" s="7"/>
      <c r="G27" s="91"/>
      <c r="H27" s="91"/>
      <c r="I27" s="91"/>
      <c r="J27" s="91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75">
      <c r="A28" s="22" t="s">
        <v>97</v>
      </c>
      <c r="B28" s="7"/>
      <c r="C28" s="7"/>
      <c r="D28" s="7"/>
      <c r="E28" s="9"/>
      <c r="F28" s="7"/>
      <c r="G28" s="91"/>
      <c r="H28" s="91"/>
      <c r="I28" s="91"/>
      <c r="J28" s="91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75">
      <c r="N43" s="51"/>
    </row>
    <row r="44" spans="1:25" ht="20.100000000000001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24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45894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45884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D293B6C-D0B3-4D9C-BC3B-26BAAC4ED6B8}"/>
</file>

<file path=customXml/itemProps2.xml><?xml version="1.0" encoding="utf-8"?>
<ds:datastoreItem xmlns:ds="http://schemas.openxmlformats.org/officeDocument/2006/customXml" ds:itemID="{27747078-DBEB-419C-9241-438493E1C302}"/>
</file>

<file path=customXml/itemProps3.xml><?xml version="1.0" encoding="utf-8"?>
<ds:datastoreItem xmlns:ds="http://schemas.openxmlformats.org/officeDocument/2006/customXml" ds:itemID="{A4F7238F-E576-4EBD-80E9-BF34BE550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2020-10-01T00:06:32Z</cp:lastPrinted>
  <dcterms:created xsi:type="dcterms:W3CDTF">2019-11-27T23:28:06Z</dcterms:created>
  <dcterms:modified xsi:type="dcterms:W3CDTF">2025-08-18T02:37:46Z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