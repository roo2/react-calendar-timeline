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99826778-A1D5-4931-A112-E7E72DD52EA1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<sst xmlns="http://schemas.openxmlformats.org/spreadsheetml/2006/main" count="301" uniqueCount="199">
  <si>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</si>
  <si>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</si>
  <si>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</si>
  <si>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</si>
  <si>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</si>
  <si>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</si>
  <si>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</si>
  <si>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</si>
  <si>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</si>
  <si>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</si>
  <si>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</si>
  <si>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</si>
  <si>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</si>
  <si>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</si>
  <si>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</si>
  <si>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</si>
  <si>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</si>
  <si>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</si>
  <si>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</si>
  <si>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</si>
  <si>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</si>
  <si>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</si>
  <si>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</si>
  <si>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</si>
  <si>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</si>
  <si>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</si>
  <si>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</si>
  <si>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</si>
  <si>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</si>
  <si>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</si>
  <si>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</si>
  <si>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</si>
  <si>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</si>
  <si>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</si>
  <si>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</si>
  <si>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</si>
  <si>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</si>
  <si>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</si>
  <si>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</si>
  <si>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</si>
  <si>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</si>
  <si>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</si>
  <si>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</si>
  <si>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</si>
  <si>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</si>
  <si>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</si>
  <si>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</si>
  <si>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</si>
  <si>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</si>
  <si>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</si>
  <si>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</si>
  <si>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</si>
  <si>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</si>
  <si>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</si>
  <si>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</si>
  <si>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</si>
  <si>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</si>
  <si>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</si>
  <si>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</si>
  <si>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</si>
  <si>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</si>
  <si>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</si>
  <si>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</si>
  <si>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</si>
  <si>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</si>
  <si>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</si>
  <si>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</si>
  <si>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</si>
  <si>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</si>
  <si>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</si>
  <si>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</si>
  <si>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</si>
  <si>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</si>
  <si>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</si>
  <si>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</si>
  <si>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</si>
  <si>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</si>
  <si>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</si>
  <si>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</si>
  <si>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</si>
  <si>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</si>
  <si>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</si>
  <si>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</si>
  <si>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</si>
  <si>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</si>
  <si>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</si>
  <si>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</si>
  <si>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</si>
  <si>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</si>
  <si>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</si>
  <si>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</si>
  <si>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</si>
  <si>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</si>
  <si>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</si>
  <si>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</si>
  <si>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</si>
  <si>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</si>
  <si>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</si>
  <si>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</si>
  <si>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</si>
  <si>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</si>
  <si>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</si>
  <si>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</si>
  <si>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</si>
  <si>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</si>
  <si>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</si>
  <si>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</si>
  <si>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</si>
  <si>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</si>
  <si>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</si>
  <si>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</si>
  <si>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</si>
  <si>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</si>
  <si>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</si>
  <si>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</si>
  <si>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</si>
  <si>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</si>
  <si>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</si>
  <si>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</si>
  <si>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</si>
  <si>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</si>
  <si>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</si>
  <si>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</si>
  <si>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</si>
  <si>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</si>
  <si>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</si>
  <si>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</si>
  <si>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</si>
  <si>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</si>
  <si>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</si>
  <si>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</si>
  <si>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</si>
  <si>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</si>
  <si>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</si>
  <si>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</si>
  <si>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</si>
  <si>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</si>
  <si>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</si>
  <si>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</si>
  <si>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</si>
  <si>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</si>
  <si>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</si>
  <si>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</si>
  <si>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</si>
  <si>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</si>
  <si>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</si>
  <si>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</si>
  <si>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</si>
  <si>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</si>
  <si>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</si>
  <si>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</si>
  <si>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</si>
  <si>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</si>
  <si>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</si>
  <si>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</si>
  <si>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</si>
  <si>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</si>
  <si>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</si>
  <si>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</si>
  <si>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</si>
  <si>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</si>
  <si>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</si>
  <si>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</si>
  <si>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</si>
  <si>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</si>
  <si>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</si>
  <si>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</si>
  <si>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</si>
  <si>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</si>
  <si>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</si>
  <si>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</si>
  <si>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</si>
  <si>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</si>
  <si>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</si>
  <si>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</si>
  <si>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</si>
  <si>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</si>
  <si>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</si>
  <si>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</si>
  <si>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</si>
  <si>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</si>
  <si>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</si>
  <si>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</si>
  <si>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</si>
  <si>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</si>
  <si>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</si>
  <si>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</si>
  <si>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</si>
  <si>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</si>
  <si>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</si>
  <si>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</si>
  <si>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</si>
  <si>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</si>
  <si>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</si>
  <si>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BLACK TINT</t>
  </si>
  <si>
    <t>KSK MARINE</t>
  </si>
  <si>
    <t xml:space="preserve"> +/- 5mm</t>
  </si>
  <si>
    <t xml:space="preserve"> +/- 5um</t>
  </si>
  <si>
    <t>NEW ITEM - PERF INLINE - MUST HAVE WATER TIGHT SEALS, PLEASE TEST FREQUENTLY.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</si>
</sst>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R16" sqref="R16:S16"/>
    </sheetView>
  </sheetViews>
  <sheetFormatPr defaultRowHeight="15.05" x14ac:dyDescent="0.3"/>
  <sheetData>
    <row r="1" spans="1:25" ht="20.05" customHeight="1" x14ac:dyDescent="0.3">
      <c r="A1" s="18" t="s">
        <v>55</v>
      </c>
      <c r="B1" s="125" t="str">
        <f>O9&amp;R9&amp;IF(X8="G","G","")&amp;IF(O8="Centrefold Roll","("&amp;E8&amp;")","")&amp;T9&amp;V9&amp;C22&amp;C23&amp;C24&amp;O11&amp;R11</f>
        <v>PBR13030050</v>
      </c>
      <c r="C1" s="125"/>
      <c r="D1" s="126"/>
      <c r="E1" s="18" t="s">
        <v>56</v>
      </c>
      <c r="F1" s="149" t="s">
        <v>195</v>
      </c>
      <c r="G1" s="149"/>
      <c r="H1" s="150"/>
      <c r="I1" s="18" t="s">
        <v>180</v>
      </c>
      <c r="J1" s="146">
        <f ca="1">TODAY()</f>
        <v>44097</v>
      </c>
      <c r="K1" s="146"/>
      <c r="L1" s="147"/>
      <c r="M1" s="35"/>
      <c r="N1" s="18" t="s">
        <v>55</v>
      </c>
      <c r="O1" s="125" t="str">
        <f>B1</f>
        <v>PBR13030050</v>
      </c>
      <c r="P1" s="125"/>
      <c r="Q1" s="126"/>
      <c r="R1" s="18" t="s">
        <v>56</v>
      </c>
      <c r="S1" s="125" t="str">
        <f>F1</f>
        <v>KSK MARINE</v>
      </c>
      <c r="T1" s="125"/>
      <c r="U1" s="126"/>
      <c r="V1" s="18" t="s">
        <v>180</v>
      </c>
      <c r="W1" s="146">
        <f ca="1">J1</f>
        <v>44097</v>
      </c>
      <c r="X1" s="146"/>
      <c r="Y1" s="147"/>
    </row>
    <row r="2" spans="1:25" ht="20.05" customHeight="1" x14ac:dyDescent="0.3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938454</v>
      </c>
      <c r="G2" s="104"/>
      <c r="H2" s="105"/>
      <c r="I2" s="18" t="s">
        <v>58</v>
      </c>
      <c r="J2" s="103">
        <v>44118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938454</v>
      </c>
      <c r="T2" s="125"/>
      <c r="U2" s="126"/>
      <c r="V2" s="18" t="s">
        <v>58</v>
      </c>
      <c r="W2" s="148">
        <f>J2</f>
        <v>44118</v>
      </c>
      <c r="X2" s="125"/>
      <c r="Y2" s="126"/>
    </row>
    <row r="3" spans="1:25" ht="20.05" customHeight="1" x14ac:dyDescent="0.3">
      <c r="A3" s="137" t="s">
        <v>198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NEW ITEM - PERF INLINE - MUST HAVE WATER TIGHT SEALS, PLEASE TEST FREQUENTLY.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05" customHeight="1" x14ac:dyDescent="0.3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05" customHeight="1" x14ac:dyDescent="0.3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05" customHeight="1" x14ac:dyDescent="0.3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05" customHeight="1" x14ac:dyDescent="0.35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5</v>
      </c>
      <c r="P7" s="105"/>
      <c r="Q7" s="18" t="str">
        <f>IF(ISNUMBER(SEARCH("roll",O8,1)),"Per Roll","Per Carton")</f>
        <v>Per Roll</v>
      </c>
      <c r="R7" s="104">
        <v>2760</v>
      </c>
      <c r="S7" s="105"/>
      <c r="T7" s="18" t="str">
        <f>IF(ISNUMBER(SEARCH("bag",O8,1)),"Total Bags","Total Sheets")</f>
        <v>Total Bags</v>
      </c>
      <c r="U7" s="125">
        <f>R7*O7</f>
        <v>13800</v>
      </c>
      <c r="V7" s="126"/>
      <c r="W7" s="18" t="s">
        <v>101</v>
      </c>
      <c r="X7" s="104" t="s">
        <v>22</v>
      </c>
      <c r="Y7" s="105"/>
    </row>
    <row r="8" spans="1:25" ht="20.05" customHeight="1" x14ac:dyDescent="0.3">
      <c r="A8" s="19" t="s">
        <v>15</v>
      </c>
      <c r="B8" s="113">
        <f>R9</f>
        <v>130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50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05" customHeight="1" x14ac:dyDescent="0.35">
      <c r="A9" s="23" t="s">
        <v>47</v>
      </c>
      <c r="B9" s="123" t="s">
        <v>196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197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130</v>
      </c>
      <c r="S9" s="25" t="s">
        <v>77</v>
      </c>
      <c r="T9" s="36">
        <v>300</v>
      </c>
      <c r="U9" s="25" t="s">
        <v>77</v>
      </c>
      <c r="V9" s="36">
        <v>50</v>
      </c>
      <c r="W9" s="24"/>
      <c r="X9" s="110"/>
      <c r="Y9" s="111"/>
    </row>
    <row r="10" spans="1:25" ht="20.05" customHeight="1" x14ac:dyDescent="0.3">
      <c r="A10" s="18" t="s">
        <v>50</v>
      </c>
      <c r="B10" s="104">
        <v>5</v>
      </c>
      <c r="C10" s="105"/>
      <c r="D10" s="56" t="s">
        <v>133</v>
      </c>
      <c r="E10" s="127">
        <f>IF(ISNUMBER(SEARCH("sheet",O8,1)),((R9*T9*H8/540000)*U7/2000*1.3),((R9*T9*H8/540000)*U7/1000*1.08))</f>
        <v>53.820000000000007</v>
      </c>
      <c r="F10" s="128"/>
      <c r="G10" s="18" t="s">
        <v>52</v>
      </c>
      <c r="H10" s="131">
        <f>IF(ISNUMBER(SEARCH("sheet",O8,1)),(U7*T9/2000*1.08),(U7*T9/1000*1.08))</f>
        <v>4471.2000000000007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05" customHeight="1" x14ac:dyDescent="0.3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10.764000000000001</v>
      </c>
      <c r="F11" s="130"/>
      <c r="G11" s="18" t="s">
        <v>14</v>
      </c>
      <c r="H11" s="129">
        <f>H10/B10</f>
        <v>894.24000000000012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05" customHeight="1" x14ac:dyDescent="0.3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05" customHeight="1" x14ac:dyDescent="0.3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5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05" customHeight="1" x14ac:dyDescent="0.35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05" customHeight="1" x14ac:dyDescent="0.3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05" customHeight="1" x14ac:dyDescent="0.3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30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05" customHeight="1" x14ac:dyDescent="0.3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05" customHeight="1" x14ac:dyDescent="0.3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05" customHeight="1" x14ac:dyDescent="0.3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05" customHeight="1" x14ac:dyDescent="0.3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05" customHeight="1" x14ac:dyDescent="0.3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05" customHeight="1" x14ac:dyDescent="0.3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05" customHeight="1" x14ac:dyDescent="0.3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05" customHeight="1" x14ac:dyDescent="0.3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05" customHeight="1" x14ac:dyDescent="0.3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05" customHeight="1" x14ac:dyDescent="0.3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05" customHeight="1" x14ac:dyDescent="0.3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05" customHeight="1" x14ac:dyDescent="0.3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05" customHeight="1" x14ac:dyDescent="0.3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05" customHeight="1" x14ac:dyDescent="0.3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05" customHeight="1" x14ac:dyDescent="0.3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05" customHeight="1" x14ac:dyDescent="0.3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05" customHeight="1" x14ac:dyDescent="0.3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05" customHeight="1" x14ac:dyDescent="0.3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05" customHeight="1" x14ac:dyDescent="0.3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05" customHeight="1" x14ac:dyDescent="0.3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05" customHeight="1" x14ac:dyDescent="0.3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05" customHeight="1" x14ac:dyDescent="0.3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05" customHeight="1" x14ac:dyDescent="0.3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05" customHeight="1" x14ac:dyDescent="0.3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05" customHeight="1" x14ac:dyDescent="0.3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05" customHeight="1" x14ac:dyDescent="0.3">
      <c r="N43" s="60"/>
    </row>
    <row r="44" spans="1:25" ht="20.05" customHeight="1" x14ac:dyDescent="0.3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05" customHeight="1" x14ac:dyDescent="0.3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05" customHeight="1" x14ac:dyDescent="0.3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05" customHeight="1" x14ac:dyDescent="0.3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05" customHeight="1" x14ac:dyDescent="0.3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05" customHeight="1" x14ac:dyDescent="0.3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05" customHeight="1" x14ac:dyDescent="0.3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05" customHeight="1" x14ac:dyDescent="0.3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05" customHeight="1" x14ac:dyDescent="0.3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05" customHeight="1" x14ac:dyDescent="0.3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05" customHeight="1" x14ac:dyDescent="0.3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05" customHeight="1" x14ac:dyDescent="0.3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05" customHeight="1" x14ac:dyDescent="0.3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05" customHeight="1" x14ac:dyDescent="0.3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05" customHeight="1" x14ac:dyDescent="0.3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05" customHeight="1" x14ac:dyDescent="0.3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05" customHeight="1" x14ac:dyDescent="0.3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05" customHeight="1" x14ac:dyDescent="0.3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05" customHeight="1" x14ac:dyDescent="0.3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05" customHeight="1" x14ac:dyDescent="0.3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05" customHeight="1" x14ac:dyDescent="0.3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05" customHeight="1" x14ac:dyDescent="0.3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05" customHeight="1" x14ac:dyDescent="0.3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05" customHeight="1" x14ac:dyDescent="0.3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05" customHeight="1" x14ac:dyDescent="0.3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05" customHeight="1" x14ac:dyDescent="0.3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05" customHeight="1" x14ac:dyDescent="0.3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05" customHeight="1" x14ac:dyDescent="0.3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05" customHeight="1" x14ac:dyDescent="0.3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05" customHeight="1" x14ac:dyDescent="0.3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05" customHeight="1" x14ac:dyDescent="0.3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05" customHeight="1" x14ac:dyDescent="0.3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05" customHeight="1" x14ac:dyDescent="0.3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05" customHeight="1" x14ac:dyDescent="0.3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05" customHeight="1" x14ac:dyDescent="0.3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05" customHeight="1" x14ac:dyDescent="0.3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05" customHeight="1" x14ac:dyDescent="0.3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05" customHeight="1" x14ac:dyDescent="0.3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05" customHeight="1" x14ac:dyDescent="0.3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05" customHeight="1" x14ac:dyDescent="0.3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05" customHeight="1" x14ac:dyDescent="0.3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05" customHeight="1" x14ac:dyDescent="0.3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3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70">
        <f ca="1">DATE(YEAR(Sheet1!J1),MONTH(Sheet1!J1)+1,DAY(Sheet1!J1))</f>
        <v>44127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70">
        <f ca="1">DATE(YEAR(Sheet1!J1),MONTH(Sheet1!J1),DAY(Sheet1!J1)+21)</f>
        <v>44118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3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3">
      <c r="A20" s="67" t="s">
        <v>194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3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3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3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3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3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3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3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3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3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3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3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3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3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3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3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3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3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3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3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3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3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3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3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3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3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3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3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3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3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3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3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3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3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3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3">
      <c r="A59" s="67" t="s">
        <v>154</v>
      </c>
    </row>
    <row r="60" spans="1:20" x14ac:dyDescent="0.3">
      <c r="A60" s="67" t="s">
        <v>147</v>
      </c>
      <c r="O60" s="1"/>
      <c r="Q60" s="1"/>
      <c r="R60" s="3"/>
      <c r="S60" s="1"/>
    </row>
    <row r="61" spans="1:20" x14ac:dyDescent="0.3">
      <c r="A61" s="67" t="s">
        <v>148</v>
      </c>
      <c r="O61" s="1"/>
      <c r="Q61" s="1"/>
      <c r="R61" s="1"/>
      <c r="S61" s="1"/>
    </row>
    <row r="62" spans="1:20" x14ac:dyDescent="0.3">
      <c r="A62" s="67" t="s">
        <v>149</v>
      </c>
      <c r="O62" s="1"/>
      <c r="Q62" s="1"/>
      <c r="R62" s="1"/>
      <c r="S62" s="1"/>
    </row>
    <row r="63" spans="1:20" x14ac:dyDescent="0.3">
      <c r="A63" s="67" t="s">
        <v>150</v>
      </c>
      <c r="O63" s="1"/>
      <c r="Q63" s="1"/>
      <c r="R63" s="1"/>
      <c r="S63" s="1"/>
      <c r="T63" s="1"/>
    </row>
    <row r="64" spans="1:20" x14ac:dyDescent="0.3">
      <c r="A64" s="67" t="s">
        <v>151</v>
      </c>
      <c r="O64" s="1"/>
      <c r="Q64" s="1"/>
      <c r="R64" s="1"/>
      <c r="S64" s="1"/>
      <c r="T64" s="1"/>
    </row>
    <row r="65" spans="1:20" x14ac:dyDescent="0.3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3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3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6A8543C-0A0C-46D0-9179-5DB68A8CD16B}"/>
</file>

<file path=customXml/itemProps2.xml><?xml version="1.0" encoding="utf-8"?>
<ds:datastoreItem xmlns:ds="http://schemas.openxmlformats.org/officeDocument/2006/customXml" ds:itemID="{8255751C-4E20-4442-83B9-E1292EB429DA}"/>
</file>

<file path=customXml/itemProps3.xml><?xml version="1.0" encoding="utf-8"?>
<ds:datastoreItem xmlns:ds="http://schemas.openxmlformats.org/officeDocument/2006/customXml" ds:itemID="{AEE6C34E-108D-449A-B9E2-F3497416CB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2020-09-23T02:09:22Z</cp:lastPrinted>
  <dcterms:created xsi:type="dcterms:W3CDTF">2019-11-27T23:28:06Z</dcterms:created>
  <dcterms:modified xsi:type="dcterms:W3CDTF">2020-09-23T02:09:23Z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