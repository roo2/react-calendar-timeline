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AECE1A3C-9C08-4772-8828-A90230AC96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<sst xmlns="http://schemas.openxmlformats.org/spreadsheetml/2006/main" count="302" uniqueCount="199">
  <si>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</si>
  <si>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</si>
  <si>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</si>
  <si>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</si>
  <si>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</si>
  <si>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</si>
  <si>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</si>
  <si>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</si>
  <si>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</si>
  <si>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</si>
  <si>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</si>
  <si>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</si>
  <si>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</si>
  <si>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</si>
  <si>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</si>
  <si>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</si>
  <si>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</si>
  <si>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</si>
  <si>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</si>
  <si>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</si>
  <si>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</si>
  <si>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</si>
  <si>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</si>
  <si>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</si>
  <si>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</si>
  <si>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</si>
  <si>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</si>
  <si>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</si>
  <si>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</si>
  <si>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</si>
  <si>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</si>
  <si>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</si>
  <si>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</si>
  <si>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</si>
  <si>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</si>
  <si>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</si>
  <si>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</si>
  <si>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</si>
  <si>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</si>
  <si>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</si>
  <si>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</si>
  <si>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</si>
  <si>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</si>
  <si>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</si>
  <si>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</si>
  <si>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</si>
  <si>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</si>
  <si>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</si>
  <si>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</si>
  <si>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</si>
  <si>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</si>
  <si>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</si>
  <si>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</si>
  <si>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</si>
  <si>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</si>
  <si>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</si>
  <si>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</si>
  <si>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</si>
  <si>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</si>
  <si>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</si>
  <si>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</si>
  <si>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</si>
  <si>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</si>
  <si>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</si>
  <si>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</si>
  <si>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</si>
  <si>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</si>
  <si>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</si>
  <si>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</si>
  <si>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</si>
  <si>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</si>
  <si>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</si>
  <si>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</si>
  <si>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</si>
  <si>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</si>
  <si>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</si>
  <si>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</si>
  <si>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</si>
  <si>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</si>
  <si>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</si>
  <si>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</si>
  <si>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</si>
  <si>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</si>
  <si>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</si>
  <si>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</si>
  <si>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</si>
  <si>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</si>
  <si>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</si>
  <si>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</si>
  <si>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</si>
  <si>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</si>
  <si>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</si>
  <si>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</si>
  <si>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</si>
  <si>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</si>
  <si>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</si>
  <si>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</si>
  <si>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</si>
  <si>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</si>
  <si>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</si>
  <si>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</si>
  <si>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</si>
  <si>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</si>
  <si>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</si>
  <si>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</si>
  <si>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</si>
  <si>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</si>
  <si>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</si>
  <si>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</si>
  <si>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</si>
  <si>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</si>
  <si>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</si>
  <si>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</si>
  <si>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</si>
  <si>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</si>
  <si>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</si>
  <si>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</si>
  <si>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</si>
  <si>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</si>
  <si>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</si>
  <si>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</si>
  <si>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</si>
  <si>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</si>
  <si>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</si>
  <si>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</si>
  <si>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</si>
  <si>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</si>
  <si>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</si>
  <si>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</si>
  <si>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</si>
  <si>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</si>
  <si>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</si>
  <si>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</si>
  <si>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</si>
  <si>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</si>
  <si>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</si>
  <si>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</si>
  <si>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</si>
  <si>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</si>
  <si>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</si>
  <si>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</si>
  <si>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</si>
  <si>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</si>
  <si>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</si>
  <si>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</si>
  <si>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</si>
  <si>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</si>
  <si>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</si>
  <si>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</si>
  <si>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</si>
  <si>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</si>
  <si>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</si>
  <si>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</si>
  <si>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</si>
  <si>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</si>
  <si>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</si>
  <si>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</si>
  <si>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</si>
  <si>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</si>
  <si>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</si>
  <si>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</si>
  <si>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</si>
  <si>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</si>
  <si>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</si>
  <si>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</si>
  <si>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</si>
  <si>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</si>
  <si>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</si>
  <si>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</si>
  <si>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</si>
  <si>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</si>
  <si>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</si>
  <si>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</si>
  <si>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</si>
  <si>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</si>
  <si>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</si>
  <si>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</si>
  <si>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</si>
  <si>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</si>
  <si>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</si>
  <si>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</si>
  <si>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</si>
  <si>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</si>
  <si>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</si>
  <si>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</si>
  <si>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</si>
  <si>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</si>
  <si>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</si>
  <si>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</si>
  <si>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</si>
  <si>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</si>
  <si>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</si>
  <si>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</si>
  <si>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</si>
  <si>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</si>
  <si>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P5K</t>
  </si>
  <si>
    <t>MOOLOOLAH PRODUCE</t>
  </si>
  <si>
    <t>RUN AT 45um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</si>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</sst>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PB30550850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44130</v>
      </c>
      <c r="K1" s="136"/>
      <c r="L1" s="137"/>
      <c r="M1" s="34"/>
      <c r="N1" s="12" t="s">
        <v>56</v>
      </c>
      <c r="O1" s="123" t="str">
        <f>B1</f>
        <v>PB30550850</v>
      </c>
      <c r="P1" s="123"/>
      <c r="Q1" s="124"/>
      <c r="R1" s="12" t="s">
        <v>57</v>
      </c>
      <c r="S1" s="123" t="str">
        <f>F1</f>
        <v>MOOLOOLAH PRODUCE</v>
      </c>
      <c r="T1" s="123"/>
      <c r="U1" s="124"/>
      <c r="V1" s="12" t="s">
        <v>181</v>
      </c>
      <c r="W1" s="136">
        <f ca="1">J1</f>
        <v>44130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P5K</v>
      </c>
      <c r="C2" s="123"/>
      <c r="D2" s="124"/>
      <c r="E2" s="12" t="s">
        <v>58</v>
      </c>
      <c r="F2" s="73">
        <v>938393</v>
      </c>
      <c r="G2" s="73"/>
      <c r="H2" s="74"/>
      <c r="I2" s="12" t="s">
        <v>59</v>
      </c>
      <c r="J2" s="139">
        <v>44119</v>
      </c>
      <c r="K2" s="73"/>
      <c r="L2" s="74"/>
      <c r="M2" s="34"/>
      <c r="N2" s="12" t="s">
        <v>100</v>
      </c>
      <c r="O2" s="123" t="str">
        <f>IF(B2="","",B2)</f>
        <v>P5K</v>
      </c>
      <c r="P2" s="123"/>
      <c r="Q2" s="124"/>
      <c r="R2" s="12" t="s">
        <v>58</v>
      </c>
      <c r="S2" s="123">
        <f>IF(F2="","",F2)</f>
        <v>938393</v>
      </c>
      <c r="T2" s="123"/>
      <c r="U2" s="124"/>
      <c r="V2" s="12" t="s">
        <v>59</v>
      </c>
      <c r="W2" s="138">
        <f>J2</f>
        <v>44119</v>
      </c>
      <c r="X2" s="123"/>
      <c r="Y2" s="124"/>
    </row>
    <row r="3" spans="1:28" ht="20.100000000000001" customHeight="1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>
        <f>A3</f>
        <v>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4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4000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305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193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197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305</v>
      </c>
      <c r="S9" s="20" t="s">
        <v>78</v>
      </c>
      <c r="T9" s="35">
        <v>508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4</v>
      </c>
      <c r="C10" s="74"/>
      <c r="D10" s="54" t="s">
        <v>134</v>
      </c>
      <c r="E10" s="145">
        <f>IF(ISNUMBER(SEARCH("sheet",O8,1)),((R9*T9*H8/540000)*U7/2000*1.3),((R9*T9*H8/540000)*U7/1000*1.08))</f>
        <v>61.976000000000013</v>
      </c>
      <c r="F10" s="146"/>
      <c r="G10" s="12" t="s">
        <v>53</v>
      </c>
      <c r="H10" s="149">
        <f>IF(ISNUMBER(SEARCH("sheet",O8,1)),(U7*T9/2000*1.08),(U7*T9/1000*1.08))</f>
        <v>2194.56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195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15.494000000000003</v>
      </c>
      <c r="F11" s="148"/>
      <c r="G11" s="12" t="s">
        <v>15</v>
      </c>
      <c r="H11" s="147">
        <f>H10/B10</f>
        <v>548.64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4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4" t="s">
        <v>4</v>
      </c>
      <c r="F16" s="164"/>
      <c r="G16" s="164" t="s">
        <v>5</v>
      </c>
      <c r="H16" s="164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5"/>
      <c r="B23" s="165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6"/>
      <c r="B24" s="167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28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2" t="s">
        <v>116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4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60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1" t="s">
        <v>136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3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44161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44151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C6A4344-AD34-46A0-A41A-9CBF3E34B799}"/>
</file>

<file path=customXml/itemProps2.xml><?xml version="1.0" encoding="utf-8"?>
<ds:datastoreItem xmlns:ds="http://schemas.openxmlformats.org/officeDocument/2006/customXml" ds:itemID="{AE96FD1C-BA6D-46FE-B590-14AB49EB6E6D}"/>
</file>

<file path=customXml/itemProps3.xml><?xml version="1.0" encoding="utf-8"?>
<ds:datastoreItem xmlns:ds="http://schemas.openxmlformats.org/officeDocument/2006/customXml" ds:itemID="{E0B235A4-9435-4640-A38C-6BDC9770BF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2020-09-15T04:19:47Z</cp:lastPrinted>
  <dcterms:created xsi:type="dcterms:W3CDTF">2019-11-27T23:28:06Z</dcterms:created>
  <dcterms:modified xsi:type="dcterms:W3CDTF">2020-10-25T22:51:36Z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