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C2E4783A-6FF3-4894-8DE7-D42AE0CE35EA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O1" i="1" l="1"/>
</calcChain>
</file>

<file path=xl/sharedStrings.xml><?xml version="1.0" encoding="utf-8"?>
<sst xmlns="http://schemas.openxmlformats.org/spreadsheetml/2006/main" count="310" uniqueCount="205">
  <si>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</si>
  <si>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</si>
  <si>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</si>
  <si>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</si>
  <si>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</si>
  <si>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</si>
  <si>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</si>
  <si>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</si>
  <si>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</si>
  <si>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</si>
  <si>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</si>
  <si>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</si>
  <si>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</si>
  <si>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</si>
  <si>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</si>
  <si>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</si>
  <si>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</si>
  <si>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</si>
  <si>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</si>
  <si>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</si>
  <si>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</si>
  <si>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</si>
  <si>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</si>
  <si>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</si>
  <si>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</si>
  <si>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</si>
  <si>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</si>
  <si>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</si>
  <si>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</si>
  <si>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</si>
  <si>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</si>
  <si>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</si>
  <si>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</si>
  <si>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</si>
  <si>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</si>
  <si>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</si>
  <si>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</si>
  <si>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</si>
  <si>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</si>
  <si>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</si>
  <si>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</si>
  <si>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</si>
  <si>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</si>
  <si>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</si>
  <si>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</si>
  <si>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</si>
  <si>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</si>
  <si>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</si>
  <si>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</si>
  <si>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</si>
  <si>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</si>
  <si>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</si>
  <si>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</si>
  <si>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</si>
  <si>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</si>
  <si>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</si>
  <si>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</si>
  <si>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</si>
  <si>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</si>
  <si>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</si>
  <si>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</si>
  <si>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</si>
  <si>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</si>
  <si>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</si>
  <si>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</si>
  <si>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</si>
  <si>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</si>
  <si>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</si>
  <si>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</si>
  <si>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</si>
  <si>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</si>
  <si>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</si>
  <si>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</si>
  <si>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</si>
  <si>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</si>
  <si>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</si>
  <si>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</si>
  <si>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</si>
  <si>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</si>
  <si>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</si>
  <si>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</si>
  <si>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</si>
  <si>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</si>
  <si>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</si>
  <si>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</si>
  <si>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</si>
  <si>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</si>
  <si>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</si>
  <si>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</si>
  <si>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</si>
  <si>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</si>
  <si>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</si>
  <si>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</si>
  <si>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</si>
  <si>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</si>
  <si>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</si>
  <si>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</si>
  <si>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</si>
  <si>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</si>
  <si>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</si>
  <si>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</si>
  <si>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</si>
  <si>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</si>
  <si>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</si>
  <si>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</si>
  <si>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</si>
  <si>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</si>
  <si>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</si>
  <si>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</si>
  <si>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</si>
  <si>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</si>
  <si>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</si>
  <si>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</si>
  <si>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</si>
  <si>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</si>
  <si>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</si>
  <si>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</si>
  <si>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</si>
  <si>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</si>
  <si>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</si>
  <si>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</si>
  <si>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</si>
  <si>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</si>
  <si>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</si>
  <si>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</si>
  <si>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</si>
  <si>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</si>
  <si>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</si>
  <si>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</si>
  <si>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</si>
  <si>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</si>
  <si>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</si>
  <si>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</si>
  <si>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</si>
  <si>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</si>
  <si>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</si>
  <si>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</si>
  <si>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</si>
  <si>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</si>
  <si>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</si>
  <si>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</si>
  <si>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</si>
  <si>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</si>
  <si>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</si>
  <si>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</si>
  <si>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</si>
  <si>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</si>
  <si>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</si>
  <si>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</si>
  <si>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</si>
  <si>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</si>
  <si>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</si>
  <si>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</si>
  <si>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</si>
  <si>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</si>
  <si>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</si>
  <si>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</si>
  <si>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</si>
  <si>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</si>
  <si>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</si>
  <si>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</si>
  <si>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</si>
  <si>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</si>
  <si>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</si>
  <si>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</si>
  <si>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</si>
  <si>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</si>
  <si>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</si>
  <si>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</si>
  <si>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</si>
  <si>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</si>
  <si>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</si>
  <si>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</si>
  <si>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</si>
  <si>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</si>
  <si>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</si>
  <si>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</si>
  <si>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</si>
  <si>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</si>
  <si>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</si>
  <si>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</si>
  <si>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</si>
  <si>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</si>
  <si>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</si>
  <si>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</si>
  <si>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</si>
  <si>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</si>
  <si>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</si>
  <si>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</si>
  <si>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</si>
  <si>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</si>
  <si>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</si>
  <si>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</si>
  <si>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</si>
  <si>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</si>
  <si>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RUN AT 90-95um</t>
  </si>
  <si>
    <t xml:space="preserve">LIMAX/ORION1  </t>
  </si>
  <si>
    <t>24/24</t>
  </si>
  <si>
    <t>17/210</t>
  </si>
  <si>
    <t>12/210</t>
  </si>
  <si>
    <t>GATEWAY LAB</t>
  </si>
  <si>
    <t>MUST HAVE WATER TIGHT SEAL</t>
  </si>
  <si>
    <t>ANTIBLOCK</t>
  </si>
  <si>
    <t>DANCOURT</t>
  </si>
  <si>
    <r>
      <t>USE NEXT GEN MATERIAL TO CONVERT -</t>
    </r>
    <r>
      <rPr>
        <b/>
        <sz val="16"/>
        <color rgb="FFFF0000"/>
        <rFont val="Calibri"/>
        <family val="2"/>
        <scheme val="minor"/>
      </rPr>
      <t xml:space="preserve"> PB305455100 - CHANGE LENGTH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</si>
</sst>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PB3054751000</v>
      </c>
      <c r="C1" s="111"/>
      <c r="D1" s="112"/>
      <c r="E1" s="11" t="s">
        <v>57</v>
      </c>
      <c r="F1" s="87" t="s">
        <v>200</v>
      </c>
      <c r="G1" s="87"/>
      <c r="H1" s="88"/>
      <c r="I1" s="12" t="s">
        <v>181</v>
      </c>
      <c r="J1" s="84">
        <f ca="1">TODAY()</f>
        <v>45953</v>
      </c>
      <c r="K1" s="84"/>
      <c r="L1" s="85"/>
      <c r="M1" s="29"/>
      <c r="N1" s="11" t="s">
        <v>56</v>
      </c>
      <c r="O1" s="111" t="str">
        <f>B1</f>
        <v>PB3054751000</v>
      </c>
      <c r="P1" s="111"/>
      <c r="Q1" s="112"/>
      <c r="R1" s="11" t="s">
        <v>57</v>
      </c>
      <c r="S1" s="111" t="s">
        <v>203</v>
      </c>
      <c r="T1" s="111"/>
      <c r="U1" s="112"/>
      <c r="V1" s="11" t="s">
        <v>181</v>
      </c>
      <c r="W1" s="84">
        <f ca="1">J1</f>
        <v>45953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950439</v>
      </c>
      <c r="G2" s="87"/>
      <c r="H2" s="88"/>
      <c r="I2" s="11" t="s">
        <v>59</v>
      </c>
      <c r="J2" s="86" t="s">
        <v>192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950439</v>
      </c>
      <c r="T2" s="111"/>
      <c r="U2" s="112"/>
      <c r="V2" s="11" t="s">
        <v>59</v>
      </c>
      <c r="W2" s="122" t="str">
        <f>J2</f>
        <v>ASAP</v>
      </c>
      <c r="X2" s="111"/>
      <c r="Y2" s="112"/>
    </row>
    <row r="3" spans="1:25" ht="20.149999999999999" customHeight="1" x14ac:dyDescent="0.75">
      <c r="A3" s="113" t="s">
        <v>201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">
        <v>204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20</v>
      </c>
      <c r="P7" s="88"/>
      <c r="Q7" s="11" t="str">
        <f>IF(ISNUMBER(SEARCH("roll",O8,1)),"Per Roll","Per Carton")</f>
        <v>Per Carton</v>
      </c>
      <c r="R7" s="87">
        <v>500</v>
      </c>
      <c r="S7" s="88"/>
      <c r="T7" s="11" t="str">
        <f>IF(ISNUMBER(SEARCH("bag",O8,1)),"Total Bags","Total Sheets")</f>
        <v>Total Bags</v>
      </c>
      <c r="U7" s="111">
        <f>R7*O7</f>
        <v>10000</v>
      </c>
      <c r="V7" s="112"/>
      <c r="W7" s="11" t="s">
        <v>102</v>
      </c>
      <c r="X7" s="87" t="s">
        <v>31</v>
      </c>
      <c r="Y7" s="88"/>
    </row>
    <row r="8" spans="1:25" ht="20.149999999999999" customHeight="1" x14ac:dyDescent="0.8">
      <c r="A8" s="13" t="s">
        <v>16</v>
      </c>
      <c r="B8" s="89">
        <f>R9</f>
        <v>305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100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195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305</v>
      </c>
      <c r="S9" s="18" t="s">
        <v>78</v>
      </c>
      <c r="T9" s="30">
        <v>475</v>
      </c>
      <c r="U9" s="18" t="s">
        <v>78</v>
      </c>
      <c r="V9" s="30">
        <v>100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7</v>
      </c>
      <c r="C10" s="88"/>
      <c r="D10" s="47" t="s">
        <v>134</v>
      </c>
      <c r="E10" s="101">
        <f>IF(ISNUMBER(SEARCH("sheet",O8,1)),((R9*T9*H8/540000)*U7/2000*1.3),((R9*T9*H8/540000)*U7/1000*1.08))</f>
        <v>289.75</v>
      </c>
      <c r="F10" s="102"/>
      <c r="G10" s="11" t="s">
        <v>53</v>
      </c>
      <c r="H10" s="105">
        <f>IF(ISNUMBER(SEARCH("sheet",O8,1)),(U7*T9/2000*1.08),(U7*T9/1000*1.08))</f>
        <v>5130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/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41.392857142857146</v>
      </c>
      <c r="F11" s="104"/>
      <c r="G11" s="11" t="s">
        <v>15</v>
      </c>
      <c r="H11" s="103">
        <f>H10/B10</f>
        <v>732.85714285714289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130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39"/>
      <c r="Y17" s="140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39"/>
      <c r="Y18" s="140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202</v>
      </c>
      <c r="B23" s="79"/>
      <c r="C23" s="77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8"/>
      <c r="E23" s="82"/>
      <c r="F23" s="83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196</v>
      </c>
      <c r="P25" s="34"/>
      <c r="Q25" s="10" t="s">
        <v>197</v>
      </c>
      <c r="R25" s="10"/>
      <c r="S25" s="10"/>
      <c r="T25" s="10"/>
      <c r="U25" s="10"/>
      <c r="V25" s="10"/>
      <c r="W25" s="10" t="s">
        <v>198</v>
      </c>
      <c r="X25" s="10" t="s">
        <v>199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8" t="s">
        <v>132</v>
      </c>
      <c r="H26" s="138"/>
      <c r="I26" s="138" t="s">
        <v>131</v>
      </c>
      <c r="J26" s="138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45984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45974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438DCC5-ED3B-4E80-9E03-0C9C7E7B45ED}"/>
</file>

<file path=customXml/itemProps2.xml><?xml version="1.0" encoding="utf-8"?>
<ds:datastoreItem xmlns:ds="http://schemas.openxmlformats.org/officeDocument/2006/customXml" ds:itemID="{8F146BC6-6D98-42DA-8CC8-62011061119F}"/>
</file>

<file path=customXml/itemProps3.xml><?xml version="1.0" encoding="utf-8"?>
<ds:datastoreItem xmlns:ds="http://schemas.openxmlformats.org/officeDocument/2006/customXml" ds:itemID="{09938ED6-9500-446D-82F5-B91FFCF073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2025-10-22T23:11:54Z</cp:lastPrinted>
  <dcterms:created xsi:type="dcterms:W3CDTF">2019-11-27T23:28:06Z</dcterms:created>
  <dcterms:modified xsi:type="dcterms:W3CDTF">2025-10-23T22:57:05Z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