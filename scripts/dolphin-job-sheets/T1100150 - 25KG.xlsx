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8882E011-F7B5-42D0-AE3E-16C8FB54ABB6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<sst xmlns="http://schemas.openxmlformats.org/spreadsheetml/2006/main" count="225" uniqueCount="166">
  <si>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</si>
  <si>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</si>
  <si>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</si>
  <si>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</si>
  <si>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</si>
  <si>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</si>
  <si>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</si>
  <si>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</si>
  <si>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</si>
  <si>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</si>
  <si>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</si>
  <si>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</si>
  <si>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</si>
  <si>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</si>
  <si>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</si>
  <si>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</si>
  <si>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</si>
  <si>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</si>
  <si>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</si>
  <si>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</si>
  <si>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</si>
  <si>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</si>
  <si>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</si>
  <si>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</si>
  <si>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</si>
  <si>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</si>
  <si>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</si>
  <si>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</si>
  <si>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</si>
  <si>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</si>
  <si>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</si>
  <si>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</si>
  <si>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</si>
  <si>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</si>
  <si>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</si>
  <si>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</si>
  <si>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</si>
  <si>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</si>
  <si>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</si>
  <si>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</si>
  <si>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</si>
  <si>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</si>
  <si>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</si>
  <si>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</si>
  <si>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</si>
  <si>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</si>
  <si>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</si>
  <si>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</si>
  <si>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</si>
  <si>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</si>
  <si>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</si>
  <si>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</si>
  <si>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</si>
  <si>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</si>
  <si>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</si>
  <si>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</si>
  <si>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</si>
  <si>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</si>
  <si>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</si>
  <si>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</si>
  <si>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</si>
  <si>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</si>
  <si>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</si>
  <si>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</si>
  <si>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</si>
  <si>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</si>
  <si>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</si>
  <si>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</si>
  <si>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</si>
  <si>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</si>
  <si>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</si>
  <si>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</si>
  <si>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</si>
  <si>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</si>
  <si>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</si>
  <si>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</si>
  <si>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</si>
  <si>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</si>
  <si>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</si>
  <si>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</si>
  <si>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</si>
  <si>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</si>
  <si>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</si>
  <si>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</si>
  <si>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</si>
  <si>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</si>
  <si>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</si>
  <si>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</si>
  <si>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</si>
  <si>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</si>
  <si>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</si>
  <si>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</si>
  <si>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</si>
  <si>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</si>
  <si>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</si>
  <si>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</si>
  <si>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</si>
  <si>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</si>
  <si>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</si>
  <si>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</si>
  <si>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</si>
  <si>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</si>
  <si>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</si>
  <si>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</si>
  <si>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</si>
  <si>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</si>
  <si>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</si>
  <si>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</si>
  <si>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</si>
  <si>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</si>
  <si>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</si>
  <si>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</si>
  <si>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</si>
  <si>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</si>
  <si>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</si>
  <si>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</si>
  <si>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</si>
  <si>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</si>
  <si>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</si>
  <si>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</si>
  <si>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</si>
  <si>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</si>
  <si>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</si>
  <si>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</si>
  <si>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</si>
  <si>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</si>
  <si>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</si>
  <si>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</si>
  <si>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</si>
  <si>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</si>
  <si>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</si>
  <si>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</si>
  <si>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</si>
  <si>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</si>
  <si>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</si>
  <si>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</si>
  <si>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</si>
  <si>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</si>
  <si>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</si>
  <si>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</si>
  <si>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</si>
  <si>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</si>
  <si>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</si>
  <si>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</si>
  <si>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</si>
  <si>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</si>
  <si>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</si>
  <si>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</si>
  <si>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</si>
  <si>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</si>
  <si>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</si>
  <si>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</si>
  <si>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</si>
  <si>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</si>
  <si>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</si>
  <si>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</si>
  <si>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</si>
  <si>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</si>
  <si>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</si>
  <si>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</si>
  <si>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</si>
  <si>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</si>
  <si>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</si>
  <si>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</si>
  <si>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 xml:space="preserve"> +/- 10mm</t>
  </si>
  <si>
    <t>MILES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</si>
</sst>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.05" x14ac:dyDescent="0.3"/>
  <sheetData>
    <row r="1" spans="1:14" ht="20.05" customHeight="1" x14ac:dyDescent="0.3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T1100150</v>
      </c>
      <c r="C1" s="112"/>
      <c r="D1" s="113"/>
      <c r="E1" s="12" t="s">
        <v>55</v>
      </c>
      <c r="F1" s="123" t="s">
        <v>165</v>
      </c>
      <c r="G1" s="123"/>
      <c r="H1" s="124"/>
      <c r="I1" s="12" t="s">
        <v>147</v>
      </c>
      <c r="J1" s="125">
        <f ca="1">TODAY()</f>
        <v>43992</v>
      </c>
      <c r="K1" s="125"/>
      <c r="L1" s="126"/>
    </row>
    <row r="2" spans="1:14" ht="20.05" customHeight="1" x14ac:dyDescent="0.3">
      <c r="A2" s="12" t="s">
        <v>94</v>
      </c>
      <c r="B2" s="103" t="str">
        <f>IF(B7="Tube",(ROUNDUP(E11,0)&amp;"KG"),(ROUNDUP(H11,0)&amp;"M"))</f>
        <v>25KG</v>
      </c>
      <c r="C2" s="103"/>
      <c r="D2" s="104"/>
      <c r="E2" s="12" t="s">
        <v>56</v>
      </c>
      <c r="F2" s="55">
        <v>937188</v>
      </c>
      <c r="G2" s="55"/>
      <c r="H2" s="56"/>
      <c r="I2" s="12" t="s">
        <v>57</v>
      </c>
      <c r="J2" s="127" t="s">
        <v>161</v>
      </c>
      <c r="K2" s="55"/>
      <c r="L2" s="56"/>
    </row>
    <row r="3" spans="1:14" ht="20.05" customHeight="1" x14ac:dyDescent="0.3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05" customHeight="1" x14ac:dyDescent="0.3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05" customHeight="1" x14ac:dyDescent="0.3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05" customHeight="1" x14ac:dyDescent="0.3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05" customHeight="1" x14ac:dyDescent="0.35">
      <c r="A7" s="12" t="s">
        <v>157</v>
      </c>
      <c r="B7" s="55" t="s">
        <v>158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05" customHeight="1" x14ac:dyDescent="0.3">
      <c r="A8" s="13" t="s">
        <v>14</v>
      </c>
      <c r="B8" s="77">
        <v>1100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150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05" customHeight="1" x14ac:dyDescent="0.35">
      <c r="A9" s="14" t="s">
        <v>46</v>
      </c>
      <c r="B9" s="95" t="s">
        <v>164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163</v>
      </c>
      <c r="I9" s="96"/>
      <c r="J9" s="12" t="s">
        <v>53</v>
      </c>
      <c r="K9" s="55" t="s">
        <v>28</v>
      </c>
      <c r="L9" s="56"/>
    </row>
    <row r="10" spans="1:14" ht="20.05" customHeight="1" x14ac:dyDescent="0.3">
      <c r="A10" s="12" t="s">
        <v>49</v>
      </c>
      <c r="B10" s="55">
        <v>1</v>
      </c>
      <c r="C10" s="56"/>
      <c r="D10" s="42" t="s">
        <v>104</v>
      </c>
      <c r="E10" s="99">
        <f>E11*B10</f>
        <v>25</v>
      </c>
      <c r="F10" s="100"/>
      <c r="G10" s="12" t="s">
        <v>51</v>
      </c>
      <c r="H10" s="103">
        <f>H11*B10</f>
        <v>81.818181818181813</v>
      </c>
      <c r="I10" s="104"/>
      <c r="J10" s="12" t="s">
        <v>39</v>
      </c>
      <c r="K10" s="55" t="s">
        <v>42</v>
      </c>
      <c r="L10" s="56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25</v>
      </c>
      <c r="F11" s="102"/>
      <c r="G11" s="51" t="s">
        <v>13</v>
      </c>
      <c r="H11" s="105">
        <f>E11*540000/B8/H8</f>
        <v>81.818181818181813</v>
      </c>
      <c r="I11" s="106"/>
      <c r="J11" s="51" t="s">
        <v>48</v>
      </c>
      <c r="K11" s="110" t="s">
        <v>42</v>
      </c>
      <c r="L11" s="111"/>
      <c r="N11"/>
    </row>
    <row r="12" spans="1:14" ht="20.05" customHeight="1" x14ac:dyDescent="0.3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05" customHeight="1" x14ac:dyDescent="0.3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05" customHeight="1" x14ac:dyDescent="0.35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05" customHeight="1" x14ac:dyDescent="0.3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05" customHeight="1" x14ac:dyDescent="0.3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1</v>
      </c>
      <c r="G16" s="112"/>
      <c r="H16" s="113"/>
      <c r="I16" s="12" t="s">
        <v>74</v>
      </c>
      <c r="J16" s="55"/>
      <c r="K16" s="55"/>
      <c r="L16" s="56"/>
    </row>
    <row r="17" spans="1:12" ht="20.05" customHeight="1" x14ac:dyDescent="0.3">
      <c r="A17" s="133" t="s">
        <v>148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05" customHeight="1" x14ac:dyDescent="0.3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05" customHeight="1" x14ac:dyDescent="0.3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05" customHeight="1" x14ac:dyDescent="0.3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05" customHeight="1" x14ac:dyDescent="0.3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05" customHeight="1" x14ac:dyDescent="0.3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05" customHeight="1" x14ac:dyDescent="0.3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05" customHeight="1" x14ac:dyDescent="0.3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05" customHeight="1" x14ac:dyDescent="0.3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05" customHeight="1" x14ac:dyDescent="0.3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05" customHeight="1" x14ac:dyDescent="0.3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05" customHeight="1" x14ac:dyDescent="0.3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05" customHeight="1" x14ac:dyDescent="0.3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05" customHeight="1" x14ac:dyDescent="0.3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05" customHeight="1" x14ac:dyDescent="0.3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44022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44013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74D8E51-3D86-4AAD-987D-9E24308B8311}"/>
</file>

<file path=customXml/itemProps2.xml><?xml version="1.0" encoding="utf-8"?>
<ds:datastoreItem xmlns:ds="http://schemas.openxmlformats.org/officeDocument/2006/customXml" ds:itemID="{0B5B3580-AC72-40DC-9B65-50AA90EC6BC2}"/>
</file>

<file path=customXml/itemProps3.xml><?xml version="1.0" encoding="utf-8"?>
<ds:datastoreItem xmlns:ds="http://schemas.openxmlformats.org/officeDocument/2006/customXml" ds:itemID="{E1CFAB63-4BB4-4F3B-98FF-A21DC6A75A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2020-06-10T02:31:52Z</cp:lastPrinted>
  <dcterms:created xsi:type="dcterms:W3CDTF">2019-11-27T23:28:06Z</dcterms:created>
  <dcterms:modified xsi:type="dcterms:W3CDTF">2020-06-10T02:34:19Z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