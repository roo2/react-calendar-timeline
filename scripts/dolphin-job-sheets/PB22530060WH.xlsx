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002D442-F0C4-467E-86EF-492880E1CB67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<sst xmlns="http://schemas.openxmlformats.org/spreadsheetml/2006/main" count="305" uniqueCount="200">
  <si>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</si>
  <si>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</si>
  <si>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</si>
  <si>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</si>
  <si>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</si>
  <si>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</si>
  <si>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</si>
  <si>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</si>
  <si>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</si>
  <si>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</si>
  <si>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</si>
  <si>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</si>
  <si>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</si>
  <si>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</si>
  <si>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</si>
  <si>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</si>
  <si>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</si>
  <si>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</si>
  <si>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</si>
  <si>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</si>
  <si>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</si>
  <si>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</si>
  <si>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</si>
  <si>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</si>
  <si>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</si>
  <si>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</si>
  <si>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</si>
  <si>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</si>
  <si>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</si>
  <si>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</si>
  <si>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</si>
  <si>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</si>
  <si>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</si>
  <si>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</si>
  <si>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</si>
  <si>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</si>
  <si>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</si>
  <si>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</si>
  <si>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</si>
  <si>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</si>
  <si>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</si>
  <si>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</si>
  <si>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</si>
  <si>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</si>
  <si>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</si>
  <si>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</si>
  <si>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</si>
  <si>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</si>
  <si>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</si>
  <si>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</si>
  <si>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</si>
  <si>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</si>
  <si>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</si>
  <si>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</si>
  <si>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</si>
  <si>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</si>
  <si>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</si>
  <si>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</si>
  <si>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</si>
  <si>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</si>
  <si>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</si>
  <si>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</si>
  <si>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</si>
  <si>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</si>
  <si>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</si>
  <si>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</si>
  <si>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</si>
  <si>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</si>
  <si>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</si>
  <si>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</si>
  <si>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</si>
  <si>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</si>
  <si>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</si>
  <si>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</si>
  <si>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</si>
  <si>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</si>
  <si>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</si>
  <si>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</si>
  <si>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</si>
  <si>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</si>
  <si>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</si>
  <si>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</si>
  <si>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</si>
  <si>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</si>
  <si>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</si>
  <si>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</si>
  <si>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</si>
  <si>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</si>
  <si>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</si>
  <si>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</si>
  <si>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</si>
  <si>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</si>
  <si>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</si>
  <si>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</si>
  <si>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</si>
  <si>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</si>
  <si>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</si>
  <si>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</si>
  <si>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</si>
  <si>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</si>
  <si>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</si>
  <si>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</si>
  <si>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</si>
  <si>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</si>
  <si>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</si>
  <si>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</si>
  <si>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</si>
  <si>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</si>
  <si>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</si>
  <si>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</si>
  <si>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</si>
  <si>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</si>
  <si>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</si>
  <si>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</si>
  <si>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</si>
  <si>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</si>
  <si>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</si>
  <si>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</si>
  <si>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</si>
  <si>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</si>
  <si>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</si>
  <si>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</si>
  <si>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</si>
  <si>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</si>
  <si>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</si>
  <si>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</si>
  <si>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</si>
  <si>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</si>
  <si>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</si>
  <si>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</si>
  <si>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</si>
  <si>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</si>
  <si>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</si>
  <si>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</si>
  <si>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</si>
  <si>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</si>
  <si>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</si>
  <si>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</si>
  <si>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</si>
  <si>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</si>
  <si>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</si>
  <si>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</si>
  <si>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</si>
  <si>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</si>
  <si>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</si>
  <si>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</si>
  <si>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</si>
  <si>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</si>
  <si>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</si>
  <si>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</si>
  <si>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</si>
  <si>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</si>
  <si>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</si>
  <si>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</si>
  <si>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</si>
  <si>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</si>
  <si>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</si>
  <si>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</si>
  <si>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</si>
  <si>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</si>
  <si>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</si>
  <si>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</si>
  <si>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</si>
  <si>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</si>
  <si>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</si>
  <si>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</si>
  <si>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</si>
  <si>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</si>
  <si>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</si>
  <si>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</si>
  <si>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</si>
  <si>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</si>
  <si>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</si>
  <si>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</si>
  <si>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</si>
  <si>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</si>
  <si>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</si>
  <si>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</si>
  <si>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</si>
  <si>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</si>
  <si>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</si>
  <si>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</si>
  <si>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</si>
  <si>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</si>
  <si>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</si>
  <si>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</si>
  <si>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</si>
  <si>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</si>
  <si>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</si>
  <si>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</si>
  <si>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</si>
  <si>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</si>
  <si>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</si>
  <si>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</si>
  <si>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</si>
  <si>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LATCO</t>
  </si>
  <si>
    <t>NOT OVER</t>
  </si>
  <si>
    <t>LIMAX</t>
  </si>
  <si>
    <t>SOLID BLACK - MUST HAVE WATER TIGHT SEALS &amp; MATERIAL MUST HAVE A SHINNY FINISH</t>
  </si>
  <si>
    <t>16.11.2022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</si>
</sst>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PB22530080BK</v>
      </c>
      <c r="C1" s="111"/>
      <c r="D1" s="112"/>
      <c r="E1" s="11" t="s">
        <v>57</v>
      </c>
      <c r="F1" s="122" t="s">
        <v>195</v>
      </c>
      <c r="G1" s="87"/>
      <c r="H1" s="88"/>
      <c r="I1" s="12" t="s">
        <v>181</v>
      </c>
      <c r="J1" s="84">
        <f ca="1">TODAY()</f>
        <v>44848</v>
      </c>
      <c r="K1" s="84"/>
      <c r="L1" s="85"/>
      <c r="M1" s="29"/>
      <c r="N1" s="11" t="s">
        <v>56</v>
      </c>
      <c r="O1" s="111" t="str">
        <f>B1</f>
        <v>PB22530080BK</v>
      </c>
      <c r="P1" s="111"/>
      <c r="Q1" s="112"/>
      <c r="R1" s="11" t="s">
        <v>57</v>
      </c>
      <c r="S1" s="111" t="str">
        <f>F1</f>
        <v>LATCO</v>
      </c>
      <c r="T1" s="111"/>
      <c r="U1" s="112"/>
      <c r="V1" s="11" t="s">
        <v>181</v>
      </c>
      <c r="W1" s="84">
        <f ca="1">J1</f>
        <v>44848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944445</v>
      </c>
      <c r="G2" s="87"/>
      <c r="H2" s="88"/>
      <c r="I2" s="11" t="s">
        <v>59</v>
      </c>
      <c r="J2" s="86" t="s">
        <v>199</v>
      </c>
      <c r="K2" s="87"/>
      <c r="L2" s="88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944445</v>
      </c>
      <c r="T2" s="111"/>
      <c r="U2" s="112"/>
      <c r="V2" s="11" t="s">
        <v>59</v>
      </c>
      <c r="W2" s="123" t="str">
        <f>J2</f>
        <v>16.11.2022</v>
      </c>
      <c r="X2" s="111"/>
      <c r="Y2" s="112"/>
    </row>
    <row r="3" spans="1:25" ht="20.149999999999999" customHeight="1" x14ac:dyDescent="0.75">
      <c r="A3" s="113" t="s">
        <v>198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tr">
        <f>A3</f>
        <v>SOLID BLACK - MUST HAVE WATER TIGHT SEALS &amp; MATERIAL MUST HAVE A SHINNY FINISH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177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20</v>
      </c>
      <c r="P7" s="88"/>
      <c r="Q7" s="11" t="str">
        <f>IF(ISNUMBER(SEARCH("roll",O8,1)),"Per Roll","Per Carton")</f>
        <v>Per Carton</v>
      </c>
      <c r="R7" s="87">
        <v>1000</v>
      </c>
      <c r="S7" s="88"/>
      <c r="T7" s="11" t="str">
        <f>IF(ISNUMBER(SEARCH("bag",O8,1)),"Total Bags","Total Sheets")</f>
        <v>Total Bags</v>
      </c>
      <c r="U7" s="111">
        <f>R7*O7</f>
        <v>20000</v>
      </c>
      <c r="V7" s="112"/>
      <c r="W7" s="11" t="s">
        <v>102</v>
      </c>
      <c r="X7" s="87" t="s">
        <v>23</v>
      </c>
      <c r="Y7" s="88"/>
    </row>
    <row r="8" spans="1:25" ht="20.149999999999999" customHeight="1" x14ac:dyDescent="0.8">
      <c r="A8" s="13" t="s">
        <v>16</v>
      </c>
      <c r="B8" s="89">
        <f>R9</f>
        <v>225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80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6" t="s">
        <v>164</v>
      </c>
      <c r="P8" s="127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49999999999999" customHeight="1" x14ac:dyDescent="0.9">
      <c r="A9" s="16" t="s">
        <v>48</v>
      </c>
      <c r="B9" s="99" t="s">
        <v>194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196</v>
      </c>
      <c r="I9" s="100"/>
      <c r="J9" s="11" t="s">
        <v>55</v>
      </c>
      <c r="K9" s="87" t="s">
        <v>30</v>
      </c>
      <c r="L9" s="88"/>
      <c r="M9" s="29"/>
      <c r="N9" s="17"/>
      <c r="O9" s="128" t="str">
        <f>IF(O8="Poly Bag","PB",IF(O8="Poly Bag Roll","PBR",IF(O8="Centrefold Roll","CFR",IF(O8="Sheet","S",IF(O8="Sheet Roll","SR")))))</f>
        <v>PB</v>
      </c>
      <c r="P9" s="129"/>
      <c r="Q9" s="17"/>
      <c r="R9" s="30">
        <v>225</v>
      </c>
      <c r="S9" s="18" t="s">
        <v>78</v>
      </c>
      <c r="T9" s="30">
        <v>300</v>
      </c>
      <c r="U9" s="18" t="s">
        <v>78</v>
      </c>
      <c r="V9" s="30">
        <v>80</v>
      </c>
      <c r="W9" s="17"/>
      <c r="X9" s="137"/>
      <c r="Y9" s="138"/>
    </row>
    <row r="10" spans="1:25" ht="20.149999999999999" customHeight="1" x14ac:dyDescent="0.8">
      <c r="A10" s="11" t="s">
        <v>51</v>
      </c>
      <c r="B10" s="87">
        <v>6</v>
      </c>
      <c r="C10" s="88"/>
      <c r="D10" s="47" t="s">
        <v>134</v>
      </c>
      <c r="E10" s="101">
        <f>IF(ISNUMBER(SEARCH("sheet",O8,1)),((R9*T9*H8/540000)*U7/2000*1.3),((R9*T9*H8/540000)*U7/1000*1.08))</f>
        <v>216</v>
      </c>
      <c r="F10" s="102"/>
      <c r="G10" s="11" t="s">
        <v>53</v>
      </c>
      <c r="H10" s="105">
        <f>IF(ISNUMBER(SEARCH("sheet",O8,1)),(U7*T9/2000*1.08),(U7*T9/1000*1.08))</f>
        <v>6480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6" t="s">
        <v>44</v>
      </c>
      <c r="P10" s="127"/>
      <c r="Q10" s="14" t="s">
        <v>50</v>
      </c>
      <c r="R10" s="124" t="str">
        <f>IF(K11="NONE","None",IF(K11="INLINE","Yes",IF(K11="OUT OF LINE","Yes")))</f>
        <v>None</v>
      </c>
      <c r="S10" s="124"/>
      <c r="T10" s="14" t="s">
        <v>100</v>
      </c>
      <c r="U10" s="131"/>
      <c r="V10" s="131"/>
      <c r="W10" s="131"/>
      <c r="X10" s="131"/>
      <c r="Y10" s="132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36</v>
      </c>
      <c r="F11" s="104"/>
      <c r="G11" s="11" t="s">
        <v>15</v>
      </c>
      <c r="H11" s="103">
        <f>H10/B10</f>
        <v>1080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3"/>
      <c r="V11" s="133"/>
      <c r="W11" s="133"/>
      <c r="X11" s="133"/>
      <c r="Y11" s="134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30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20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30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 t="s">
        <v>168</v>
      </c>
      <c r="P16" s="88"/>
      <c r="Q16" s="11" t="s">
        <v>105</v>
      </c>
      <c r="R16" s="87" t="s">
        <v>31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40"/>
      <c r="Y16" s="141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40"/>
      <c r="Y17" s="141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40"/>
      <c r="Y18" s="141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142" t="s">
        <v>116</v>
      </c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4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145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7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>
        <v>20</v>
      </c>
      <c r="F21" s="83"/>
      <c r="G21" s="48" t="s">
        <v>85</v>
      </c>
      <c r="H21" s="32"/>
      <c r="I21" s="82"/>
      <c r="J21" s="83"/>
      <c r="K21" s="82"/>
      <c r="L21" s="83"/>
      <c r="M21" s="29"/>
      <c r="N21" s="145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7"/>
    </row>
    <row r="22" spans="1:25" ht="20.149999999999999" customHeight="1" x14ac:dyDescent="0.75">
      <c r="A22" s="74" t="str">
        <f>(IF(B7="NATURAL","",B7))</f>
        <v>BLACK</v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78"/>
      <c r="E22" s="82">
        <v>4</v>
      </c>
      <c r="F22" s="83"/>
      <c r="G22" s="48" t="s">
        <v>86</v>
      </c>
      <c r="H22" s="32"/>
      <c r="I22" s="82"/>
      <c r="J22" s="83"/>
      <c r="K22" s="82"/>
      <c r="L22" s="83"/>
      <c r="M22" s="29"/>
      <c r="N22" s="148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50"/>
    </row>
    <row r="23" spans="1:25" ht="20.149999999999999" customHeight="1" x14ac:dyDescent="0.7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30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197</v>
      </c>
      <c r="P25" s="34"/>
      <c r="Q25" s="10">
        <v>24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9" t="s">
        <v>132</v>
      </c>
      <c r="H26" s="139"/>
      <c r="I26" s="139" t="s">
        <v>131</v>
      </c>
      <c r="J26" s="139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5"/>
      <c r="G29" s="135"/>
      <c r="H29" s="135"/>
      <c r="I29" s="135"/>
      <c r="J29" s="135"/>
      <c r="K29" s="92"/>
      <c r="L29" s="136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44879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44869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355E89F-3BAE-49AA-95D1-1455E6651401}"/>
</file>

<file path=customXml/itemProps2.xml><?xml version="1.0" encoding="utf-8"?>
<ds:datastoreItem xmlns:ds="http://schemas.openxmlformats.org/officeDocument/2006/customXml" ds:itemID="{38D7B74C-3B71-48D6-9F64-22D00DFBD13A}"/>
</file>

<file path=customXml/itemProps3.xml><?xml version="1.0" encoding="utf-8"?>
<ds:datastoreItem xmlns:ds="http://schemas.openxmlformats.org/officeDocument/2006/customXml" ds:itemID="{28A4380D-1625-45E0-B7EB-21524ACD52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2022-10-14T00:57:21Z</cp:lastPrinted>
  <dcterms:created xsi:type="dcterms:W3CDTF">2019-11-27T23:28:06Z</dcterms:created>
  <dcterms:modified xsi:type="dcterms:W3CDTF">2022-10-14T00:59:45Z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