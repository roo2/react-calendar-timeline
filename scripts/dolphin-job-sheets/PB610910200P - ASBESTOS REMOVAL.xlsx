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B9EA08B-8E79-4B21-A852-60C5BEBF2B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<sst xmlns="http://schemas.openxmlformats.org/spreadsheetml/2006/main" count="308" uniqueCount="203">
  <si>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</si>
  <si>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</si>
  <si>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</si>
  <si>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</si>
  <si>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</si>
  <si>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</si>
  <si>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</si>
  <si>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</si>
  <si>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</si>
  <si>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</si>
  <si>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</si>
  <si>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</si>
  <si>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</si>
  <si>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</si>
  <si>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</si>
  <si>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</si>
  <si>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</si>
  <si>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</si>
  <si>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</si>
  <si>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</si>
  <si>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</si>
  <si>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</si>
  <si>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</si>
  <si>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</si>
  <si>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</si>
  <si>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</si>
  <si>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</si>
  <si>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</si>
  <si>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</si>
  <si>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</si>
  <si>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</si>
  <si>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</si>
  <si>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</si>
  <si>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</si>
  <si>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</si>
  <si>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</si>
  <si>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</si>
  <si>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</si>
  <si>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</si>
  <si>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</si>
  <si>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</si>
  <si>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</si>
  <si>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</si>
  <si>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</si>
  <si>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</si>
  <si>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</si>
  <si>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</si>
  <si>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</si>
  <si>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</si>
  <si>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</si>
  <si>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</si>
  <si>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</si>
  <si>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</si>
  <si>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</si>
  <si>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</si>
  <si>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</si>
  <si>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</si>
  <si>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</si>
  <si>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</si>
  <si>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</si>
  <si>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</si>
  <si>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</si>
  <si>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</si>
  <si>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</si>
  <si>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</si>
  <si>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</si>
  <si>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</si>
  <si>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</si>
  <si>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</si>
  <si>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</si>
  <si>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</si>
  <si>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</si>
  <si>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</si>
  <si>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</si>
  <si>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</si>
  <si>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</si>
  <si>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</si>
  <si>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</si>
  <si>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</si>
  <si>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</si>
  <si>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</si>
  <si>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</si>
  <si>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</si>
  <si>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</si>
  <si>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</si>
  <si>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</si>
  <si>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</si>
  <si>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</si>
  <si>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</si>
  <si>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</si>
  <si>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</si>
  <si>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</si>
  <si>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</si>
  <si>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</si>
  <si>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</si>
  <si>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</si>
  <si>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</si>
  <si>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</si>
  <si>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</si>
  <si>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</si>
  <si>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</si>
  <si>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</si>
  <si>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</si>
  <si>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</si>
  <si>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</si>
  <si>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</si>
  <si>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</si>
  <si>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</si>
  <si>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</si>
  <si>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</si>
  <si>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</si>
  <si>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</si>
  <si>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</si>
  <si>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</si>
  <si>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</si>
  <si>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</si>
  <si>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</si>
  <si>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</si>
  <si>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</si>
  <si>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</si>
  <si>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</si>
  <si>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</si>
  <si>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</si>
  <si>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</si>
  <si>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</si>
  <si>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</si>
  <si>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</si>
  <si>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</si>
  <si>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</si>
  <si>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</si>
  <si>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</si>
  <si>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</si>
  <si>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</si>
  <si>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</si>
  <si>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</si>
  <si>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</si>
  <si>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</si>
  <si>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</si>
  <si>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</si>
  <si>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</si>
  <si>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</si>
  <si>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</si>
  <si>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</si>
  <si>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</si>
  <si>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</si>
  <si>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</si>
  <si>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</si>
  <si>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</si>
  <si>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</si>
  <si>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</si>
  <si>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</si>
  <si>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</si>
  <si>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</si>
  <si>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</si>
  <si>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</si>
  <si>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</si>
  <si>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</si>
  <si>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</si>
  <si>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</si>
  <si>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</si>
  <si>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</si>
  <si>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</si>
  <si>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</si>
  <si>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</si>
  <si>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</si>
  <si>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</si>
  <si>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</si>
  <si>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</si>
  <si>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</si>
  <si>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</si>
  <si>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</si>
  <si>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</si>
  <si>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</si>
  <si>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</si>
  <si>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</si>
  <si>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</si>
  <si>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</si>
  <si>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</si>
  <si>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</si>
  <si>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</si>
  <si>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</si>
  <si>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</si>
  <si>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</si>
  <si>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</si>
  <si>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</si>
  <si>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</si>
  <si>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</si>
  <si>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</si>
  <si>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</si>
  <si>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</si>
  <si>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</si>
  <si>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</si>
  <si>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</si>
  <si>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</si>
  <si>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"ASBESTOS REMOVAL"</t>
  </si>
  <si>
    <t>190UM</t>
  </si>
  <si>
    <t>BLACKWOODS</t>
  </si>
  <si>
    <t>PRINT INLINE</t>
  </si>
  <si>
    <t xml:space="preserve"> +/- 10mm</t>
  </si>
  <si>
    <t>LIMAX</t>
  </si>
  <si>
    <t>ANTIBLOCK</t>
  </si>
  <si>
    <t>%</t>
  </si>
  <si>
    <t>#55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</si>
</sst>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" fontId="10" fillId="5" borderId="2" xfId="0" applyNumberFormat="1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6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9" fontId="3" fillId="0" borderId="4" xfId="1" applyFont="1" applyBorder="1" applyAlignment="1" applyProtection="1">
      <alignment horizontal="center"/>
      <protection locked="0"/>
    </xf>
    <xf numFmtId="9" fontId="3" fillId="0" borderId="5" xfId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A5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1" t="str">
        <f>O9&amp;R9&amp;IF(X8="G","G","")&amp;IF(O8="Centrefold Roll","("&amp;E8&amp;")","")&amp;T9&amp;V9&amp;C22&amp;C23&amp;C24&amp;O11&amp;R11</f>
        <v>PB6109102000P</v>
      </c>
      <c r="C1" s="111"/>
      <c r="D1" s="112"/>
      <c r="E1" s="10" t="s">
        <v>57</v>
      </c>
      <c r="F1" s="86" t="s">
        <v>196</v>
      </c>
      <c r="G1" s="86"/>
      <c r="H1" s="87"/>
      <c r="I1" s="11" t="s">
        <v>181</v>
      </c>
      <c r="J1" s="83">
        <f ca="1">TODAY()</f>
        <v>45505</v>
      </c>
      <c r="K1" s="83"/>
      <c r="L1" s="84"/>
      <c r="M1" s="28"/>
      <c r="N1" s="10" t="s">
        <v>56</v>
      </c>
      <c r="O1" s="111" t="str">
        <f>B1</f>
        <v>PB6109102000P</v>
      </c>
      <c r="P1" s="111"/>
      <c r="Q1" s="112"/>
      <c r="R1" s="10" t="s">
        <v>57</v>
      </c>
      <c r="S1" s="111" t="str">
        <f>F1</f>
        <v>BLACKWOODS</v>
      </c>
      <c r="T1" s="111"/>
      <c r="U1" s="112"/>
      <c r="V1" s="10" t="s">
        <v>181</v>
      </c>
      <c r="W1" s="83">
        <f ca="1">J1</f>
        <v>45505</v>
      </c>
      <c r="X1" s="83"/>
      <c r="Y1" s="84"/>
    </row>
    <row r="2" spans="1:25" ht="20.100000000000001" customHeight="1" x14ac:dyDescent="0.25">
      <c r="A2" s="10" t="s">
        <v>100</v>
      </c>
      <c r="B2" s="111" t="str">
        <f>IF(U10="","",U10)</f>
        <v/>
      </c>
      <c r="C2" s="111"/>
      <c r="D2" s="112"/>
      <c r="E2" s="10" t="s">
        <v>58</v>
      </c>
      <c r="F2" s="86">
        <v>947978</v>
      </c>
      <c r="G2" s="86"/>
      <c r="H2" s="87"/>
      <c r="I2" s="10" t="s">
        <v>59</v>
      </c>
      <c r="J2" s="85" t="s">
        <v>192</v>
      </c>
      <c r="K2" s="86"/>
      <c r="L2" s="87"/>
      <c r="M2" s="28"/>
      <c r="N2" s="10" t="s">
        <v>100</v>
      </c>
      <c r="O2" s="111" t="str">
        <f>IF(B2="","",B2)</f>
        <v/>
      </c>
      <c r="P2" s="111"/>
      <c r="Q2" s="112"/>
      <c r="R2" s="10" t="s">
        <v>58</v>
      </c>
      <c r="S2" s="111">
        <f>IF(F2="","",F2)</f>
        <v>947978</v>
      </c>
      <c r="T2" s="111"/>
      <c r="U2" s="112"/>
      <c r="V2" s="10" t="s">
        <v>59</v>
      </c>
      <c r="W2" s="122" t="str">
        <f>J2</f>
        <v>ASAP</v>
      </c>
      <c r="X2" s="111"/>
      <c r="Y2" s="112"/>
    </row>
    <row r="3" spans="1:25" ht="20.100000000000001" customHeight="1" x14ac:dyDescent="0.25">
      <c r="A3" s="113" t="s">
        <v>197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8"/>
      <c r="N3" s="113" t="str">
        <f>A3</f>
        <v>PRINT INLINE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8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8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10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20</v>
      </c>
      <c r="P7" s="87"/>
      <c r="Q7" s="10" t="str">
        <f>IF(ISNUMBER(SEARCH("roll",O8,1)),"Per Roll","Per Carton")</f>
        <v>Per Carton</v>
      </c>
      <c r="R7" s="86">
        <v>50</v>
      </c>
      <c r="S7" s="87"/>
      <c r="T7" s="10" t="str">
        <f>IF(ISNUMBER(SEARCH("bag",O8,1)),"Total Bags","Total Sheets")</f>
        <v>Total Bags</v>
      </c>
      <c r="U7" s="111">
        <f>R7*O7</f>
        <v>1000</v>
      </c>
      <c r="V7" s="112"/>
      <c r="W7" s="10" t="s">
        <v>102</v>
      </c>
      <c r="X7" s="86" t="s">
        <v>23</v>
      </c>
      <c r="Y7" s="87"/>
    </row>
    <row r="8" spans="1:25" ht="20.100000000000001" customHeight="1" x14ac:dyDescent="0.25">
      <c r="A8" s="12" t="s">
        <v>16</v>
      </c>
      <c r="B8" s="88">
        <f>R9</f>
        <v>610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2" t="s">
        <v>52</v>
      </c>
      <c r="H8" s="88">
        <f>(IF(V9&lt;30,"30",V9))</f>
        <v>200</v>
      </c>
      <c r="I8" s="89"/>
      <c r="J8" s="10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8"/>
      <c r="N8" s="13" t="s">
        <v>54</v>
      </c>
      <c r="O8" s="125" t="s">
        <v>164</v>
      </c>
      <c r="P8" s="126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5" t="s">
        <v>48</v>
      </c>
      <c r="B9" s="100" t="s">
        <v>198</v>
      </c>
      <c r="C9" s="99"/>
      <c r="D9" s="107" t="str">
        <f>IF(K10="Middle","RUN 2 UP",IF(AND(O8="Centrefold Roll",B8=380),"RUN 2 UP",""))</f>
        <v/>
      </c>
      <c r="E9" s="108"/>
      <c r="F9" s="109"/>
      <c r="G9" s="15" t="s">
        <v>48</v>
      </c>
      <c r="H9" s="98" t="s">
        <v>195</v>
      </c>
      <c r="I9" s="99"/>
      <c r="J9" s="10" t="s">
        <v>55</v>
      </c>
      <c r="K9" s="86" t="s">
        <v>30</v>
      </c>
      <c r="L9" s="87"/>
      <c r="M9" s="28"/>
      <c r="N9" s="16"/>
      <c r="O9" s="128" t="str">
        <f>IF(O8="Poly Bag","PB",IF(O8="Poly Bag Roll","PBR",IF(O8="Centrefold Roll","CFR",IF(O8="Sheet","S",IF(O8="Sheet Roll","SR")))))</f>
        <v>PB</v>
      </c>
      <c r="P9" s="129"/>
      <c r="Q9" s="16"/>
      <c r="R9" s="29">
        <v>610</v>
      </c>
      <c r="S9" s="17" t="s">
        <v>78</v>
      </c>
      <c r="T9" s="29">
        <v>910</v>
      </c>
      <c r="U9" s="17" t="s">
        <v>78</v>
      </c>
      <c r="V9" s="29">
        <v>200</v>
      </c>
      <c r="W9" s="16"/>
      <c r="X9" s="137"/>
      <c r="Y9" s="138"/>
    </row>
    <row r="10" spans="1:25" ht="20.100000000000001" customHeight="1" x14ac:dyDescent="0.25">
      <c r="A10" s="10" t="s">
        <v>51</v>
      </c>
      <c r="B10" s="86">
        <v>7</v>
      </c>
      <c r="C10" s="87"/>
      <c r="D10" s="46" t="s">
        <v>134</v>
      </c>
      <c r="E10" s="101">
        <f>IF(ISNUMBER(SEARCH("sheet",O8,1)),((R9*T9*H8/540000)*U7/2000*1.3),((R9*T9*H8/540000)*U7/1000*1.08))</f>
        <v>222.04</v>
      </c>
      <c r="F10" s="102"/>
      <c r="G10" s="10" t="s">
        <v>53</v>
      </c>
      <c r="H10" s="105">
        <f>IF(ISNUMBER(SEARCH("sheet",O8,1)),(U7*T9/2000*1.08),(U7*T9/1000*1.08))</f>
        <v>982.80000000000007</v>
      </c>
      <c r="I10" s="106"/>
      <c r="J10" s="10" t="s">
        <v>41</v>
      </c>
      <c r="K10" s="86" t="s">
        <v>44</v>
      </c>
      <c r="L10" s="87"/>
      <c r="M10" s="28"/>
      <c r="N10" s="13" t="s">
        <v>141</v>
      </c>
      <c r="O10" s="125" t="s">
        <v>44</v>
      </c>
      <c r="P10" s="126"/>
      <c r="Q10" s="13" t="s">
        <v>50</v>
      </c>
      <c r="R10" s="123" t="str">
        <f>IF(K11="NONE","None",IF(K11="INLINE","Yes",IF(K11="OUT OF LINE","Yes")))</f>
        <v>Yes</v>
      </c>
      <c r="S10" s="123"/>
      <c r="T10" s="13" t="s">
        <v>100</v>
      </c>
      <c r="U10" s="131"/>
      <c r="V10" s="131"/>
      <c r="W10" s="131"/>
      <c r="X10" s="131"/>
      <c r="Y10" s="132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0" t="s">
        <v>135</v>
      </c>
      <c r="E11" s="103">
        <f>E10/B10</f>
        <v>31.72</v>
      </c>
      <c r="F11" s="104"/>
      <c r="G11" s="10" t="s">
        <v>15</v>
      </c>
      <c r="H11" s="103">
        <f>H10/B10</f>
        <v>140.4</v>
      </c>
      <c r="I11" s="104"/>
      <c r="J11" s="10" t="s">
        <v>50</v>
      </c>
      <c r="K11" s="86" t="s">
        <v>65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>P</v>
      </c>
      <c r="S11" s="89"/>
      <c r="T11" s="12"/>
      <c r="U11" s="133"/>
      <c r="V11" s="133"/>
      <c r="W11" s="133"/>
      <c r="X11" s="133"/>
      <c r="Y11" s="134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30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70</v>
      </c>
      <c r="C13" s="86"/>
      <c r="D13" s="87"/>
      <c r="E13" s="18" t="s">
        <v>61</v>
      </c>
      <c r="F13" s="86" t="s">
        <v>66</v>
      </c>
      <c r="G13" s="86"/>
      <c r="H13" s="87"/>
      <c r="I13" s="10" t="s">
        <v>62</v>
      </c>
      <c r="J13" s="86" t="s">
        <v>151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20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/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27" t="s">
        <v>194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8"/>
      <c r="N14" s="130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10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>
        <v>130</v>
      </c>
      <c r="P16" s="87"/>
      <c r="Q16" s="10" t="s">
        <v>105</v>
      </c>
      <c r="R16" s="86" t="s">
        <v>23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42"/>
      <c r="Y16" s="143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37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23</v>
      </c>
      <c r="V17" s="87"/>
      <c r="W17" s="10" t="str">
        <f>IF(ISNUMBER(SEARCH("roll",O8,1)),"Total Rolls","Total Ctns")</f>
        <v>Total Ctns</v>
      </c>
      <c r="X17" s="142"/>
      <c r="Y17" s="143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172</v>
      </c>
      <c r="P18" s="87"/>
      <c r="Q18" s="10" t="s">
        <v>106</v>
      </c>
      <c r="R18" s="86" t="s">
        <v>31</v>
      </c>
      <c r="S18" s="87"/>
      <c r="T18" s="20" t="s">
        <v>27</v>
      </c>
      <c r="U18" s="86" t="s">
        <v>36</v>
      </c>
      <c r="V18" s="87"/>
      <c r="W18" s="10" t="s">
        <v>109</v>
      </c>
      <c r="X18" s="142"/>
      <c r="Y18" s="143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7" t="s">
        <v>86</v>
      </c>
      <c r="H22" s="31"/>
      <c r="I22" s="81"/>
      <c r="J22" s="82"/>
      <c r="K22" s="81"/>
      <c r="L22" s="82"/>
      <c r="M22" s="28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 t="s">
        <v>200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139" t="s">
        <v>201</v>
      </c>
      <c r="F23" s="140"/>
      <c r="G23" s="47" t="s">
        <v>87</v>
      </c>
      <c r="H23" s="31"/>
      <c r="I23" s="81"/>
      <c r="J23" s="82"/>
      <c r="K23" s="81"/>
      <c r="L23" s="82"/>
      <c r="M23" s="28"/>
      <c r="N23" s="130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10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 t="s">
        <v>199</v>
      </c>
      <c r="P25" s="33"/>
      <c r="Q25" s="9">
        <v>18</v>
      </c>
      <c r="R25" s="9"/>
      <c r="S25" s="9"/>
      <c r="T25" s="9"/>
      <c r="U25" s="9"/>
      <c r="V25" s="9"/>
      <c r="W25" s="9">
        <v>18</v>
      </c>
      <c r="X25" s="9">
        <v>16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41" t="s">
        <v>132</v>
      </c>
      <c r="H26" s="141"/>
      <c r="I26" s="141" t="s">
        <v>131</v>
      </c>
      <c r="J26" s="141"/>
      <c r="K26" s="23" t="s">
        <v>94</v>
      </c>
      <c r="L26" s="23" t="s">
        <v>95</v>
      </c>
      <c r="M26" s="28"/>
      <c r="N26" s="110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202</v>
      </c>
      <c r="C27" s="7"/>
      <c r="D27" s="144">
        <v>27.6</v>
      </c>
      <c r="E27" s="145">
        <v>2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5"/>
      <c r="G29" s="135"/>
      <c r="H29" s="135"/>
      <c r="I29" s="135"/>
      <c r="J29" s="135"/>
      <c r="K29" s="91"/>
      <c r="L29" s="136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45536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45526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0290B88-46D4-4437-A644-0F51774BFDC5}"/>
</file>

<file path=customXml/itemProps2.xml><?xml version="1.0" encoding="utf-8"?>
<ds:datastoreItem xmlns:ds="http://schemas.openxmlformats.org/officeDocument/2006/customXml" ds:itemID="{6F4BBE69-CB92-4DDE-81AC-E41CBE397DEE}"/>
</file>

<file path=customXml/itemProps3.xml><?xml version="1.0" encoding="utf-8"?>
<ds:datastoreItem xmlns:ds="http://schemas.openxmlformats.org/officeDocument/2006/customXml" ds:itemID="{B0D5D935-BBCB-40E6-B762-270B319C24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2024-06-04T01:07:00Z</cp:lastPrinted>
  <dcterms:created xsi:type="dcterms:W3CDTF">2019-11-27T23:28:06Z</dcterms:created>
  <dcterms:modified xsi:type="dcterms:W3CDTF">2024-08-01T03:14:32Z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