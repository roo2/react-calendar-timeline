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B05F2062-E369-4F1F-A06E-7BADC24E3A6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<sst xmlns="http://schemas.openxmlformats.org/spreadsheetml/2006/main" count="300" uniqueCount="198">
  <si>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</si>
  <si>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</si>
  <si>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</si>
  <si>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</si>
  <si>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</si>
  <si>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</si>
  <si>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</si>
  <si>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</si>
  <si>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</si>
  <si>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</si>
  <si>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</si>
  <si>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</si>
  <si>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</si>
  <si>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</si>
  <si>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</si>
  <si>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</si>
  <si>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</si>
  <si>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</si>
  <si>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</si>
  <si>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</si>
  <si>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</si>
  <si>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</si>
  <si>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</si>
  <si>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</si>
  <si>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</si>
  <si>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</si>
  <si>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</si>
  <si>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</si>
  <si>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</si>
  <si>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</si>
  <si>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</si>
  <si>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</si>
  <si>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</si>
  <si>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</si>
  <si>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</si>
  <si>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</si>
  <si>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</si>
  <si>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</si>
  <si>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</si>
  <si>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</si>
  <si>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</si>
  <si>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</si>
  <si>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</si>
  <si>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</si>
  <si>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</si>
  <si>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</si>
  <si>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</si>
  <si>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</si>
  <si>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</si>
  <si>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</si>
  <si>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</si>
  <si>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</si>
  <si>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</si>
  <si>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</si>
  <si>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</si>
  <si>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</si>
  <si>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</si>
  <si>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</si>
  <si>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</si>
  <si>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</si>
  <si>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</si>
  <si>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</si>
  <si>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</si>
  <si>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</si>
  <si>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</si>
  <si>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</si>
  <si>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</si>
  <si>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</si>
  <si>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</si>
  <si>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</si>
  <si>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</si>
  <si>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</si>
  <si>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</si>
  <si>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</si>
  <si>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</si>
  <si>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</si>
  <si>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</si>
  <si>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</si>
  <si>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</si>
  <si>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</si>
  <si>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</si>
  <si>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</si>
  <si>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</si>
  <si>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</si>
  <si>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</si>
  <si>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</si>
  <si>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</si>
  <si>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</si>
  <si>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</si>
  <si>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</si>
  <si>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</si>
  <si>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</si>
  <si>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</si>
  <si>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</si>
  <si>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</si>
  <si>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</si>
  <si>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</si>
  <si>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</si>
  <si>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</si>
  <si>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</si>
  <si>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</si>
  <si>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</si>
  <si>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</si>
  <si>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</si>
  <si>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</si>
  <si>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</si>
  <si>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</si>
  <si>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</si>
  <si>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</si>
  <si>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</si>
  <si>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</si>
  <si>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</si>
  <si>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</si>
  <si>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</si>
  <si>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</si>
  <si>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</si>
  <si>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</si>
  <si>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</si>
  <si>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</si>
  <si>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</si>
  <si>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</si>
  <si>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</si>
  <si>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</si>
  <si>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</si>
  <si>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</si>
  <si>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</si>
  <si>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</si>
  <si>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</si>
  <si>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</si>
  <si>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</si>
  <si>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</si>
  <si>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</si>
  <si>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</si>
  <si>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</si>
  <si>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</si>
  <si>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</si>
  <si>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</si>
  <si>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</si>
  <si>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</si>
  <si>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</si>
  <si>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</si>
  <si>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</si>
  <si>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</si>
  <si>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</si>
  <si>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</si>
  <si>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</si>
  <si>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</si>
  <si>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</si>
  <si>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</si>
  <si>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</si>
  <si>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</si>
  <si>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</si>
  <si>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</si>
  <si>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</si>
  <si>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</si>
  <si>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</si>
  <si>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</si>
  <si>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</si>
  <si>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</si>
  <si>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</si>
  <si>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</si>
  <si>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</si>
  <si>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</si>
  <si>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</si>
  <si>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</si>
  <si>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</si>
  <si>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</si>
  <si>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</si>
  <si>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</si>
  <si>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</si>
  <si>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</si>
  <si>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</si>
  <si>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</si>
  <si>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</si>
  <si>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</si>
  <si>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</si>
  <si>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</si>
  <si>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</si>
  <si>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</si>
  <si>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</si>
  <si>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</si>
  <si>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</si>
  <si>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</si>
  <si>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</si>
  <si>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</si>
  <si>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</si>
  <si>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</si>
  <si>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</si>
  <si>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</si>
  <si>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</si>
  <si>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</si>
  <si>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</si>
  <si>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</si>
  <si>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</si>
  <si>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</si>
  <si>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NEW ITEM - PERF INLINE</t>
  </si>
  <si>
    <t>PROPAC</t>
  </si>
  <si>
    <t>RUN AT 90um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</si>
</sst>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PBR8202400100</v>
      </c>
      <c r="C1" s="125"/>
      <c r="D1" s="126"/>
      <c r="E1" s="18" t="s">
        <v>56</v>
      </c>
      <c r="F1" s="149" t="s">
        <v>196</v>
      </c>
      <c r="G1" s="149"/>
      <c r="H1" s="150"/>
      <c r="I1" s="18" t="s">
        <v>180</v>
      </c>
      <c r="J1" s="146">
        <f ca="1">TODAY()</f>
        <v>44361</v>
      </c>
      <c r="K1" s="146"/>
      <c r="L1" s="147"/>
      <c r="M1" s="35"/>
      <c r="N1" s="18" t="s">
        <v>55</v>
      </c>
      <c r="O1" s="125" t="str">
        <f>B1</f>
        <v>PBR8202400100</v>
      </c>
      <c r="P1" s="125"/>
      <c r="Q1" s="126"/>
      <c r="R1" s="18" t="s">
        <v>56</v>
      </c>
      <c r="S1" s="125" t="str">
        <f>F1</f>
        <v>PROPAC</v>
      </c>
      <c r="T1" s="125"/>
      <c r="U1" s="126"/>
      <c r="V1" s="18" t="s">
        <v>180</v>
      </c>
      <c r="W1" s="146">
        <f ca="1">J1</f>
        <v>44361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940485</v>
      </c>
      <c r="G2" s="104"/>
      <c r="H2" s="105"/>
      <c r="I2" s="18" t="s">
        <v>58</v>
      </c>
      <c r="J2" s="103">
        <v>44382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940485</v>
      </c>
      <c r="T2" s="125"/>
      <c r="U2" s="126"/>
      <c r="V2" s="18" t="s">
        <v>58</v>
      </c>
      <c r="W2" s="148">
        <f>J2</f>
        <v>44382</v>
      </c>
      <c r="X2" s="125"/>
      <c r="Y2" s="126"/>
    </row>
    <row r="3" spans="1:25" ht="20.100000000000001" customHeight="1" x14ac:dyDescent="0.25">
      <c r="A3" s="137" t="s">
        <v>195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>NEW ITEM - PERF INLINE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20</v>
      </c>
      <c r="P7" s="105"/>
      <c r="Q7" s="18" t="str">
        <f>IF(ISNUMBER(SEARCH("roll",O8,1)),"Per Roll","Per Carton")</f>
        <v>Per Roll</v>
      </c>
      <c r="R7" s="104">
        <v>50</v>
      </c>
      <c r="S7" s="105"/>
      <c r="T7" s="18" t="str">
        <f>IF(ISNUMBER(SEARCH("bag",O8,1)),"Total Bags","Total Sheets")</f>
        <v>Total Bags</v>
      </c>
      <c r="U7" s="125">
        <f>R7*O7</f>
        <v>1000</v>
      </c>
      <c r="V7" s="126"/>
      <c r="W7" s="18" t="s">
        <v>101</v>
      </c>
      <c r="X7" s="104" t="s">
        <v>30</v>
      </c>
      <c r="Y7" s="105"/>
    </row>
    <row r="8" spans="1:25" ht="20.100000000000001" customHeight="1" x14ac:dyDescent="0.25">
      <c r="A8" s="19" t="s">
        <v>15</v>
      </c>
      <c r="B8" s="113">
        <f>R9</f>
        <v>820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100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100000000000001" customHeight="1" x14ac:dyDescent="0.3">
      <c r="A9" s="23" t="s">
        <v>47</v>
      </c>
      <c r="B9" s="123" t="s">
        <v>194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197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820</v>
      </c>
      <c r="S9" s="25" t="s">
        <v>77</v>
      </c>
      <c r="T9" s="36">
        <v>2400</v>
      </c>
      <c r="U9" s="25" t="s">
        <v>77</v>
      </c>
      <c r="V9" s="36">
        <v>100</v>
      </c>
      <c r="W9" s="24"/>
      <c r="X9" s="110"/>
      <c r="Y9" s="111"/>
    </row>
    <row r="10" spans="1:25" ht="20.100000000000001" customHeight="1" x14ac:dyDescent="0.25">
      <c r="A10" s="18" t="s">
        <v>50</v>
      </c>
      <c r="B10" s="104">
        <v>20</v>
      </c>
      <c r="C10" s="105"/>
      <c r="D10" s="56" t="s">
        <v>133</v>
      </c>
      <c r="E10" s="127">
        <f>IF(ISNUMBER(SEARCH("sheet",O8,1)),((R9*T9*H8/540000)*U7/2000*1.3),((R9*T9*H8/540000)*U7/1000*1.08))</f>
        <v>393.6</v>
      </c>
      <c r="F10" s="128"/>
      <c r="G10" s="18" t="s">
        <v>52</v>
      </c>
      <c r="H10" s="131">
        <f>IF(ISNUMBER(SEARCH("sheet",O8,1)),(U7*T9/2000*1.08),(U7*T9/1000*1.08))</f>
        <v>2592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19.68</v>
      </c>
      <c r="F11" s="130"/>
      <c r="G11" s="18" t="s">
        <v>14</v>
      </c>
      <c r="H11" s="129">
        <f>H10/B10</f>
        <v>129.6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20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30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44391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44382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545406E-4FED-48D8-A1D6-B46354183798}"/>
</file>

<file path=customXml/itemProps2.xml><?xml version="1.0" encoding="utf-8"?>
<ds:datastoreItem xmlns:ds="http://schemas.openxmlformats.org/officeDocument/2006/customXml" ds:itemID="{1D32691A-CBB5-4EA9-8507-56DAB6B6486F}"/>
</file>

<file path=customXml/itemProps3.xml><?xml version="1.0" encoding="utf-8"?>
<ds:datastoreItem xmlns:ds="http://schemas.openxmlformats.org/officeDocument/2006/customXml" ds:itemID="{DB14D047-08FD-4147-84D5-A4736EBF5B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2021-06-14T01:50:33Z</cp:lastPrinted>
  <dcterms:created xsi:type="dcterms:W3CDTF">2019-11-27T23:28:06Z</dcterms:created>
  <dcterms:modified xsi:type="dcterms:W3CDTF">2021-06-14T01:50:45Z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