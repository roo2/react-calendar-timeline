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D81ACF4-DDCF-43EC-BAC3-CB1A163821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<sst xmlns="http://schemas.openxmlformats.org/spreadsheetml/2006/main" count="301" uniqueCount="198">
  <si>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</si>
  <si>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</si>
  <si>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</si>
  <si>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</si>
  <si>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</si>
  <si>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</si>
  <si>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</si>
  <si>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</si>
  <si>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</si>
  <si>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</si>
  <si>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</si>
  <si>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</si>
  <si>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</si>
  <si>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</si>
  <si>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</si>
  <si>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</si>
  <si>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</si>
  <si>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</si>
  <si>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</si>
  <si>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</si>
  <si>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</si>
  <si>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</si>
  <si>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</si>
  <si>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</si>
  <si>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</si>
  <si>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</si>
  <si>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</si>
  <si>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</si>
  <si>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</si>
  <si>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</si>
  <si>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</si>
  <si>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</si>
  <si>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</si>
  <si>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</si>
  <si>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</si>
  <si>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</si>
  <si>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</si>
  <si>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</si>
  <si>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</si>
  <si>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</si>
  <si>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</si>
  <si>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</si>
  <si>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</si>
  <si>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</si>
  <si>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</si>
  <si>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</si>
  <si>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</si>
  <si>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</si>
  <si>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</si>
  <si>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</si>
  <si>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</si>
  <si>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</si>
  <si>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</si>
  <si>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</si>
  <si>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</si>
  <si>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</si>
  <si>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</si>
  <si>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</si>
  <si>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</si>
  <si>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</si>
  <si>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</si>
  <si>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</si>
  <si>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</si>
  <si>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</si>
  <si>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</si>
  <si>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</si>
  <si>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</si>
  <si>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</si>
  <si>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</si>
  <si>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</si>
  <si>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</si>
  <si>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</si>
  <si>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</si>
  <si>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</si>
  <si>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</si>
  <si>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</si>
  <si>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</si>
  <si>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</si>
  <si>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</si>
  <si>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</si>
  <si>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</si>
  <si>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</si>
  <si>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</si>
  <si>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</si>
  <si>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</si>
  <si>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</si>
  <si>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</si>
  <si>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</si>
  <si>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</si>
  <si>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</si>
  <si>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</si>
  <si>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</si>
  <si>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</si>
  <si>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</si>
  <si>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</si>
  <si>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</si>
  <si>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</si>
  <si>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</si>
  <si>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</si>
  <si>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</si>
  <si>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</si>
  <si>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</si>
  <si>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</si>
  <si>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</si>
  <si>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</si>
  <si>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</si>
  <si>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</si>
  <si>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</si>
  <si>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</si>
  <si>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</si>
  <si>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</si>
  <si>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</si>
  <si>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</si>
  <si>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</si>
  <si>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</si>
  <si>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</si>
  <si>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</si>
  <si>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</si>
  <si>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</si>
  <si>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</si>
  <si>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</si>
  <si>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</si>
  <si>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</si>
  <si>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</si>
  <si>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</si>
  <si>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</si>
  <si>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</si>
  <si>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</si>
  <si>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</si>
  <si>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</si>
  <si>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</si>
  <si>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</si>
  <si>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</si>
  <si>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</si>
  <si>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</si>
  <si>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</si>
  <si>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</si>
  <si>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</si>
  <si>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</si>
  <si>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</si>
  <si>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</si>
  <si>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</si>
  <si>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</si>
  <si>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</si>
  <si>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</si>
  <si>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</si>
  <si>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</si>
  <si>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</si>
  <si>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</si>
  <si>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</si>
  <si>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</si>
  <si>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</si>
  <si>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</si>
  <si>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</si>
  <si>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</si>
  <si>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</si>
  <si>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</si>
  <si>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</si>
  <si>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</si>
  <si>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</si>
  <si>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</si>
  <si>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</si>
  <si>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</si>
  <si>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</si>
  <si>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</si>
  <si>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</si>
  <si>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</si>
  <si>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</si>
  <si>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</si>
  <si>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</si>
  <si>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</si>
  <si>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</si>
  <si>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</si>
  <si>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</si>
  <si>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</si>
  <si>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</si>
  <si>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</si>
  <si>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</si>
  <si>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</si>
  <si>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</si>
  <si>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</si>
  <si>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</si>
  <si>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</si>
  <si>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</si>
  <si>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</si>
  <si>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</si>
  <si>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</si>
  <si>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</si>
  <si>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</si>
  <si>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</si>
  <si>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</si>
  <si>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</si>
  <si>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</si>
  <si>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</si>
  <si>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35-38um</t>
  </si>
  <si>
    <t xml:space="preserve"> +/- 10mm</t>
  </si>
  <si>
    <t>LIMAX</t>
  </si>
  <si>
    <t>BLACKWOODS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</si>
</sst>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PB45545538</v>
      </c>
      <c r="C1" s="108"/>
      <c r="D1" s="109"/>
      <c r="E1" s="11" t="s">
        <v>57</v>
      </c>
      <c r="F1" s="62" t="s">
        <v>197</v>
      </c>
      <c r="G1" s="62"/>
      <c r="H1" s="63"/>
      <c r="I1" s="12" t="s">
        <v>181</v>
      </c>
      <c r="J1" s="119">
        <f ca="1">TODAY()</f>
        <v>45590</v>
      </c>
      <c r="K1" s="119"/>
      <c r="L1" s="120"/>
      <c r="M1" s="29"/>
      <c r="N1" s="11" t="s">
        <v>56</v>
      </c>
      <c r="O1" s="108" t="str">
        <f>B1</f>
        <v>PB45545538</v>
      </c>
      <c r="P1" s="108"/>
      <c r="Q1" s="109"/>
      <c r="R1" s="11" t="s">
        <v>57</v>
      </c>
      <c r="S1" s="108" t="str">
        <f>F1</f>
        <v>BLACKWOODS</v>
      </c>
      <c r="T1" s="108"/>
      <c r="U1" s="109"/>
      <c r="V1" s="11" t="s">
        <v>181</v>
      </c>
      <c r="W1" s="119">
        <f ca="1">J1</f>
        <v>45590</v>
      </c>
      <c r="X1" s="119"/>
      <c r="Y1" s="120"/>
    </row>
    <row r="2" spans="1:25" ht="20.100000000000001" customHeight="1" x14ac:dyDescent="0.25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945334</v>
      </c>
      <c r="G2" s="62"/>
      <c r="H2" s="63"/>
      <c r="I2" s="11" t="s">
        <v>59</v>
      </c>
      <c r="J2" s="122">
        <v>45036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945334</v>
      </c>
      <c r="T2" s="108"/>
      <c r="U2" s="109"/>
      <c r="V2" s="11" t="s">
        <v>59</v>
      </c>
      <c r="W2" s="121">
        <f>J2</f>
        <v>45036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15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08">
        <f>R7*O7</f>
        <v>15000</v>
      </c>
      <c r="V7" s="109"/>
      <c r="W7" s="11" t="s">
        <v>102</v>
      </c>
      <c r="X7" s="62" t="s">
        <v>23</v>
      </c>
      <c r="Y7" s="63"/>
    </row>
    <row r="8" spans="1:25" ht="20.100000000000001" customHeight="1" x14ac:dyDescent="0.25">
      <c r="A8" s="13" t="s">
        <v>16</v>
      </c>
      <c r="B8" s="96">
        <f>R9</f>
        <v>455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38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48</v>
      </c>
      <c r="B9" s="125" t="s">
        <v>195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194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455</v>
      </c>
      <c r="S9" s="18" t="s">
        <v>78</v>
      </c>
      <c r="T9" s="30">
        <v>455</v>
      </c>
      <c r="U9" s="18" t="s">
        <v>78</v>
      </c>
      <c r="V9" s="30">
        <v>38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7</v>
      </c>
      <c r="C10" s="63"/>
      <c r="D10" s="47" t="s">
        <v>134</v>
      </c>
      <c r="E10" s="127">
        <f>IF(ISNUMBER(SEARCH("sheet",O8,1)),((R9*T9*H8/540000)*U7/2000*1.3),((R9*T9*H8/540000)*U7/1000*1.08))</f>
        <v>236.0085</v>
      </c>
      <c r="F10" s="128"/>
      <c r="G10" s="11" t="s">
        <v>53</v>
      </c>
      <c r="H10" s="131">
        <f>IF(ISNUMBER(SEARCH("sheet",O8,1)),(U7*T9/2000*1.08),(U7*T9/1000*1.08))</f>
        <v>7371.0000000000009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33.715499999999999</v>
      </c>
      <c r="F11" s="130"/>
      <c r="G11" s="11" t="s">
        <v>15</v>
      </c>
      <c r="H11" s="129">
        <f>H10/B10</f>
        <v>1053.0000000000002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150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23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196</v>
      </c>
      <c r="P25" s="34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45621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45611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7D5A9A3-FC6E-4F04-AEAD-FD87DA3DD004}"/>
</file>

<file path=customXml/itemProps2.xml><?xml version="1.0" encoding="utf-8"?>
<ds:datastoreItem xmlns:ds="http://schemas.openxmlformats.org/officeDocument/2006/customXml" ds:itemID="{E7CD0E4A-2DD9-4FC9-A4E5-F77CCF786545}"/>
</file>

<file path=customXml/itemProps3.xml><?xml version="1.0" encoding="utf-8"?>
<ds:datastoreItem xmlns:ds="http://schemas.openxmlformats.org/officeDocument/2006/customXml" ds:itemID="{FDDA8B0D-5589-4716-8C1D-081AF799F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2023-03-20T00:51:23Z</cp:lastPrinted>
  <dcterms:created xsi:type="dcterms:W3CDTF">2019-11-27T23:28:06Z</dcterms:created>
  <dcterms:modified xsi:type="dcterms:W3CDTF">2024-10-25T04:27:08Z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