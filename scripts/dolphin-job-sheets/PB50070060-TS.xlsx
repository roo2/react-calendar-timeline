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1354AB74-6394-43F6-AA76-B04FCE1C745B}" xr6:coauthVersionLast="44" xr6:coauthVersionMax="44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<sst xmlns="http://schemas.openxmlformats.org/spreadsheetml/2006/main" count="304" uniqueCount="200">
  <si>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</si>
  <si>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</si>
  <si>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</si>
  <si>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</si>
  <si>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</si>
  <si>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</si>
  <si>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</si>
  <si>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</si>
  <si>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</si>
  <si>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</si>
  <si>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</si>
  <si>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</si>
  <si>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</si>
  <si>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</si>
  <si>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</si>
  <si>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</si>
  <si>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</si>
  <si>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</si>
  <si>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</si>
  <si>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</si>
  <si>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</si>
  <si>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</si>
  <si>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</si>
  <si>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</si>
  <si>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</si>
  <si>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</si>
  <si>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</si>
  <si>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</si>
  <si>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</si>
  <si>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</si>
  <si>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</si>
  <si>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</si>
  <si>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</si>
  <si>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</si>
  <si>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</si>
  <si>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</si>
  <si>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</si>
  <si>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</si>
  <si>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</si>
  <si>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</si>
  <si>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</si>
  <si>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</si>
  <si>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</si>
  <si>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</si>
  <si>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</si>
  <si>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</si>
  <si>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</si>
  <si>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</si>
  <si>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</si>
  <si>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</si>
  <si>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</si>
  <si>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</si>
  <si>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</si>
  <si>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</si>
  <si>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</si>
  <si>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</si>
  <si>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</si>
  <si>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</si>
  <si>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</si>
  <si>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</si>
  <si>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</si>
  <si>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</si>
  <si>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</si>
  <si>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</si>
  <si>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</si>
  <si>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</si>
  <si>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</si>
  <si>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</si>
  <si>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</si>
  <si>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</si>
  <si>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</si>
  <si>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</si>
  <si>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</si>
  <si>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</si>
  <si>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</si>
  <si>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</si>
  <si>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</si>
  <si>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</si>
  <si>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</si>
  <si>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</si>
  <si>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</si>
  <si>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</si>
  <si>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</si>
  <si>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</si>
  <si>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</si>
  <si>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</si>
  <si>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</si>
  <si>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</si>
  <si>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</si>
  <si>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</si>
  <si>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</si>
  <si>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</si>
  <si>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</si>
  <si>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</si>
  <si>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</si>
  <si>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</si>
  <si>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</si>
  <si>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</si>
  <si>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</si>
  <si>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</si>
  <si>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</si>
  <si>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</si>
  <si>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</si>
  <si>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</si>
  <si>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</si>
  <si>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</si>
  <si>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</si>
  <si>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</si>
  <si>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</si>
  <si>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</si>
  <si>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</si>
  <si>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</si>
  <si>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</si>
  <si>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</si>
  <si>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</si>
  <si>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</si>
  <si>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</si>
  <si>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</si>
  <si>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</si>
  <si>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</si>
  <si>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</si>
  <si>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</si>
  <si>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</si>
  <si>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</si>
  <si>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</si>
  <si>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</si>
  <si>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</si>
  <si>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</si>
  <si>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</si>
  <si>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</si>
  <si>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</si>
  <si>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</si>
  <si>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</si>
  <si>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</si>
  <si>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</si>
  <si>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</si>
  <si>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</si>
  <si>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</si>
  <si>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</si>
  <si>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</si>
  <si>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</si>
  <si>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</si>
  <si>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</si>
  <si>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</si>
  <si>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</si>
  <si>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</si>
  <si>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</si>
  <si>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</si>
  <si>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</si>
  <si>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</si>
  <si>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</si>
  <si>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</si>
  <si>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</si>
  <si>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</si>
  <si>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</si>
  <si>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</si>
  <si>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</si>
  <si>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</si>
  <si>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</si>
  <si>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</si>
  <si>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</si>
  <si>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</si>
  <si>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</si>
  <si>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</si>
  <si>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</si>
  <si>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</si>
  <si>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</si>
  <si>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</si>
  <si>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</si>
  <si>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</si>
  <si>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</si>
  <si>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</si>
  <si>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</si>
  <si>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</si>
  <si>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</si>
  <si>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</si>
  <si>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</si>
  <si>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</si>
  <si>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</si>
  <si>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</si>
  <si>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</si>
  <si>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</si>
  <si>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</si>
  <si>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</si>
  <si>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</si>
  <si>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</si>
  <si>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</si>
  <si>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</si>
  <si>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</si>
  <si>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</si>
  <si>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</si>
  <si>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</si>
  <si>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</si>
  <si>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NOT OVER</t>
  </si>
  <si>
    <t xml:space="preserve"> +/- 5mm</t>
  </si>
  <si>
    <t>Centrefold Roll</t>
  </si>
  <si>
    <t>COASTLINE PRODUCE</t>
  </si>
  <si>
    <t>Notes BAG MUST BE HIGH CLARITY FOOD GRADE</t>
  </si>
  <si>
    <t>10KG BAG</t>
  </si>
  <si>
    <t>MUST BE HIGH CLARITY - FOOD GRADE CONVERT WITH AIR IN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</si>
</sst>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3" sqref="N3:Y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PB50070060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43880</v>
      </c>
      <c r="K1" s="95"/>
      <c r="L1" s="96"/>
      <c r="M1" s="34"/>
      <c r="N1" s="12" t="s">
        <v>56</v>
      </c>
      <c r="O1" s="122" t="str">
        <f>B1</f>
        <v>PB50070060</v>
      </c>
      <c r="P1" s="122"/>
      <c r="Q1" s="123"/>
      <c r="R1" s="12" t="s">
        <v>57</v>
      </c>
      <c r="S1" s="122" t="str">
        <f>F1</f>
        <v>COASTLINE PRODUCE</v>
      </c>
      <c r="T1" s="122"/>
      <c r="U1" s="123"/>
      <c r="V1" s="12" t="s">
        <v>181</v>
      </c>
      <c r="W1" s="95">
        <f ca="1">J1</f>
        <v>43880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10KG BAG</v>
      </c>
      <c r="C2" s="122"/>
      <c r="D2" s="123"/>
      <c r="E2" s="12" t="s">
        <v>58</v>
      </c>
      <c r="F2" s="98">
        <v>936392</v>
      </c>
      <c r="G2" s="98"/>
      <c r="H2" s="99"/>
      <c r="I2" s="12" t="s">
        <v>59</v>
      </c>
      <c r="J2" s="97" t="s">
        <v>192</v>
      </c>
      <c r="K2" s="98"/>
      <c r="L2" s="99"/>
      <c r="M2" s="34"/>
      <c r="N2" s="12" t="s">
        <v>100</v>
      </c>
      <c r="O2" s="122" t="str">
        <f>IF(B2="","",B2)</f>
        <v>10KG BAG</v>
      </c>
      <c r="P2" s="122"/>
      <c r="Q2" s="123"/>
      <c r="R2" s="12" t="s">
        <v>58</v>
      </c>
      <c r="S2" s="122">
        <f>IF(F2="","",F2)</f>
        <v>936392</v>
      </c>
      <c r="T2" s="122"/>
      <c r="U2" s="123"/>
      <c r="V2" s="12" t="s">
        <v>59</v>
      </c>
      <c r="W2" s="135" t="str">
        <f>J2</f>
        <v>ASAP</v>
      </c>
      <c r="X2" s="122"/>
      <c r="Y2" s="123"/>
    </row>
    <row r="3" spans="1:28" ht="20.100000000000001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">
        <v>199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3000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500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60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193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500</v>
      </c>
      <c r="S9" s="20" t="s">
        <v>78</v>
      </c>
      <c r="T9" s="35">
        <v>700</v>
      </c>
      <c r="U9" s="20" t="s">
        <v>78</v>
      </c>
      <c r="V9" s="35">
        <v>60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126</v>
      </c>
      <c r="F10" s="113"/>
      <c r="G10" s="12" t="s">
        <v>53</v>
      </c>
      <c r="H10" s="116">
        <f>IF(ISNUMBER(SEARCH("sheet",O8,1)),(U7*T9/2000*1.08),(U7*T9/1000*1.08))</f>
        <v>2268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198</v>
      </c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31.5</v>
      </c>
      <c r="F11" s="115"/>
      <c r="G11" s="12" t="s">
        <v>15</v>
      </c>
      <c r="H11" s="114">
        <f>H10/B10</f>
        <v>567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180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32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197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" right="0" top="0" bottom="0" header="0" footer="0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43909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43901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195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7F9EEB9-BF04-438D-96DF-E4FDDDF5C75D}"/>
</file>

<file path=customXml/itemProps2.xml><?xml version="1.0" encoding="utf-8"?>
<ds:datastoreItem xmlns:ds="http://schemas.openxmlformats.org/officeDocument/2006/customXml" ds:itemID="{F34A1C9F-A932-4B68-9A6C-77A70261B9F7}"/>
</file>

<file path=customXml/itemProps3.xml><?xml version="1.0" encoding="utf-8"?>
<ds:datastoreItem xmlns:ds="http://schemas.openxmlformats.org/officeDocument/2006/customXml" ds:itemID="{C4C5B4D8-3622-414F-9DA4-B19A9BC3F5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2020-02-19T05:25:57Z</cp:lastPrinted>
  <dcterms:created xsi:type="dcterms:W3CDTF">2019-11-27T23:28:06Z</dcterms:created>
  <dcterms:modified xsi:type="dcterms:W3CDTF">2020-02-19T05:26:33Z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