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1165" windowWidth="28800" windowHeight="1252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<sst xmlns="http://schemas.openxmlformats.org/spreadsheetml/2006/main" count="304" uniqueCount="199">
  <si>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</si>
  <si>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</si>
  <si>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</si>
  <si>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</si>
  <si>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</si>
  <si>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</si>
  <si>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</si>
  <si>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</si>
  <si>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</si>
  <si>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</si>
  <si>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</si>
  <si>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</si>
  <si>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</si>
  <si>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</si>
  <si>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</si>
  <si>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</si>
  <si>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</si>
  <si>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</si>
  <si>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</si>
  <si>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</si>
  <si>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</si>
  <si>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</si>
  <si>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</si>
  <si>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</si>
  <si>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</si>
  <si>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</si>
  <si>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</si>
  <si>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</si>
  <si>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</si>
  <si>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</si>
  <si>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</si>
  <si>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</si>
  <si>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</si>
  <si>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</si>
  <si>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</si>
  <si>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</si>
  <si>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</si>
  <si>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</si>
  <si>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</si>
  <si>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</si>
  <si>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</si>
  <si>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</si>
  <si>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</si>
  <si>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</si>
  <si>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</si>
  <si>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</si>
  <si>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</si>
  <si>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</si>
  <si>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</si>
  <si>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</si>
  <si>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</si>
  <si>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</si>
  <si>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</si>
  <si>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</si>
  <si>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</si>
  <si>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</si>
  <si>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</si>
  <si>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</si>
  <si>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</si>
  <si>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</si>
  <si>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</si>
  <si>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</si>
  <si>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</si>
  <si>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</si>
  <si>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</si>
  <si>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</si>
  <si>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</si>
  <si>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</si>
  <si>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</si>
  <si>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</si>
  <si>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</si>
  <si>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</si>
  <si>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</si>
  <si>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</si>
  <si>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</si>
  <si>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</si>
  <si>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</si>
  <si>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</si>
  <si>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</si>
  <si>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</si>
  <si>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</si>
  <si>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</si>
  <si>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</si>
  <si>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</si>
  <si>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</si>
  <si>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</si>
  <si>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</si>
  <si>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</si>
  <si>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</si>
  <si>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</si>
  <si>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</si>
  <si>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</si>
  <si>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</si>
  <si>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</si>
  <si>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</si>
  <si>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</si>
  <si>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</si>
  <si>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</si>
  <si>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</si>
  <si>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</si>
  <si>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</si>
  <si>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</si>
  <si>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</si>
  <si>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</si>
  <si>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</si>
  <si>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</si>
  <si>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</si>
  <si>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</si>
  <si>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</si>
  <si>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</si>
  <si>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</si>
  <si>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</si>
  <si>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</si>
  <si>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</si>
  <si>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</si>
  <si>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</si>
  <si>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</si>
  <si>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</si>
  <si>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</si>
  <si>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</si>
  <si>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</si>
  <si>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</si>
  <si>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</si>
  <si>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</si>
  <si>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</si>
  <si>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</si>
  <si>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</si>
  <si>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</si>
  <si>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</si>
  <si>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</si>
  <si>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</si>
  <si>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</si>
  <si>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</si>
  <si>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</si>
  <si>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</si>
  <si>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</si>
  <si>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</si>
  <si>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</si>
  <si>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</si>
  <si>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</si>
  <si>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</si>
  <si>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</si>
  <si>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</si>
  <si>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</si>
  <si>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</si>
  <si>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</si>
  <si>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</si>
  <si>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</si>
  <si>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</si>
  <si>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</si>
  <si>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</si>
  <si>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</si>
  <si>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</si>
  <si>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</si>
  <si>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</si>
  <si>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</si>
  <si>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</si>
  <si>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</si>
  <si>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</si>
  <si>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</si>
  <si>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</si>
  <si>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</si>
  <si>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</si>
  <si>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</si>
  <si>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</si>
  <si>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</si>
  <si>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</si>
  <si>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</si>
  <si>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</si>
  <si>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</si>
  <si>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</si>
  <si>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</si>
  <si>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</si>
  <si>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</si>
  <si>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</si>
  <si>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</si>
  <si>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</si>
  <si>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</si>
  <si>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</si>
  <si>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</si>
  <si>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</si>
  <si>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</si>
  <si>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</si>
  <si>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</si>
  <si>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</si>
  <si>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</si>
  <si>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</si>
  <si>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</si>
  <si>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</si>
  <si>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</si>
  <si>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</si>
  <si>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</si>
  <si>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</si>
  <si>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</si>
  <si>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PRO-PAC</t>
  </si>
  <si>
    <t>"READY BAKE"</t>
  </si>
  <si>
    <t xml:space="preserve"> +/- 5mm</t>
  </si>
  <si>
    <t xml:space="preserve"> +/- 5um</t>
  </si>
  <si>
    <t>NEW ITEM - FOOD GRADE. MUST BE KEPT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</si>
</sst>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3" fillId="0" borderId="2" xfId="0" applyFont="1" applyBorder="1" applyAlignment="1" applyProtection="1">
      <protection locked="0"/>
    </xf>
    <xf numFmtId="0" fontId="13" fillId="0" borderId="5" xfId="0" applyFont="1" applyBorder="1" applyAlignment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zoomScale="80" zoomScaleNormal="80" workbookViewId="0">
      <selection activeCell="B7" sqref="B7:I7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PB30545035P</v>
      </c>
      <c r="C1" s="123"/>
      <c r="D1" s="124"/>
      <c r="E1" s="12" t="s">
        <v>57</v>
      </c>
      <c r="F1" s="134" t="s">
        <v>194</v>
      </c>
      <c r="G1" s="134"/>
      <c r="H1" s="135"/>
      <c r="I1" s="13" t="s">
        <v>181</v>
      </c>
      <c r="J1" s="136">
        <f ca="1">TODAY()</f>
        <v>43906</v>
      </c>
      <c r="K1" s="136"/>
      <c r="L1" s="137"/>
      <c r="M1" s="34"/>
      <c r="N1" s="12" t="s">
        <v>56</v>
      </c>
      <c r="O1" s="123" t="str">
        <f>B1</f>
        <v>PB30545035P</v>
      </c>
      <c r="P1" s="123"/>
      <c r="Q1" s="124"/>
      <c r="R1" s="12" t="s">
        <v>57</v>
      </c>
      <c r="S1" s="123" t="str">
        <f>F1</f>
        <v>PRO-PAC</v>
      </c>
      <c r="T1" s="123"/>
      <c r="U1" s="124"/>
      <c r="V1" s="12" t="s">
        <v>181</v>
      </c>
      <c r="W1" s="136">
        <f ca="1">J1</f>
        <v>43906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936688</v>
      </c>
      <c r="G2" s="73"/>
      <c r="H2" s="74"/>
      <c r="I2" s="12" t="s">
        <v>59</v>
      </c>
      <c r="J2" s="139">
        <v>43927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936688</v>
      </c>
      <c r="T2" s="123"/>
      <c r="U2" s="124"/>
      <c r="V2" s="12" t="s">
        <v>59</v>
      </c>
      <c r="W2" s="138">
        <f>J2</f>
        <v>43927</v>
      </c>
      <c r="X2" s="123"/>
      <c r="Y2" s="124"/>
    </row>
    <row r="3" spans="1:28" ht="20.05" customHeight="1" x14ac:dyDescent="0.3">
      <c r="A3" s="125" t="s">
        <v>198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FOOD GRADE. MUST BE KEPT CLEAN.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59" t="s">
        <v>163</v>
      </c>
      <c r="C7" s="159"/>
      <c r="D7" s="159"/>
      <c r="E7" s="159"/>
      <c r="F7" s="159"/>
      <c r="G7" s="159"/>
      <c r="H7" s="159"/>
      <c r="I7" s="160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20000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305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197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305</v>
      </c>
      <c r="S9" s="20" t="s">
        <v>78</v>
      </c>
      <c r="T9" s="35">
        <v>450</v>
      </c>
      <c r="U9" s="20" t="s">
        <v>78</v>
      </c>
      <c r="V9" s="35">
        <v>35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20</v>
      </c>
      <c r="C10" s="74"/>
      <c r="D10" s="54" t="s">
        <v>134</v>
      </c>
      <c r="E10" s="145">
        <f>IF(ISNUMBER(SEARCH("sheet",O8,1)),((R9*T9*H8/540000)*U7/2000*1.3),((R9*T9*H8/540000)*U7/1000*1.08))</f>
        <v>192.15000000000003</v>
      </c>
      <c r="F10" s="146"/>
      <c r="G10" s="12" t="s">
        <v>53</v>
      </c>
      <c r="H10" s="149">
        <f>IF(ISNUMBER(SEARCH("sheet",O8,1)),(U7*T9/2000*1.08),(U7*T9/1000*1.08))</f>
        <v>9720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9.6075000000000017</v>
      </c>
      <c r="F11" s="148"/>
      <c r="G11" s="12" t="s">
        <v>15</v>
      </c>
      <c r="H11" s="147">
        <f>H10/B10</f>
        <v>486</v>
      </c>
      <c r="I11" s="148"/>
      <c r="J11" s="12" t="s">
        <v>50</v>
      </c>
      <c r="K11" s="73" t="s">
        <v>64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69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177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 t="s">
        <v>195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>
          <x14:formula1>
            <xm:f>Sheet2!$N$53:$N$54</xm:f>
          </x14:formula1>
          <xm:sqref>U16:V17 R16:S18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43937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43927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A7F2FE-46F3-4FF1-BC53-F84EAF7C655D}"/>
</file>

<file path=customXml/itemProps2.xml><?xml version="1.0" encoding="utf-8"?>
<ds:datastoreItem xmlns:ds="http://schemas.openxmlformats.org/officeDocument/2006/customXml" ds:itemID="{2C10A022-2EC4-4E96-A961-791B2ECB454D}"/>
</file>

<file path=customXml/itemProps3.xml><?xml version="1.0" encoding="utf-8"?>
<ds:datastoreItem xmlns:ds="http://schemas.openxmlformats.org/officeDocument/2006/customXml" ds:itemID="{A14DB1FA-94E2-4D89-9622-ACBF57DAF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2020-03-16T00:28:50Z</cp:lastPrinted>
  <dcterms:created xsi:type="dcterms:W3CDTF">2019-11-27T23:28:06Z</dcterms:created>
  <dcterms:modified xsi:type="dcterms:W3CDTF">2020-03-16T00:29:02Z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