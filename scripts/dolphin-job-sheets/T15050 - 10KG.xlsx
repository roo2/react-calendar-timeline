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BF84A06-35C6-4A43-B6E5-7146DC285943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<sst xmlns="http://schemas.openxmlformats.org/spreadsheetml/2006/main" count="225" uniqueCount="167">
  <si>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</si>
  <si>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</si>
  <si>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</si>
  <si>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</si>
  <si>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</si>
  <si>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</si>
  <si>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</si>
  <si>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</si>
  <si>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</si>
  <si>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</si>
  <si>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</si>
  <si>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</si>
  <si>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</si>
  <si>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</si>
  <si>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</si>
  <si>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</si>
  <si>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</si>
  <si>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</si>
  <si>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</si>
  <si>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</si>
  <si>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</si>
  <si>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</si>
  <si>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</si>
  <si>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</si>
  <si>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</si>
  <si>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</si>
  <si>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</si>
  <si>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</si>
  <si>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</si>
  <si>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</si>
  <si>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</si>
  <si>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</si>
  <si>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</si>
  <si>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</si>
  <si>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</si>
  <si>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</si>
  <si>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</si>
  <si>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</si>
  <si>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</si>
  <si>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</si>
  <si>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</si>
  <si>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</si>
  <si>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</si>
  <si>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</si>
  <si>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</si>
  <si>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</si>
  <si>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</si>
  <si>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</si>
  <si>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</si>
  <si>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</si>
  <si>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</si>
  <si>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</si>
  <si>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</si>
  <si>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</si>
  <si>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</si>
  <si>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</si>
  <si>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</si>
  <si>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</si>
  <si>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</si>
  <si>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</si>
  <si>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</si>
  <si>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</si>
  <si>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</si>
  <si>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</si>
  <si>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</si>
  <si>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</si>
  <si>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</si>
  <si>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</si>
  <si>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</si>
  <si>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</si>
  <si>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</si>
  <si>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</si>
  <si>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</si>
  <si>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</si>
  <si>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</si>
  <si>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</si>
  <si>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</si>
  <si>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</si>
  <si>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</si>
  <si>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</si>
  <si>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</si>
  <si>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</si>
  <si>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</si>
  <si>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</si>
  <si>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</si>
  <si>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</si>
  <si>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</si>
  <si>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</si>
  <si>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</si>
  <si>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</si>
  <si>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</si>
  <si>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</si>
  <si>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</si>
  <si>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</si>
  <si>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</si>
  <si>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</si>
  <si>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</si>
  <si>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</si>
  <si>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</si>
  <si>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</si>
  <si>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</si>
  <si>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</si>
  <si>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</si>
  <si>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</si>
  <si>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</si>
  <si>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</si>
  <si>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</si>
  <si>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</si>
  <si>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</si>
  <si>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</si>
  <si>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</si>
  <si>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</si>
  <si>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</si>
  <si>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</si>
  <si>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</si>
  <si>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</si>
  <si>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</si>
  <si>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</si>
  <si>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</si>
  <si>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</si>
  <si>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</si>
  <si>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</si>
  <si>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</si>
  <si>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</si>
  <si>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</si>
  <si>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</si>
  <si>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</si>
  <si>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</si>
  <si>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</si>
  <si>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</si>
  <si>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</si>
  <si>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</si>
  <si>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</si>
  <si>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</si>
  <si>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</si>
  <si>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</si>
  <si>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</si>
  <si>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</si>
  <si>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</si>
  <si>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</si>
  <si>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</si>
  <si>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</si>
  <si>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</si>
  <si>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</si>
  <si>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</si>
  <si>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</si>
  <si>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</si>
  <si>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</si>
  <si>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</si>
  <si>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</si>
  <si>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</si>
  <si>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</si>
  <si>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</si>
  <si>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</si>
  <si>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</si>
  <si>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</si>
  <si>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</si>
  <si>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</si>
  <si>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</si>
  <si>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</si>
  <si>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</si>
  <si>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</si>
  <si>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</si>
  <si>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</si>
  <si>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+/- 5um</t>
  </si>
  <si>
    <t>20KG ON BACKORDER 28/10/20</t>
  </si>
  <si>
    <t>SUPAVIEW &amp;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</si>
</sst>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T15050</v>
      </c>
      <c r="C1" s="112"/>
      <c r="D1" s="113"/>
      <c r="E1" s="12" t="s">
        <v>55</v>
      </c>
      <c r="F1" s="123" t="s">
        <v>166</v>
      </c>
      <c r="G1" s="123"/>
      <c r="H1" s="124"/>
      <c r="I1" s="12" t="s">
        <v>148</v>
      </c>
      <c r="J1" s="125">
        <f ca="1">TODAY()</f>
        <v>44761</v>
      </c>
      <c r="K1" s="125"/>
      <c r="L1" s="126"/>
    </row>
    <row r="2" spans="1:14" ht="20.149999999999999" customHeight="1" x14ac:dyDescent="0.8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943778</v>
      </c>
      <c r="G2" s="55"/>
      <c r="H2" s="56"/>
      <c r="I2" s="12" t="s">
        <v>57</v>
      </c>
      <c r="J2" s="127">
        <v>44792</v>
      </c>
      <c r="K2" s="55"/>
      <c r="L2" s="56"/>
    </row>
    <row r="3" spans="1:14" ht="20.149999999999999" customHeight="1" x14ac:dyDescent="0.75">
      <c r="A3" s="114" t="s">
        <v>165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49999999999999" customHeight="1" x14ac:dyDescent="0.7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49999999999999" customHeight="1" x14ac:dyDescent="0.9">
      <c r="A7" s="12" t="s">
        <v>158</v>
      </c>
      <c r="B7" s="55" t="s">
        <v>159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49999999999999" customHeight="1" x14ac:dyDescent="0.8">
      <c r="A8" s="13" t="s">
        <v>14</v>
      </c>
      <c r="B8" s="77">
        <v>150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49999999999999" customHeight="1" x14ac:dyDescent="0.9">
      <c r="A9" s="14" t="s">
        <v>46</v>
      </c>
      <c r="B9" s="95" t="s">
        <v>146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164</v>
      </c>
      <c r="I9" s="96"/>
      <c r="J9" s="12" t="s">
        <v>53</v>
      </c>
      <c r="K9" s="55" t="s">
        <v>28</v>
      </c>
      <c r="L9" s="56"/>
    </row>
    <row r="10" spans="1:14" ht="20.149999999999999" customHeight="1" x14ac:dyDescent="0.8">
      <c r="A10" s="12" t="s">
        <v>49</v>
      </c>
      <c r="B10" s="55">
        <v>10</v>
      </c>
      <c r="C10" s="56"/>
      <c r="D10" s="42" t="s">
        <v>104</v>
      </c>
      <c r="E10" s="99">
        <f>E11*B10</f>
        <v>100</v>
      </c>
      <c r="F10" s="100"/>
      <c r="G10" s="12" t="s">
        <v>51</v>
      </c>
      <c r="H10" s="103">
        <f>H11*B10</f>
        <v>7200</v>
      </c>
      <c r="I10" s="104"/>
      <c r="J10" s="12" t="s">
        <v>39</v>
      </c>
      <c r="K10" s="55" t="s">
        <v>42</v>
      </c>
      <c r="L10" s="56"/>
    </row>
    <row r="11" spans="1:14" s="52" customFormat="1" ht="20.149999999999999" customHeight="1" x14ac:dyDescent="0.8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720</v>
      </c>
      <c r="I11" s="106"/>
      <c r="J11" s="51" t="s">
        <v>48</v>
      </c>
      <c r="K11" s="110" t="s">
        <v>42</v>
      </c>
      <c r="L11" s="111"/>
      <c r="N11"/>
    </row>
    <row r="12" spans="1:14" ht="20.149999999999999" customHeight="1" x14ac:dyDescent="0.7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49999999999999" customHeight="1" x14ac:dyDescent="0.8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49999999999999" customHeight="1" x14ac:dyDescent="0.9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49999999999999" customHeight="1" x14ac:dyDescent="0.7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49999999999999" customHeight="1" x14ac:dyDescent="0.8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10</v>
      </c>
      <c r="G16" s="112"/>
      <c r="H16" s="113"/>
      <c r="I16" s="12" t="s">
        <v>74</v>
      </c>
      <c r="J16" s="55"/>
      <c r="K16" s="55"/>
      <c r="L16" s="56"/>
    </row>
    <row r="17" spans="1:12" ht="20.149999999999999" customHeight="1" x14ac:dyDescent="0.75">
      <c r="A17" s="133" t="s">
        <v>149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49999999999999" customHeight="1" x14ac:dyDescent="0.7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49999999999999" customHeight="1" x14ac:dyDescent="0.7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49999999999999" customHeight="1" x14ac:dyDescent="0.7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49999999999999" customHeight="1" x14ac:dyDescent="0.7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49999999999999" customHeight="1" x14ac:dyDescent="0.7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49999999999999" customHeight="1" x14ac:dyDescent="0.75">
      <c r="A23" s="89" t="s">
        <v>150</v>
      </c>
      <c r="B23" s="89"/>
      <c r="C23" s="66" t="s">
        <v>151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49999999999999" customHeight="1" x14ac:dyDescent="0.7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49999999999999" customHeight="1" x14ac:dyDescent="0.7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49999999999999" customHeight="1" x14ac:dyDescent="0.7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49999999999999" customHeight="1" x14ac:dyDescent="0.7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49999999999999" customHeight="1" x14ac:dyDescent="0.7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49999999999999" customHeight="1" x14ac:dyDescent="0.7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49999999999999" customHeight="1" x14ac:dyDescent="0.7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49999999999999" customHeight="1" x14ac:dyDescent="0.7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49999999999999" customHeight="1" x14ac:dyDescent="0.7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49999999999999" customHeight="1" x14ac:dyDescent="0.7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49999999999999" customHeight="1" x14ac:dyDescent="0.7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49999999999999" customHeight="1" x14ac:dyDescent="0.7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49999999999999" customHeight="1" x14ac:dyDescent="0.7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49999999999999" customHeight="1" x14ac:dyDescent="0.7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49999999999999" customHeight="1" x14ac:dyDescent="0.7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49999999999999" customHeight="1" x14ac:dyDescent="0.7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49999999999999" customHeight="1" x14ac:dyDescent="0.7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49999999999999" customHeight="1" x14ac:dyDescent="0.7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49999999999999" customHeight="1" x14ac:dyDescent="0.7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49999999999999" customHeight="1" x14ac:dyDescent="0.7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49999999999999" customHeight="1" x14ac:dyDescent="0.75"/>
    <row r="45" spans="1:12" ht="20.149999999999999" customHeight="1" x14ac:dyDescent="0.7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49999999999999" customHeight="1" x14ac:dyDescent="0.7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49999999999999" customHeight="1" x14ac:dyDescent="0.7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49999999999999" customHeight="1" x14ac:dyDescent="0.7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49999999999999" customHeight="1" x14ac:dyDescent="0.7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49999999999999" customHeight="1" x14ac:dyDescent="0.7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49999999999999" customHeight="1" x14ac:dyDescent="0.7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49999999999999" customHeight="1" x14ac:dyDescent="0.7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49999999999999" customHeight="1" x14ac:dyDescent="0.7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49999999999999" customHeight="1" x14ac:dyDescent="0.7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49999999999999" customHeight="1" x14ac:dyDescent="0.7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49999999999999" customHeight="1" x14ac:dyDescent="0.7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49999999999999" customHeight="1" x14ac:dyDescent="0.7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49999999999999" customHeight="1" x14ac:dyDescent="0.7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49999999999999" customHeight="1" x14ac:dyDescent="0.7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49999999999999" customHeight="1" x14ac:dyDescent="0.7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49999999999999" customHeight="1" x14ac:dyDescent="0.7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49999999999999" customHeight="1" x14ac:dyDescent="0.7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49999999999999" customHeight="1" x14ac:dyDescent="0.7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49999999999999" customHeight="1" x14ac:dyDescent="0.7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49999999999999" customHeight="1" x14ac:dyDescent="0.7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49999999999999" customHeight="1" x14ac:dyDescent="0.7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49999999999999" customHeight="1" x14ac:dyDescent="0.7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49999999999999" customHeight="1" x14ac:dyDescent="0.7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49999999999999" customHeight="1" x14ac:dyDescent="0.7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49999999999999" customHeight="1" x14ac:dyDescent="0.7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49999999999999" customHeight="1" x14ac:dyDescent="0.7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49999999999999" customHeight="1" x14ac:dyDescent="0.7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49999999999999" customHeight="1" x14ac:dyDescent="0.7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49999999999999" customHeight="1" x14ac:dyDescent="0.7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49999999999999" customHeight="1" x14ac:dyDescent="0.7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49999999999999" customHeight="1" x14ac:dyDescent="0.7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49999999999999" customHeight="1" x14ac:dyDescent="0.7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49999999999999" customHeight="1" x14ac:dyDescent="0.7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49999999999999" customHeight="1" x14ac:dyDescent="0.7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49999999999999" customHeight="1" x14ac:dyDescent="0.7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49999999999999" customHeight="1" x14ac:dyDescent="0.7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49999999999999" customHeight="1" x14ac:dyDescent="0.7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49999999999999" customHeight="1" x14ac:dyDescent="0.7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49999999999999" customHeight="1" x14ac:dyDescent="0.7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49999999999999" customHeight="1" x14ac:dyDescent="0.7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7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7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3">
        <f ca="1">DATE(YEAR(Sheet1!J1),MONTH(Sheet1!J1)+1,DAY(Sheet1!J1))</f>
        <v>44792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3">
        <f ca="1">DATE(YEAR(Sheet1!J1),MONTH(Sheet1!J1),DAY(Sheet1!J1)+21)</f>
        <v>44782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7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7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7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7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7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7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7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7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7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7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7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7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7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7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7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7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7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7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7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7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7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7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7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7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7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7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7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7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7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7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7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7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7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7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7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75">
      <c r="A59" s="43"/>
    </row>
    <row r="60" spans="1:20" x14ac:dyDescent="0.75">
      <c r="A60" s="44" t="s">
        <v>61</v>
      </c>
      <c r="O60" s="1"/>
      <c r="Q60" s="1"/>
      <c r="R60" s="3"/>
      <c r="S60" s="1"/>
    </row>
    <row r="61" spans="1:20" x14ac:dyDescent="0.75">
      <c r="A61" s="43" t="s">
        <v>42</v>
      </c>
      <c r="O61" s="1"/>
      <c r="Q61" s="1"/>
      <c r="R61" s="1"/>
      <c r="S61" s="1"/>
    </row>
    <row r="62" spans="1:20" x14ac:dyDescent="0.75">
      <c r="A62" s="46" t="s">
        <v>144</v>
      </c>
      <c r="O62" s="1"/>
      <c r="Q62" s="1"/>
      <c r="R62" s="1"/>
      <c r="S62" s="1"/>
    </row>
    <row r="63" spans="1:20" x14ac:dyDescent="0.75">
      <c r="A63" s="47" t="s">
        <v>123</v>
      </c>
      <c r="O63" s="1"/>
      <c r="Q63" s="1"/>
      <c r="R63" s="1"/>
      <c r="S63" s="1"/>
      <c r="T63" s="1"/>
    </row>
    <row r="64" spans="1:20" x14ac:dyDescent="0.75">
      <c r="A64" s="47" t="s">
        <v>116</v>
      </c>
      <c r="O64" s="1"/>
      <c r="Q64" s="1"/>
      <c r="R64" s="1"/>
      <c r="S64" s="1"/>
      <c r="T64" s="1"/>
    </row>
    <row r="65" spans="1:20" x14ac:dyDescent="0.7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7" t="s">
        <v>121</v>
      </c>
      <c r="N69" s="4"/>
    </row>
    <row r="70" spans="1:20" x14ac:dyDescent="0.75">
      <c r="A70" s="47" t="s">
        <v>142</v>
      </c>
    </row>
    <row r="71" spans="1:20" x14ac:dyDescent="0.75">
      <c r="A71" s="47" t="s">
        <v>122</v>
      </c>
    </row>
    <row r="72" spans="1:20" x14ac:dyDescent="0.75">
      <c r="A72" s="47" t="s">
        <v>120</v>
      </c>
    </row>
    <row r="73" spans="1:20" x14ac:dyDescent="0.75">
      <c r="A73" s="47" t="s">
        <v>121</v>
      </c>
    </row>
    <row r="74" spans="1:20" x14ac:dyDescent="0.75">
      <c r="A74" s="47" t="s">
        <v>142</v>
      </c>
    </row>
    <row r="75" spans="1:20" x14ac:dyDescent="0.7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A321571-E7CA-4A85-80F8-8B7A145F9A9E}"/>
</file>

<file path=customXml/itemProps2.xml><?xml version="1.0" encoding="utf-8"?>
<ds:datastoreItem xmlns:ds="http://schemas.openxmlformats.org/officeDocument/2006/customXml" ds:itemID="{6E9AEF59-FFFE-45B5-BD37-E11858CBEDD1}"/>
</file>

<file path=customXml/itemProps3.xml><?xml version="1.0" encoding="utf-8"?>
<ds:datastoreItem xmlns:ds="http://schemas.openxmlformats.org/officeDocument/2006/customXml" ds:itemID="{22AA4C58-E29D-484F-A916-36847677B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2022-07-19T03:13:19Z</cp:lastPrinted>
  <dcterms:created xsi:type="dcterms:W3CDTF">2019-11-27T23:28:06Z</dcterms:created>
  <dcterms:modified xsi:type="dcterms:W3CDTF">2022-07-19T03:41:31Z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