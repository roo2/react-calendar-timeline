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080A28C-C636-4650-A190-329614C4964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<sst xmlns="http://schemas.openxmlformats.org/spreadsheetml/2006/main" count="311" uniqueCount="204">
  <si>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</si>
  <si>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</si>
  <si>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</si>
  <si>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</si>
  <si>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</si>
  <si>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</si>
  <si>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</si>
  <si>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</si>
  <si>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</si>
  <si>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</si>
  <si>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</si>
  <si>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</si>
  <si>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</si>
  <si>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</si>
  <si>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</si>
  <si>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</si>
  <si>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</si>
  <si>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</si>
  <si>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</si>
  <si>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</si>
  <si>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</si>
  <si>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</si>
  <si>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</si>
  <si>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</si>
  <si>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</si>
  <si>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</si>
  <si>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</si>
  <si>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</si>
  <si>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</si>
  <si>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</si>
  <si>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</si>
  <si>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</si>
  <si>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</si>
  <si>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</si>
  <si>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</si>
  <si>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</si>
  <si>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</si>
  <si>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</si>
  <si>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</si>
  <si>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</si>
  <si>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</si>
  <si>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</si>
  <si>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</si>
  <si>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</si>
  <si>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</si>
  <si>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</si>
  <si>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</si>
  <si>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</si>
  <si>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</si>
  <si>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</si>
  <si>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</si>
  <si>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</si>
  <si>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</si>
  <si>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</si>
  <si>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</si>
  <si>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</si>
  <si>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</si>
  <si>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</si>
  <si>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</si>
  <si>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</si>
  <si>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</si>
  <si>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</si>
  <si>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</si>
  <si>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</si>
  <si>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</si>
  <si>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</si>
  <si>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</si>
  <si>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</si>
  <si>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</si>
  <si>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</si>
  <si>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</si>
  <si>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</si>
  <si>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</si>
  <si>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</si>
  <si>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</si>
  <si>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</si>
  <si>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</si>
  <si>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</si>
  <si>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</si>
  <si>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</si>
  <si>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</si>
  <si>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</si>
  <si>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</si>
  <si>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</si>
  <si>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</si>
  <si>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</si>
  <si>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</si>
  <si>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</si>
  <si>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</si>
  <si>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</si>
  <si>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</si>
  <si>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</si>
  <si>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</si>
  <si>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</si>
  <si>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</si>
  <si>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</si>
  <si>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</si>
  <si>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</si>
  <si>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</si>
  <si>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</si>
  <si>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</si>
  <si>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</si>
  <si>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</si>
  <si>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</si>
  <si>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</si>
  <si>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</si>
  <si>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</si>
  <si>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</si>
  <si>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</si>
  <si>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</si>
  <si>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</si>
  <si>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</si>
  <si>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</si>
  <si>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</si>
  <si>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</si>
  <si>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</si>
  <si>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</si>
  <si>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</si>
  <si>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</si>
  <si>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</si>
  <si>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</si>
  <si>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</si>
  <si>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</si>
  <si>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</si>
  <si>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</si>
  <si>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</si>
  <si>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</si>
  <si>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</si>
  <si>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</si>
  <si>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</si>
  <si>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</si>
  <si>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</si>
  <si>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</si>
  <si>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</si>
  <si>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</si>
  <si>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</si>
  <si>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</si>
  <si>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</si>
  <si>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</si>
  <si>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</si>
  <si>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</si>
  <si>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</si>
  <si>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</si>
  <si>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</si>
  <si>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</si>
  <si>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</si>
  <si>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</si>
  <si>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</si>
  <si>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</si>
  <si>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</si>
  <si>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</si>
  <si>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</si>
  <si>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</si>
  <si>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</si>
  <si>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</si>
  <si>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</si>
  <si>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</si>
  <si>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</si>
  <si>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</si>
  <si>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</si>
  <si>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</si>
  <si>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</si>
  <si>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</si>
  <si>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</si>
  <si>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</si>
  <si>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</si>
  <si>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</si>
  <si>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</si>
  <si>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</si>
  <si>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</si>
  <si>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</si>
  <si>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</si>
  <si>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</si>
  <si>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</si>
  <si>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</si>
  <si>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</si>
  <si>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</si>
  <si>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</si>
  <si>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</si>
  <si>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</si>
  <si>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</si>
  <si>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</si>
  <si>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</si>
  <si>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</si>
  <si>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</si>
  <si>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</si>
  <si>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</si>
  <si>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</si>
  <si>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</si>
  <si>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</si>
  <si>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</si>
  <si>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</si>
  <si>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</si>
  <si>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</si>
  <si>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</si>
  <si>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(470+465)</t>
  </si>
  <si>
    <t>"CLINICAL WASTE"</t>
  </si>
  <si>
    <t>RUN AT 45um</t>
  </si>
  <si>
    <t>YCW12050 - 8332</t>
  </si>
  <si>
    <t xml:space="preserve">LIMAX </t>
  </si>
  <si>
    <t>AIM LAB</t>
  </si>
  <si>
    <t>ANTIBLOCK</t>
  </si>
  <si>
    <t>ANTISTASTIC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</si>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</sst>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6" fillId="0" borderId="10" xfId="0" applyFont="1" applyBorder="1" applyAlignment="1" applyProtection="1">
      <alignment horizontal="center" vertical="center"/>
      <protection locked="0"/>
    </xf>
    <xf numFmtId="0" fontId="16" fillId="0" borderId="1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PB935G125050Y00P</v>
      </c>
      <c r="C1" s="111"/>
      <c r="D1" s="112"/>
      <c r="E1" s="11" t="s">
        <v>57</v>
      </c>
      <c r="F1" s="87" t="s">
        <v>200</v>
      </c>
      <c r="G1" s="87"/>
      <c r="H1" s="88"/>
      <c r="I1" s="12" t="s">
        <v>181</v>
      </c>
      <c r="J1" s="84">
        <f ca="1">TODAY()</f>
        <v>45747</v>
      </c>
      <c r="K1" s="84"/>
      <c r="L1" s="85"/>
      <c r="M1" s="29"/>
      <c r="N1" s="11" t="s">
        <v>56</v>
      </c>
      <c r="O1" s="111" t="str">
        <f>B1</f>
        <v>PB935G125050Y00P</v>
      </c>
      <c r="P1" s="111"/>
      <c r="Q1" s="112"/>
      <c r="R1" s="11" t="s">
        <v>57</v>
      </c>
      <c r="S1" s="111" t="str">
        <f>F1</f>
        <v>AIM LAB</v>
      </c>
      <c r="T1" s="111"/>
      <c r="U1" s="112"/>
      <c r="V1" s="11" t="s">
        <v>181</v>
      </c>
      <c r="W1" s="84">
        <f ca="1">J1</f>
        <v>45747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>YCW12050 - 8332</v>
      </c>
      <c r="C2" s="111"/>
      <c r="D2" s="112"/>
      <c r="E2" s="11" t="s">
        <v>58</v>
      </c>
      <c r="F2" s="87">
        <v>949651</v>
      </c>
      <c r="G2" s="87"/>
      <c r="H2" s="88"/>
      <c r="I2" s="11" t="s">
        <v>59</v>
      </c>
      <c r="J2" s="86" t="s">
        <v>192</v>
      </c>
      <c r="K2" s="87"/>
      <c r="L2" s="88"/>
      <c r="M2" s="29"/>
      <c r="N2" s="11" t="s">
        <v>100</v>
      </c>
      <c r="O2" s="111" t="str">
        <f>IF(B2="","",B2)</f>
        <v>YCW12050 - 8332</v>
      </c>
      <c r="P2" s="111"/>
      <c r="Q2" s="112"/>
      <c r="R2" s="11" t="s">
        <v>58</v>
      </c>
      <c r="S2" s="111">
        <f>IF(F2="","",F2)</f>
        <v>949651</v>
      </c>
      <c r="T2" s="111"/>
      <c r="U2" s="112"/>
      <c r="V2" s="11" t="s">
        <v>59</v>
      </c>
      <c r="W2" s="131" t="str">
        <f>J2</f>
        <v>ASAP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22">
        <f>A3</f>
        <v>0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4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25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7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28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30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148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24</v>
      </c>
      <c r="P7" s="88"/>
      <c r="Q7" s="11" t="str">
        <f>IF(ISNUMBER(SEARCH("roll",O8,1)),"Per Roll","Per Carton")</f>
        <v>Per Carton</v>
      </c>
      <c r="R7" s="87">
        <v>200</v>
      </c>
      <c r="S7" s="88"/>
      <c r="T7" s="11" t="str">
        <f>IF(ISNUMBER(SEARCH("bag",O8,1)),"Total Bags","Total Sheets")</f>
        <v>Total Bags</v>
      </c>
      <c r="U7" s="111">
        <f>R7*O7</f>
        <v>4800</v>
      </c>
      <c r="V7" s="112"/>
      <c r="W7" s="11" t="s">
        <v>102</v>
      </c>
      <c r="X7" s="87" t="s">
        <v>31</v>
      </c>
      <c r="Y7" s="88"/>
    </row>
    <row r="8" spans="1:25" ht="20.149999999999999" customHeight="1" x14ac:dyDescent="0.8">
      <c r="A8" s="13" t="s">
        <v>16</v>
      </c>
      <c r="B8" s="89">
        <f>R9</f>
        <v>935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(470+465)</v>
      </c>
      <c r="F8" s="90"/>
      <c r="G8" s="13" t="s">
        <v>52</v>
      </c>
      <c r="H8" s="89">
        <f>(IF(V9&lt;30,"30",V9))</f>
        <v>50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34" t="s">
        <v>164</v>
      </c>
      <c r="P8" s="135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32" t="str">
        <f>IF(AND(W8="Gusset",X9=""), "None",IF(AND(W8="Centrefold",X9=""),"None",IF(W8="Gusset","G",IF(W8="Centrefold","CF"))))</f>
        <v>G</v>
      </c>
      <c r="Y8" s="133"/>
    </row>
    <row r="9" spans="1:25" ht="20.149999999999999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197</v>
      </c>
      <c r="I9" s="100"/>
      <c r="J9" s="11" t="s">
        <v>55</v>
      </c>
      <c r="K9" s="87" t="s">
        <v>30</v>
      </c>
      <c r="L9" s="88"/>
      <c r="M9" s="29"/>
      <c r="N9" s="17"/>
      <c r="O9" s="136" t="str">
        <f>IF(O8="Poly Bag","PB",IF(O8="Poly Bag Roll","PBR",IF(O8="Centrefold Roll","CFR",IF(O8="Sheet","S",IF(O8="Sheet Roll","SR")))))</f>
        <v>PB</v>
      </c>
      <c r="P9" s="137"/>
      <c r="Q9" s="17"/>
      <c r="R9" s="30">
        <v>935</v>
      </c>
      <c r="S9" s="18" t="s">
        <v>78</v>
      </c>
      <c r="T9" s="30">
        <v>1250</v>
      </c>
      <c r="U9" s="18" t="s">
        <v>78</v>
      </c>
      <c r="V9" s="30">
        <v>50</v>
      </c>
      <c r="W9" s="17"/>
      <c r="X9" s="145" t="s">
        <v>195</v>
      </c>
      <c r="Y9" s="146"/>
    </row>
    <row r="10" spans="1:25" ht="20.149999999999999" customHeight="1" x14ac:dyDescent="0.8">
      <c r="A10" s="11" t="s">
        <v>51</v>
      </c>
      <c r="B10" s="87">
        <v>14</v>
      </c>
      <c r="C10" s="88"/>
      <c r="D10" s="47" t="s">
        <v>134</v>
      </c>
      <c r="E10" s="101">
        <f>IF(ISNUMBER(SEARCH("sheet",O8,1)),((R9*T9*H8/540000)*U7/2000*1.3),((R9*T9*H8/540000)*U7/1000*1.08))</f>
        <v>561</v>
      </c>
      <c r="F10" s="102"/>
      <c r="G10" s="11" t="s">
        <v>53</v>
      </c>
      <c r="H10" s="105">
        <f>IF(ISNUMBER(SEARCH("sheet",O8,1)),(U7*T9/2000*1.08),(U7*T9/1000*1.08))</f>
        <v>6480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34" t="s">
        <v>44</v>
      </c>
      <c r="P10" s="135"/>
      <c r="Q10" s="14" t="s">
        <v>50</v>
      </c>
      <c r="R10" s="132" t="str">
        <f>IF(K11="NONE","None",IF(K11="INLINE","Yes",IF(K11="OUT OF LINE","Yes")))</f>
        <v>Yes</v>
      </c>
      <c r="S10" s="132"/>
      <c r="T10" s="14" t="s">
        <v>100</v>
      </c>
      <c r="U10" s="139" t="s">
        <v>198</v>
      </c>
      <c r="V10" s="139"/>
      <c r="W10" s="139"/>
      <c r="X10" s="139"/>
      <c r="Y10" s="140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40.071428571428569</v>
      </c>
      <c r="F11" s="104"/>
      <c r="G11" s="11" t="s">
        <v>15</v>
      </c>
      <c r="H11" s="103">
        <f>H10/B10</f>
        <v>462.85714285714283</v>
      </c>
      <c r="I11" s="104"/>
      <c r="J11" s="11" t="s">
        <v>50</v>
      </c>
      <c r="K11" s="87" t="s">
        <v>65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>P</v>
      </c>
      <c r="S11" s="90"/>
      <c r="T11" s="13"/>
      <c r="U11" s="141"/>
      <c r="V11" s="141"/>
      <c r="W11" s="141"/>
      <c r="X11" s="141"/>
      <c r="Y11" s="142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8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70</v>
      </c>
      <c r="C13" s="87"/>
      <c r="D13" s="88"/>
      <c r="E13" s="19" t="s">
        <v>61</v>
      </c>
      <c r="F13" s="87" t="s">
        <v>66</v>
      </c>
      <c r="G13" s="87"/>
      <c r="H13" s="88"/>
      <c r="I13" s="11" t="s">
        <v>62</v>
      </c>
      <c r="J13" s="87" t="s">
        <v>177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24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4</v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 t="s">
        <v>196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8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169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8"/>
      <c r="Y16" s="149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23</v>
      </c>
      <c r="V17" s="88"/>
      <c r="W17" s="11" t="str">
        <f>IF(ISNUMBER(SEARCH("roll",O8,1)),"Total Rolls","Total Ctns")</f>
        <v>Total Ctns</v>
      </c>
      <c r="X17" s="148"/>
      <c r="Y17" s="149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23</v>
      </c>
      <c r="S18" s="88"/>
      <c r="T18" s="21" t="s">
        <v>27</v>
      </c>
      <c r="U18" s="87" t="s">
        <v>36</v>
      </c>
      <c r="V18" s="88"/>
      <c r="W18" s="11" t="s">
        <v>109</v>
      </c>
      <c r="X18" s="148"/>
      <c r="Y18" s="149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>YELLOW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 t="s">
        <v>201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82" t="s">
        <v>203</v>
      </c>
      <c r="F23" s="83"/>
      <c r="G23" s="48" t="s">
        <v>87</v>
      </c>
      <c r="H23" s="32"/>
      <c r="I23" s="82"/>
      <c r="J23" s="83"/>
      <c r="K23" s="82"/>
      <c r="L23" s="83"/>
      <c r="M23" s="29"/>
      <c r="N23" s="138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 t="s">
        <v>202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82" t="s">
        <v>203</v>
      </c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199</v>
      </c>
      <c r="P25" s="34"/>
      <c r="Q25" s="10">
        <v>24</v>
      </c>
      <c r="R25" s="10"/>
      <c r="S25" s="10"/>
      <c r="T25" s="10"/>
      <c r="U25" s="10"/>
      <c r="V25" s="10"/>
      <c r="W25" s="10">
        <v>17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47" t="s">
        <v>132</v>
      </c>
      <c r="H26" s="147"/>
      <c r="I26" s="147" t="s">
        <v>131</v>
      </c>
      <c r="J26" s="147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43"/>
      <c r="G29" s="143"/>
      <c r="H29" s="143"/>
      <c r="I29" s="143"/>
      <c r="J29" s="143"/>
      <c r="K29" s="92"/>
      <c r="L29" s="144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45778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45768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2CA1688-8482-4D31-9DE9-09BEEF1F2711}"/>
</file>

<file path=customXml/itemProps2.xml><?xml version="1.0" encoding="utf-8"?>
<ds:datastoreItem xmlns:ds="http://schemas.openxmlformats.org/officeDocument/2006/customXml" ds:itemID="{B439818C-4F4F-4C95-AD0B-8665466DA995}"/>
</file>

<file path=customXml/itemProps3.xml><?xml version="1.0" encoding="utf-8"?>
<ds:datastoreItem xmlns:ds="http://schemas.openxmlformats.org/officeDocument/2006/customXml" ds:itemID="{4127BA72-A788-412B-97C0-1E3DE6B4FC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2025-03-31T02:48:11Z</cp:lastPrinted>
  <dcterms:created xsi:type="dcterms:W3CDTF">2019-11-27T23:28:06Z</dcterms:created>
  <dcterms:modified xsi:type="dcterms:W3CDTF">2025-04-08T00:06:46Z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