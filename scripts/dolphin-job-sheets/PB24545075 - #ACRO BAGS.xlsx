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279FB38C-76EE-4EE9-909B-380FD0EF66F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8" i="1" l="1"/>
  <c r="W8" i="1" l="1"/>
  <c r="X8" i="1" s="1"/>
  <c r="E8" i="1"/>
  <c r="O9" i="1" l="1"/>
  <c r="A11" i="1" l="1"/>
  <c r="W13" i="1" l="1"/>
  <c r="W2" i="1" l="1"/>
  <c r="W16" i="1" l="1"/>
  <c r="B2" i="1" l="1"/>
  <c r="T7" i="1"/>
  <c r="T17" i="1"/>
  <c r="W17" i="1"/>
  <c r="Q7" i="1"/>
  <c r="N7" i="1"/>
  <c r="O11" i="1"/>
  <c r="K8" i="1" l="1"/>
  <c r="C24" i="1"/>
  <c r="C23" i="1"/>
  <c r="N3" i="1" l="1"/>
  <c r="R10" i="1" l="1"/>
  <c r="R11" i="1" s="1"/>
  <c r="Q13" i="1" l="1"/>
  <c r="U7" i="1" l="1"/>
  <c r="H10" i="1" s="1"/>
  <c r="U13" i="1" l="1"/>
  <c r="H11" i="1"/>
  <c r="H8" i="1"/>
  <c r="E10" i="1" s="1"/>
  <c r="E11" i="1" l="1"/>
  <c r="B8" i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S1" i="1" l="1"/>
  <c r="O1" i="1" l="1"/>
</calcChain>
</file>

<file path=xl/sharedStrings.xml><?xml version="1.0" encoding="utf-8"?>
<sst xmlns="http://schemas.openxmlformats.org/spreadsheetml/2006/main" count="307" uniqueCount="202">
  <si>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</si>
  <si>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</si>
  <si>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</si>
  <si>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</si>
  <si>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</si>
  <si>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</si>
  <si>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</si>
  <si>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</si>
  <si>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</si>
  <si>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</si>
  <si>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</si>
  <si>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</si>
  <si>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</si>
  <si>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</si>
  <si>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</si>
  <si>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</si>
  <si>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</si>
  <si>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</si>
  <si>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</si>
  <si>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</si>
  <si>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</si>
  <si>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</si>
  <si>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</si>
  <si>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</si>
  <si>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</si>
  <si>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</si>
  <si>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</si>
  <si>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</si>
  <si>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</si>
  <si>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</si>
  <si>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</si>
  <si>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</si>
  <si>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</si>
  <si>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</si>
  <si>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</si>
  <si>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</si>
  <si>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</si>
  <si>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</si>
  <si>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</si>
  <si>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</si>
  <si>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</si>
  <si>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</si>
  <si>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</si>
  <si>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</si>
  <si>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</si>
  <si>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</si>
  <si>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</si>
  <si>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</si>
  <si>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</si>
  <si>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</si>
  <si>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</si>
  <si>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</si>
  <si>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</si>
  <si>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</si>
  <si>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</si>
  <si>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</si>
  <si>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</si>
  <si>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</si>
  <si>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</si>
  <si>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</si>
  <si>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</si>
  <si>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</si>
  <si>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</si>
  <si>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</si>
  <si>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</si>
  <si>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</si>
  <si>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</si>
  <si>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</si>
  <si>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</si>
  <si>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</si>
  <si>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</si>
  <si>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</si>
  <si>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</si>
  <si>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</si>
  <si>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</si>
  <si>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</si>
  <si>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</si>
  <si>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</si>
  <si>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</si>
  <si>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</si>
  <si>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</si>
  <si>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</si>
  <si>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</si>
  <si>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</si>
  <si>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</si>
  <si>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</si>
  <si>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</si>
  <si>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</si>
  <si>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</si>
  <si>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</si>
  <si>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</si>
  <si>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</si>
  <si>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</si>
  <si>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</si>
  <si>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</si>
  <si>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</si>
  <si>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</si>
  <si>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</si>
  <si>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</si>
  <si>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</si>
  <si>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</si>
  <si>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</si>
  <si>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</si>
  <si>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</si>
  <si>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</si>
  <si>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</si>
  <si>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</si>
  <si>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</si>
  <si>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</si>
  <si>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</si>
  <si>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</si>
  <si>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</si>
  <si>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</si>
  <si>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</si>
  <si>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</si>
  <si>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</si>
  <si>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</si>
  <si>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</si>
  <si>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</si>
  <si>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</si>
  <si>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</si>
  <si>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</si>
  <si>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</si>
  <si>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</si>
  <si>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</si>
  <si>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</si>
  <si>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</si>
  <si>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</si>
  <si>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</si>
  <si>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</si>
  <si>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</si>
  <si>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</si>
  <si>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</si>
  <si>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</si>
  <si>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</si>
  <si>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</si>
  <si>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</si>
  <si>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</si>
  <si>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</si>
  <si>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</si>
  <si>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</si>
  <si>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</si>
  <si>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</si>
  <si>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</si>
  <si>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</si>
  <si>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</si>
  <si>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</si>
  <si>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</si>
  <si>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</si>
  <si>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</si>
  <si>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</si>
  <si>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</si>
  <si>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</si>
  <si>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</si>
  <si>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</si>
  <si>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</si>
  <si>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</si>
  <si>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</si>
  <si>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</si>
  <si>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</si>
  <si>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</si>
  <si>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</si>
  <si>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</si>
  <si>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</si>
  <si>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</si>
  <si>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</si>
  <si>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</si>
  <si>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</si>
  <si>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</si>
  <si>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</si>
  <si>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</si>
  <si>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</si>
  <si>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</si>
  <si>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</si>
  <si>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</si>
  <si>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</si>
  <si>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</si>
  <si>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</si>
  <si>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</si>
  <si>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</si>
  <si>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</si>
  <si>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</si>
  <si>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</si>
  <si>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</si>
  <si>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</si>
  <si>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</si>
  <si>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</si>
  <si>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</si>
  <si>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</si>
  <si>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</si>
  <si>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</si>
  <si>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</si>
  <si>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</si>
  <si>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>Centrefold Roll</t>
  </si>
  <si>
    <t xml:space="preserve"> +/- 5um</t>
  </si>
  <si>
    <t>CORALS DOWN UNDER</t>
  </si>
  <si>
    <t xml:space="preserve"> +5um/-0mm</t>
  </si>
  <si>
    <t>MUST NOT BE UNDER WIDTH - MUST HAVE WATER TIGHT SEALS CHECK FREQUENTLY</t>
  </si>
  <si>
    <t>#ACRO BAGS</t>
  </si>
  <si>
    <t>ANTIBLOCK</t>
  </si>
  <si>
    <t>%</t>
  </si>
  <si>
    <t>#3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</si>
</sst>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6" fillId="0" borderId="0" applyNumberFormat="0" applyFill="0" applyBorder="0" applyAlignment="0" applyProtection="0"/>
  </cellStyleXfs>
  <cellXfs count="151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4" xfId="0" applyFont="1" applyBorder="1"/>
    <xf numFmtId="0" fontId="3" fillId="0" borderId="4" xfId="0" applyFont="1" applyBorder="1" applyAlignment="1">
      <alignment horizontal="left"/>
    </xf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6" xfId="0" applyFont="1" applyBorder="1"/>
    <xf numFmtId="0" fontId="5" fillId="0" borderId="6" xfId="0" applyFont="1" applyBorder="1"/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/>
    <xf numFmtId="0" fontId="3" fillId="7" borderId="4" xfId="0" applyFont="1" applyFill="1" applyBorder="1"/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3" fillId="4" borderId="2" xfId="0" applyFont="1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10" fillId="0" borderId="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0" fillId="2" borderId="4" xfId="0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5" fillId="0" borderId="7" xfId="0" applyFont="1" applyBorder="1" applyAlignment="1" applyProtection="1">
      <alignment horizontal="center" vertical="center" wrapText="1"/>
      <protection locked="0"/>
    </xf>
    <xf numFmtId="0" fontId="15" fillId="0" borderId="3" xfId="0" applyFont="1" applyBorder="1" applyAlignment="1" applyProtection="1">
      <alignment horizontal="center" vertical="center" wrapText="1"/>
      <protection locked="0"/>
    </xf>
    <xf numFmtId="0" fontId="15" fillId="0" borderId="8" xfId="0" applyFont="1" applyBorder="1" applyAlignment="1" applyProtection="1">
      <alignment horizontal="center" vertical="center" wrapText="1"/>
      <protection locked="0"/>
    </xf>
    <xf numFmtId="0" fontId="15" fillId="0" borderId="9" xfId="0" applyFont="1" applyBorder="1" applyAlignment="1" applyProtection="1">
      <alignment horizontal="center" vertical="center" wrapText="1"/>
      <protection locked="0"/>
    </xf>
    <xf numFmtId="0" fontId="15" fillId="0" borderId="0" xfId="0" applyFont="1" applyAlignment="1" applyProtection="1">
      <alignment horizontal="center" vertical="center" wrapText="1"/>
      <protection locked="0"/>
    </xf>
    <xf numFmtId="0" fontId="15" fillId="0" borderId="10" xfId="0" applyFont="1" applyBorder="1" applyAlignment="1" applyProtection="1">
      <alignment horizontal="center" vertical="center" wrapText="1"/>
      <protection locked="0"/>
    </xf>
    <xf numFmtId="0" fontId="15" fillId="0" borderId="11" xfId="0" applyFont="1" applyBorder="1" applyAlignment="1" applyProtection="1">
      <alignment horizontal="center" vertical="center" wrapText="1"/>
      <protection locked="0"/>
    </xf>
    <xf numFmtId="0" fontId="15" fillId="0" borderId="1" xfId="0" applyFont="1" applyBorder="1" applyAlignment="1" applyProtection="1">
      <alignment horizontal="center" vertical="center" wrapText="1"/>
      <protection locked="0"/>
    </xf>
    <xf numFmtId="0" fontId="15" fillId="0" borderId="12" xfId="0" applyFont="1" applyBorder="1" applyAlignment="1" applyProtection="1">
      <alignment horizontal="center" vertical="center" wrapText="1"/>
      <protection locked="0"/>
    </xf>
    <xf numFmtId="9" fontId="10" fillId="0" borderId="2" xfId="0" applyNumberFormat="1" applyFont="1" applyBorder="1" applyAlignment="1" applyProtection="1">
      <alignment horizontal="center"/>
      <protection locked="0"/>
    </xf>
    <xf numFmtId="14" fontId="10" fillId="0" borderId="2" xfId="0" applyNumberFormat="1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0" fillId="2" borderId="0" xfId="0" applyFill="1" applyAlignment="1">
      <alignment horizontal="center"/>
    </xf>
    <xf numFmtId="0" fontId="0" fillId="2" borderId="8" xfId="0" applyFill="1" applyBorder="1" applyAlignment="1">
      <alignment horizontal="center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center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7" fillId="0" borderId="7" xfId="2" applyFont="1" applyBorder="1" applyAlignment="1" applyProtection="1">
      <alignment horizontal="left" vertical="top"/>
      <protection locked="0"/>
    </xf>
    <xf numFmtId="0" fontId="17" fillId="0" borderId="3" xfId="2" applyFont="1" applyBorder="1" applyAlignment="1" applyProtection="1">
      <alignment horizontal="left" vertical="top"/>
      <protection locked="0"/>
    </xf>
    <xf numFmtId="0" fontId="17" fillId="0" borderId="8" xfId="2" applyFont="1" applyBorder="1" applyAlignment="1" applyProtection="1">
      <alignment horizontal="left" vertical="top"/>
      <protection locked="0"/>
    </xf>
    <xf numFmtId="0" fontId="17" fillId="0" borderId="9" xfId="2" applyFont="1" applyBorder="1" applyAlignment="1" applyProtection="1">
      <alignment horizontal="left" vertical="top"/>
      <protection locked="0"/>
    </xf>
    <xf numFmtId="0" fontId="17" fillId="0" borderId="0" xfId="2" applyFont="1" applyBorder="1" applyAlignment="1" applyProtection="1">
      <alignment horizontal="left" vertical="top"/>
      <protection locked="0"/>
    </xf>
    <xf numFmtId="0" fontId="17" fillId="0" borderId="10" xfId="2" applyFont="1" applyBorder="1" applyAlignment="1" applyProtection="1">
      <alignment horizontal="left" vertical="top"/>
      <protection locked="0"/>
    </xf>
    <xf numFmtId="0" fontId="17" fillId="0" borderId="11" xfId="2" applyFont="1" applyBorder="1" applyAlignment="1" applyProtection="1">
      <alignment horizontal="left" vertical="top"/>
      <protection locked="0"/>
    </xf>
    <xf numFmtId="0" fontId="17" fillId="0" borderId="1" xfId="2" applyFont="1" applyBorder="1" applyAlignment="1" applyProtection="1">
      <alignment horizontal="left" vertical="top"/>
      <protection locked="0"/>
    </xf>
    <xf numFmtId="0" fontId="17" fillId="0" borderId="12" xfId="2" applyFont="1" applyBorder="1" applyAlignment="1" applyProtection="1">
      <alignment horizontal="left" vertical="top"/>
      <protection locked="0"/>
    </xf>
    <xf numFmtId="0" fontId="11" fillId="0" borderId="6" xfId="1" applyNumberFormat="1" applyFont="1" applyBorder="1" applyProtection="1">
      <protection locked="0"/>
    </xf>
  </cellXfs>
  <cellStyles count="3">
    <cellStyle name="Hyperlink" xfId="2" builtinId="8"/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218"/>
  <sheetViews>
    <sheetView tabSelected="1" zoomScale="70" zoomScaleNormal="70" workbookViewId="0">
      <selection activeCell="E28" sqref="E28"/>
    </sheetView>
  </sheetViews>
  <sheetFormatPr defaultRowHeight="15" x14ac:dyDescent="0.25"/>
  <sheetData>
    <row r="1" spans="1:25" ht="20.100000000000001" customHeight="1" x14ac:dyDescent="0.25">
      <c r="A1" s="10" t="s">
        <v>56</v>
      </c>
      <c r="B1" s="110" t="str">
        <f>O9&amp;R9&amp;IF(X8="G","G","")&amp;IF(O8="Centrefold Roll","("&amp;E8&amp;")","")&amp;T9&amp;V9&amp;C22&amp;C23&amp;C24&amp;O11&amp;R11</f>
        <v>PB245450750</v>
      </c>
      <c r="C1" s="110"/>
      <c r="D1" s="111"/>
      <c r="E1" s="10" t="s">
        <v>57</v>
      </c>
      <c r="F1" s="121" t="s">
        <v>195</v>
      </c>
      <c r="G1" s="86"/>
      <c r="H1" s="87"/>
      <c r="I1" s="11" t="s">
        <v>181</v>
      </c>
      <c r="J1" s="83">
        <f ca="1">TODAY()</f>
        <v>45300</v>
      </c>
      <c r="K1" s="83"/>
      <c r="L1" s="84"/>
      <c r="M1" s="28"/>
      <c r="N1" s="10" t="s">
        <v>56</v>
      </c>
      <c r="O1" s="110" t="str">
        <f>B1</f>
        <v>PB245450750</v>
      </c>
      <c r="P1" s="110"/>
      <c r="Q1" s="111"/>
      <c r="R1" s="10" t="s">
        <v>57</v>
      </c>
      <c r="S1" s="110" t="str">
        <f>F1</f>
        <v>CORALS DOWN UNDER</v>
      </c>
      <c r="T1" s="110"/>
      <c r="U1" s="111"/>
      <c r="V1" s="10" t="s">
        <v>181</v>
      </c>
      <c r="W1" s="83">
        <f ca="1">J1</f>
        <v>45300</v>
      </c>
      <c r="X1" s="83"/>
      <c r="Y1" s="84"/>
    </row>
    <row r="2" spans="1:25" ht="20.100000000000001" customHeight="1" x14ac:dyDescent="0.25">
      <c r="A2" s="10" t="s">
        <v>100</v>
      </c>
      <c r="B2" s="110" t="str">
        <f>IF(U10="","",U10)</f>
        <v>#ACRO BAGS</v>
      </c>
      <c r="C2" s="110"/>
      <c r="D2" s="111"/>
      <c r="E2" s="10" t="s">
        <v>58</v>
      </c>
      <c r="F2" s="86">
        <v>946853</v>
      </c>
      <c r="G2" s="86"/>
      <c r="H2" s="87"/>
      <c r="I2" s="10" t="s">
        <v>59</v>
      </c>
      <c r="J2" s="85">
        <v>45270</v>
      </c>
      <c r="K2" s="86"/>
      <c r="L2" s="87"/>
      <c r="M2" s="28"/>
      <c r="N2" s="10" t="s">
        <v>100</v>
      </c>
      <c r="O2" s="110" t="str">
        <f>IF(B2="","",B2)</f>
        <v>#ACRO BAGS</v>
      </c>
      <c r="P2" s="110"/>
      <c r="Q2" s="111"/>
      <c r="R2" s="10" t="s">
        <v>58</v>
      </c>
      <c r="S2" s="110">
        <f>IF(F2="","",F2)</f>
        <v>946853</v>
      </c>
      <c r="T2" s="110"/>
      <c r="U2" s="111"/>
      <c r="V2" s="10" t="s">
        <v>59</v>
      </c>
      <c r="W2" s="122">
        <f>J2</f>
        <v>45270</v>
      </c>
      <c r="X2" s="110"/>
      <c r="Y2" s="111"/>
    </row>
    <row r="3" spans="1:25" ht="20.100000000000001" customHeight="1" x14ac:dyDescent="0.25">
      <c r="A3" s="112" t="s">
        <v>197</v>
      </c>
      <c r="B3" s="113"/>
      <c r="C3" s="113"/>
      <c r="D3" s="113"/>
      <c r="E3" s="113"/>
      <c r="F3" s="113"/>
      <c r="G3" s="113"/>
      <c r="H3" s="113"/>
      <c r="I3" s="113"/>
      <c r="J3" s="113"/>
      <c r="K3" s="113"/>
      <c r="L3" s="114"/>
      <c r="M3" s="28"/>
      <c r="N3" s="112" t="str">
        <f>A3</f>
        <v>MUST NOT BE UNDER WIDTH - MUST HAVE WATER TIGHT SEALS CHECK FREQUENTLY</v>
      </c>
      <c r="O3" s="113"/>
      <c r="P3" s="113"/>
      <c r="Q3" s="113"/>
      <c r="R3" s="113"/>
      <c r="S3" s="113"/>
      <c r="T3" s="113"/>
      <c r="U3" s="113"/>
      <c r="V3" s="113"/>
      <c r="W3" s="113"/>
      <c r="X3" s="113"/>
      <c r="Y3" s="114"/>
    </row>
    <row r="4" spans="1:25" ht="20.100000000000001" customHeight="1" x14ac:dyDescent="0.25">
      <c r="A4" s="115"/>
      <c r="B4" s="116"/>
      <c r="C4" s="116"/>
      <c r="D4" s="116"/>
      <c r="E4" s="116"/>
      <c r="F4" s="116"/>
      <c r="G4" s="116"/>
      <c r="H4" s="116"/>
      <c r="I4" s="116"/>
      <c r="J4" s="116"/>
      <c r="K4" s="116"/>
      <c r="L4" s="117"/>
      <c r="M4" s="28"/>
      <c r="N4" s="115"/>
      <c r="O4" s="116"/>
      <c r="P4" s="116"/>
      <c r="Q4" s="116"/>
      <c r="R4" s="116"/>
      <c r="S4" s="116"/>
      <c r="T4" s="116"/>
      <c r="U4" s="116"/>
      <c r="V4" s="116"/>
      <c r="W4" s="116"/>
      <c r="X4" s="116"/>
      <c r="Y4" s="117"/>
    </row>
    <row r="5" spans="1:25" ht="20.100000000000001" customHeight="1" x14ac:dyDescent="0.25">
      <c r="A5" s="118"/>
      <c r="B5" s="119"/>
      <c r="C5" s="119"/>
      <c r="D5" s="119"/>
      <c r="E5" s="119"/>
      <c r="F5" s="119"/>
      <c r="G5" s="119"/>
      <c r="H5" s="119"/>
      <c r="I5" s="119"/>
      <c r="J5" s="119"/>
      <c r="K5" s="119"/>
      <c r="L5" s="120"/>
      <c r="M5" s="28"/>
      <c r="N5" s="118"/>
      <c r="O5" s="119"/>
      <c r="P5" s="119"/>
      <c r="Q5" s="119"/>
      <c r="R5" s="119"/>
      <c r="S5" s="119"/>
      <c r="T5" s="119"/>
      <c r="U5" s="119"/>
      <c r="V5" s="119"/>
      <c r="W5" s="119"/>
      <c r="X5" s="119"/>
      <c r="Y5" s="120"/>
    </row>
    <row r="6" spans="1:25" ht="20.100000000000001" customHeight="1" x14ac:dyDescent="0.25">
      <c r="A6" s="94" t="s">
        <v>2</v>
      </c>
      <c r="B6" s="95"/>
      <c r="C6" s="95"/>
      <c r="D6" s="95"/>
      <c r="E6" s="95"/>
      <c r="F6" s="95"/>
      <c r="G6" s="95"/>
      <c r="H6" s="95"/>
      <c r="I6" s="95"/>
      <c r="J6" s="96"/>
      <c r="K6" s="96"/>
      <c r="L6" s="97"/>
      <c r="M6" s="28"/>
      <c r="N6" s="109" t="s">
        <v>2</v>
      </c>
      <c r="O6" s="92"/>
      <c r="P6" s="92"/>
      <c r="Q6" s="92"/>
      <c r="R6" s="92"/>
      <c r="S6" s="92"/>
      <c r="T6" s="92"/>
      <c r="U6" s="92"/>
      <c r="V6" s="92"/>
      <c r="W6" s="92"/>
      <c r="X6" s="92"/>
      <c r="Y6" s="93"/>
    </row>
    <row r="7" spans="1:25" ht="20.100000000000001" customHeight="1" x14ac:dyDescent="0.3">
      <c r="A7" s="10" t="s">
        <v>49</v>
      </c>
      <c r="B7" s="107" t="s">
        <v>163</v>
      </c>
      <c r="C7" s="107"/>
      <c r="D7" s="107"/>
      <c r="E7" s="107"/>
      <c r="F7" s="107"/>
      <c r="G7" s="107"/>
      <c r="H7" s="107"/>
      <c r="I7" s="108"/>
      <c r="J7" s="74" t="s">
        <v>179</v>
      </c>
      <c r="K7" s="74"/>
      <c r="L7" s="72"/>
      <c r="M7" s="28"/>
      <c r="N7" s="10" t="str">
        <f>IF(ISNUMBER(SEARCH("roll",O8,1)),"No. Rolls","No. Cartons")</f>
        <v>No. Cartons</v>
      </c>
      <c r="O7" s="86">
        <v>8</v>
      </c>
      <c r="P7" s="87"/>
      <c r="Q7" s="10" t="str">
        <f>IF(ISNUMBER(SEARCH("roll",O8,1)),"Per Roll","Per Carton")</f>
        <v>Per Carton</v>
      </c>
      <c r="R7" s="86">
        <v>1000</v>
      </c>
      <c r="S7" s="87"/>
      <c r="T7" s="10" t="str">
        <f>IF(ISNUMBER(SEARCH("bag",O8,1)),"Total Bags","Total Sheets")</f>
        <v>Total Bags</v>
      </c>
      <c r="U7" s="110">
        <f>R7*O7</f>
        <v>8000</v>
      </c>
      <c r="V7" s="111"/>
      <c r="W7" s="10" t="s">
        <v>102</v>
      </c>
      <c r="X7" s="86" t="s">
        <v>23</v>
      </c>
      <c r="Y7" s="87"/>
    </row>
    <row r="8" spans="1:25" ht="20.100000000000001" customHeight="1" x14ac:dyDescent="0.25">
      <c r="A8" s="12" t="s">
        <v>16</v>
      </c>
      <c r="B8" s="88">
        <f>R9</f>
        <v>245</v>
      </c>
      <c r="C8" s="89"/>
      <c r="D8" s="26" t="str">
        <f>IF(ISNUMBER(SEARCH("bag",O8,1)),"Gusset","Centrefold")</f>
        <v>Gusset</v>
      </c>
      <c r="E8" s="88" t="str">
        <f>IF(O8="Centrefold Roll",B8*2,IF(X9="","None",X9))</f>
        <v>None</v>
      </c>
      <c r="F8" s="89"/>
      <c r="G8" s="12" t="s">
        <v>52</v>
      </c>
      <c r="H8" s="88">
        <f>(IF(V9&lt;30,"30",V9))</f>
        <v>75</v>
      </c>
      <c r="I8" s="89"/>
      <c r="J8" s="10" t="s">
        <v>54</v>
      </c>
      <c r="K8" s="110" t="str">
        <f>IF(X8="None","Layflat Tube",IF(X8="","Layflat Tube",IF(X8="CF","Layflat Tube",IF(X8="G","Gusset Tube",IF(X9="","Layflat Tube",)))))</f>
        <v>Layflat Tube</v>
      </c>
      <c r="L8" s="111"/>
      <c r="M8" s="28"/>
      <c r="N8" s="13" t="s">
        <v>54</v>
      </c>
      <c r="O8" s="125" t="s">
        <v>164</v>
      </c>
      <c r="P8" s="126"/>
      <c r="Q8" s="13" t="s">
        <v>189</v>
      </c>
      <c r="R8" s="14" t="s">
        <v>16</v>
      </c>
      <c r="S8" s="14"/>
      <c r="T8" s="14" t="s">
        <v>79</v>
      </c>
      <c r="U8" s="14"/>
      <c r="V8" s="14" t="s">
        <v>80</v>
      </c>
      <c r="W8" s="26" t="str">
        <f>IF(ISNUMBER(SEARCH("bag",O8,1)),"Gusset","Centrefold")</f>
        <v>Gusset</v>
      </c>
      <c r="X8" s="123" t="str">
        <f>IF(AND(W8="Gusset",X9=""), "None",IF(AND(W8="Centrefold",X9=""),"None",IF(W8="Gusset","G",IF(W8="Centrefold","CF"))))</f>
        <v>None</v>
      </c>
      <c r="Y8" s="124"/>
    </row>
    <row r="9" spans="1:25" ht="20.100000000000001" customHeight="1" x14ac:dyDescent="0.3">
      <c r="A9" s="15" t="s">
        <v>48</v>
      </c>
      <c r="B9" s="98" t="s">
        <v>196</v>
      </c>
      <c r="C9" s="99"/>
      <c r="D9" s="106" t="str">
        <f>IF(K10="Middle","RUN 2 UP",IF(AND(O8="Centrefold Roll",B8=380),"RUN 2 UP",""))</f>
        <v/>
      </c>
      <c r="E9" s="107"/>
      <c r="F9" s="108"/>
      <c r="G9" s="15" t="s">
        <v>48</v>
      </c>
      <c r="H9" s="98" t="s">
        <v>194</v>
      </c>
      <c r="I9" s="99"/>
      <c r="J9" s="10" t="s">
        <v>55</v>
      </c>
      <c r="K9" s="86" t="s">
        <v>30</v>
      </c>
      <c r="L9" s="87"/>
      <c r="M9" s="28"/>
      <c r="N9" s="16"/>
      <c r="O9" s="127" t="str">
        <f>IF(O8="Poly Bag","PB",IF(O8="Poly Bag Roll","PBR",IF(O8="Centrefold Roll","CFR",IF(O8="Sheet","S",IF(O8="Sheet Roll","SR")))))</f>
        <v>PB</v>
      </c>
      <c r="P9" s="128"/>
      <c r="Q9" s="16"/>
      <c r="R9" s="29">
        <v>245</v>
      </c>
      <c r="S9" s="17" t="s">
        <v>78</v>
      </c>
      <c r="T9" s="29">
        <v>450</v>
      </c>
      <c r="U9" s="17" t="s">
        <v>78</v>
      </c>
      <c r="V9" s="29">
        <v>75</v>
      </c>
      <c r="W9" s="16"/>
      <c r="X9" s="136"/>
      <c r="Y9" s="137"/>
    </row>
    <row r="10" spans="1:25" ht="20.100000000000001" customHeight="1" x14ac:dyDescent="0.25">
      <c r="A10" s="10" t="s">
        <v>51</v>
      </c>
      <c r="B10" s="86">
        <v>7</v>
      </c>
      <c r="C10" s="87"/>
      <c r="D10" s="46" t="s">
        <v>134</v>
      </c>
      <c r="E10" s="100">
        <f>IF(ISNUMBER(SEARCH("sheet",O8,1)),((R9*T9*H8/540000)*U7/2000*1.3),((R9*T9*H8/540000)*U7/1000*1.08))</f>
        <v>132.30000000000001</v>
      </c>
      <c r="F10" s="101"/>
      <c r="G10" s="10" t="s">
        <v>53</v>
      </c>
      <c r="H10" s="104">
        <f>IF(ISNUMBER(SEARCH("sheet",O8,1)),(U7*T9/2000*1.08),(U7*T9/1000*1.08))</f>
        <v>3888.0000000000005</v>
      </c>
      <c r="I10" s="105"/>
      <c r="J10" s="10" t="s">
        <v>41</v>
      </c>
      <c r="K10" s="86" t="s">
        <v>44</v>
      </c>
      <c r="L10" s="87"/>
      <c r="M10" s="28"/>
      <c r="N10" s="13" t="s">
        <v>141</v>
      </c>
      <c r="O10" s="125" t="s">
        <v>44</v>
      </c>
      <c r="P10" s="126"/>
      <c r="Q10" s="13" t="s">
        <v>50</v>
      </c>
      <c r="R10" s="123" t="str">
        <f>IF(K11="NONE","None",IF(K11="INLINE","Yes",IF(K11="OUT OF LINE","Yes")))</f>
        <v>None</v>
      </c>
      <c r="S10" s="123"/>
      <c r="T10" s="13" t="s">
        <v>100</v>
      </c>
      <c r="U10" s="130" t="s">
        <v>198</v>
      </c>
      <c r="V10" s="130"/>
      <c r="W10" s="130"/>
      <c r="X10" s="130"/>
      <c r="Y10" s="131"/>
    </row>
    <row r="11" spans="1:25" ht="20.100000000000001" customHeight="1" x14ac:dyDescent="0.25">
      <c r="A11" s="10" t="str">
        <f>IF(O8="Centrefold Roll","CF Rolls",IF(ISNUMBER(SEARCH("sheet",O8,1)),"Sheet Rolls",""))</f>
        <v/>
      </c>
      <c r="B11" s="110" t="str">
        <f>IF(AND(O8="Centrefold Roll",D9="RUN 2 UP"),B10*2,IF(ISNUMBER(SEARCH("sheet",O8,1)),B10*2,""))</f>
        <v/>
      </c>
      <c r="C11" s="111"/>
      <c r="D11" s="10" t="s">
        <v>135</v>
      </c>
      <c r="E11" s="102">
        <f>E10/B10</f>
        <v>18.900000000000002</v>
      </c>
      <c r="F11" s="103"/>
      <c r="G11" s="10" t="s">
        <v>15</v>
      </c>
      <c r="H11" s="102">
        <f>H10/B10</f>
        <v>555.42857142857144</v>
      </c>
      <c r="I11" s="103"/>
      <c r="J11" s="10" t="s">
        <v>50</v>
      </c>
      <c r="K11" s="86" t="s">
        <v>44</v>
      </c>
      <c r="L11" s="87"/>
      <c r="M11" s="28"/>
      <c r="N11" s="12"/>
      <c r="O11" s="88" t="str">
        <f>IF(O10="NONE","","V")</f>
        <v/>
      </c>
      <c r="P11" s="89"/>
      <c r="Q11" s="12"/>
      <c r="R11" s="88" t="str">
        <f>IF(R10="None","","P")</f>
        <v/>
      </c>
      <c r="S11" s="89"/>
      <c r="T11" s="12"/>
      <c r="U11" s="132"/>
      <c r="V11" s="132"/>
      <c r="W11" s="132"/>
      <c r="X11" s="132"/>
      <c r="Y11" s="133"/>
    </row>
    <row r="12" spans="1:25" ht="20.100000000000001" customHeight="1" x14ac:dyDescent="0.25">
      <c r="A12" s="90" t="s">
        <v>13</v>
      </c>
      <c r="B12" s="91"/>
      <c r="C12" s="91"/>
      <c r="D12" s="91"/>
      <c r="E12" s="92"/>
      <c r="F12" s="92"/>
      <c r="G12" s="92"/>
      <c r="H12" s="92"/>
      <c r="I12" s="92"/>
      <c r="J12" s="92"/>
      <c r="K12" s="92"/>
      <c r="L12" s="93"/>
      <c r="M12" s="28"/>
      <c r="N12" s="129" t="s">
        <v>71</v>
      </c>
      <c r="O12" s="96"/>
      <c r="P12" s="96"/>
      <c r="Q12" s="96"/>
      <c r="R12" s="96"/>
      <c r="S12" s="96"/>
      <c r="T12" s="96"/>
      <c r="U12" s="96"/>
      <c r="V12" s="96"/>
      <c r="W12" s="96"/>
      <c r="X12" s="96"/>
      <c r="Y12" s="97"/>
    </row>
    <row r="13" spans="1:25" ht="20.100000000000001" customHeight="1" x14ac:dyDescent="0.25">
      <c r="A13" s="10" t="s">
        <v>68</v>
      </c>
      <c r="B13" s="86" t="s">
        <v>44</v>
      </c>
      <c r="C13" s="86"/>
      <c r="D13" s="87"/>
      <c r="E13" s="18" t="s">
        <v>61</v>
      </c>
      <c r="F13" s="86" t="s">
        <v>44</v>
      </c>
      <c r="G13" s="86"/>
      <c r="H13" s="87"/>
      <c r="I13" s="10" t="s">
        <v>62</v>
      </c>
      <c r="J13" s="86" t="s">
        <v>44</v>
      </c>
      <c r="K13" s="86"/>
      <c r="L13" s="87"/>
      <c r="M13" s="28"/>
      <c r="N13" s="10" t="s">
        <v>72</v>
      </c>
      <c r="O13" s="30" t="s">
        <v>77</v>
      </c>
      <c r="P13" s="10" t="s">
        <v>73</v>
      </c>
      <c r="Q13" s="19">
        <f>O7</f>
        <v>8</v>
      </c>
      <c r="R13" s="10" t="s">
        <v>74</v>
      </c>
      <c r="S13" s="30" t="s">
        <v>23</v>
      </c>
      <c r="T13" s="10" t="s">
        <v>178</v>
      </c>
      <c r="U13" s="19" t="str">
        <f>IF(S13="No","",(ROUNDUP(U7/W13/24,0)))</f>
        <v/>
      </c>
      <c r="V13" s="10" t="s">
        <v>75</v>
      </c>
      <c r="W13" s="30" t="str">
        <f>IF(AND((O17="LOOSE"),(NOT(O18="BUNDLE"))),"",IF(AND((O17="LINED"),(NOT(O18="BUNDLE"))),"",(IF(R7&lt;=500,"50",IF(R7&gt;500,"100")))))</f>
        <v>100</v>
      </c>
      <c r="X13" s="10" t="s">
        <v>76</v>
      </c>
      <c r="Y13" s="31"/>
    </row>
    <row r="14" spans="1:25" ht="20.100000000000001" customHeight="1" x14ac:dyDescent="0.3">
      <c r="A14" s="12" t="s">
        <v>60</v>
      </c>
      <c r="B14" s="107"/>
      <c r="C14" s="107"/>
      <c r="D14" s="107"/>
      <c r="E14" s="107"/>
      <c r="F14" s="107"/>
      <c r="G14" s="107"/>
      <c r="H14" s="107"/>
      <c r="I14" s="107"/>
      <c r="J14" s="107"/>
      <c r="K14" s="107"/>
      <c r="L14" s="108"/>
      <c r="M14" s="28"/>
      <c r="N14" s="129" t="s">
        <v>110</v>
      </c>
      <c r="O14" s="96"/>
      <c r="P14" s="96"/>
      <c r="Q14" s="96"/>
      <c r="R14" s="96"/>
      <c r="S14" s="96"/>
      <c r="T14" s="96"/>
      <c r="U14" s="96"/>
      <c r="V14" s="96"/>
      <c r="W14" s="96"/>
      <c r="X14" s="96"/>
      <c r="Y14" s="97"/>
    </row>
    <row r="15" spans="1:25" ht="20.100000000000001" customHeight="1" x14ac:dyDescent="0.25">
      <c r="A15" s="109" t="s">
        <v>0</v>
      </c>
      <c r="B15" s="92"/>
      <c r="C15" s="92"/>
      <c r="D15" s="92"/>
      <c r="E15" s="92"/>
      <c r="F15" s="92"/>
      <c r="G15" s="92"/>
      <c r="H15" s="92"/>
      <c r="I15" s="92"/>
      <c r="J15" s="92"/>
      <c r="K15" s="92"/>
      <c r="L15" s="93"/>
      <c r="M15" s="28"/>
      <c r="N15" s="71" t="s">
        <v>108</v>
      </c>
      <c r="O15" s="74"/>
      <c r="P15" s="72"/>
      <c r="Q15" s="71" t="s">
        <v>107</v>
      </c>
      <c r="R15" s="74"/>
      <c r="S15" s="72"/>
      <c r="T15" s="71" t="s">
        <v>118</v>
      </c>
      <c r="U15" s="74"/>
      <c r="V15" s="72"/>
      <c r="W15" s="71" t="s">
        <v>117</v>
      </c>
      <c r="X15" s="74"/>
      <c r="Y15" s="72"/>
    </row>
    <row r="16" spans="1:25" ht="20.100000000000001" customHeight="1" x14ac:dyDescent="0.25">
      <c r="A16" s="71" t="s">
        <v>3</v>
      </c>
      <c r="B16" s="72"/>
      <c r="C16" s="71" t="s">
        <v>142</v>
      </c>
      <c r="D16" s="72"/>
      <c r="E16" s="75" t="s">
        <v>4</v>
      </c>
      <c r="F16" s="75"/>
      <c r="G16" s="75" t="s">
        <v>5</v>
      </c>
      <c r="H16" s="75"/>
      <c r="I16" s="74" t="s">
        <v>11</v>
      </c>
      <c r="J16" s="72"/>
      <c r="K16" s="74" t="s">
        <v>12</v>
      </c>
      <c r="L16" s="72"/>
      <c r="M16" s="28"/>
      <c r="N16" s="10" t="s">
        <v>28</v>
      </c>
      <c r="O16" s="86" t="s">
        <v>38</v>
      </c>
      <c r="P16" s="87"/>
      <c r="Q16" s="10" t="s">
        <v>105</v>
      </c>
      <c r="R16" s="86" t="s">
        <v>31</v>
      </c>
      <c r="S16" s="87"/>
      <c r="T16" s="11" t="s">
        <v>103</v>
      </c>
      <c r="U16" s="86" t="s">
        <v>31</v>
      </c>
      <c r="V16" s="87"/>
      <c r="W16" s="10" t="str">
        <f>IF(ISNUMBER(SEARCH("bag",O8,1)),"Total Bags","Total Sheets")</f>
        <v>Total Bags</v>
      </c>
      <c r="X16" s="139"/>
      <c r="Y16" s="140"/>
    </row>
    <row r="17" spans="1:25" ht="20.100000000000001" customHeight="1" x14ac:dyDescent="0.25">
      <c r="A17" s="73" t="s">
        <v>6</v>
      </c>
      <c r="B17" s="73"/>
      <c r="C17" s="76" t="s">
        <v>147</v>
      </c>
      <c r="D17" s="77"/>
      <c r="E17" s="81"/>
      <c r="F17" s="82"/>
      <c r="G17" s="47" t="s">
        <v>81</v>
      </c>
      <c r="H17" s="31"/>
      <c r="I17" s="81"/>
      <c r="J17" s="82"/>
      <c r="K17" s="81"/>
      <c r="L17" s="82"/>
      <c r="M17" s="28"/>
      <c r="N17" s="10" t="s">
        <v>26</v>
      </c>
      <c r="O17" s="86" t="s">
        <v>35</v>
      </c>
      <c r="P17" s="87"/>
      <c r="Q17" s="10" t="s">
        <v>104</v>
      </c>
      <c r="R17" s="86" t="s">
        <v>31</v>
      </c>
      <c r="S17" s="87"/>
      <c r="T17" s="11" t="str">
        <f>IF(ISNUMBER(SEARCH("roll",O8,1)),"Part Rolls","Part Ctns")</f>
        <v>Part Ctns</v>
      </c>
      <c r="U17" s="86" t="s">
        <v>31</v>
      </c>
      <c r="V17" s="87"/>
      <c r="W17" s="10" t="str">
        <f>IF(ISNUMBER(SEARCH("roll",O8,1)),"Total Rolls","Total Ctns")</f>
        <v>Total Ctns</v>
      </c>
      <c r="X17" s="139"/>
      <c r="Y17" s="140"/>
    </row>
    <row r="18" spans="1:25" ht="20.100000000000001" customHeight="1" x14ac:dyDescent="0.25">
      <c r="A18" s="73" t="s">
        <v>7</v>
      </c>
      <c r="B18" s="73"/>
      <c r="C18" s="76" t="s">
        <v>146</v>
      </c>
      <c r="D18" s="77"/>
      <c r="E18" s="81"/>
      <c r="F18" s="82"/>
      <c r="G18" s="47" t="s">
        <v>82</v>
      </c>
      <c r="H18" s="31"/>
      <c r="I18" s="81"/>
      <c r="J18" s="82"/>
      <c r="K18" s="81"/>
      <c r="L18" s="82"/>
      <c r="M18" s="28"/>
      <c r="N18" s="10" t="s">
        <v>101</v>
      </c>
      <c r="O18" s="86" t="s">
        <v>38</v>
      </c>
      <c r="P18" s="87"/>
      <c r="Q18" s="10" t="s">
        <v>106</v>
      </c>
      <c r="R18" s="86" t="s">
        <v>31</v>
      </c>
      <c r="S18" s="87"/>
      <c r="T18" s="20" t="s">
        <v>27</v>
      </c>
      <c r="U18" s="86" t="s">
        <v>36</v>
      </c>
      <c r="V18" s="87"/>
      <c r="W18" s="10" t="s">
        <v>109</v>
      </c>
      <c r="X18" s="139"/>
      <c r="Y18" s="140"/>
    </row>
    <row r="19" spans="1:25" ht="20.100000000000001" customHeight="1" x14ac:dyDescent="0.25">
      <c r="A19" s="73" t="s">
        <v>8</v>
      </c>
      <c r="B19" s="73"/>
      <c r="C19" s="76" t="s">
        <v>145</v>
      </c>
      <c r="D19" s="77"/>
      <c r="E19" s="81"/>
      <c r="F19" s="82"/>
      <c r="G19" s="47" t="s">
        <v>83</v>
      </c>
      <c r="H19" s="31"/>
      <c r="I19" s="81"/>
      <c r="J19" s="82"/>
      <c r="K19" s="81"/>
      <c r="L19" s="82"/>
      <c r="M19" s="28"/>
      <c r="N19" s="141" t="s">
        <v>116</v>
      </c>
      <c r="O19" s="142"/>
      <c r="P19" s="142"/>
      <c r="Q19" s="142"/>
      <c r="R19" s="142"/>
      <c r="S19" s="142"/>
      <c r="T19" s="142"/>
      <c r="U19" s="142"/>
      <c r="V19" s="142"/>
      <c r="W19" s="142"/>
      <c r="X19" s="142"/>
      <c r="Y19" s="143"/>
    </row>
    <row r="20" spans="1:25" ht="20.100000000000001" customHeight="1" x14ac:dyDescent="0.25">
      <c r="A20" s="73" t="s">
        <v>9</v>
      </c>
      <c r="B20" s="73"/>
      <c r="C20" s="76" t="s">
        <v>144</v>
      </c>
      <c r="D20" s="77"/>
      <c r="E20" s="81"/>
      <c r="F20" s="82"/>
      <c r="G20" s="47" t="s">
        <v>84</v>
      </c>
      <c r="H20" s="31"/>
      <c r="I20" s="81"/>
      <c r="J20" s="82"/>
      <c r="K20" s="81"/>
      <c r="L20" s="82"/>
      <c r="M20" s="28"/>
      <c r="N20" s="144"/>
      <c r="O20" s="145"/>
      <c r="P20" s="145"/>
      <c r="Q20" s="145"/>
      <c r="R20" s="145"/>
      <c r="S20" s="145"/>
      <c r="T20" s="145"/>
      <c r="U20" s="145"/>
      <c r="V20" s="145"/>
      <c r="W20" s="145"/>
      <c r="X20" s="145"/>
      <c r="Y20" s="146"/>
    </row>
    <row r="21" spans="1:25" ht="20.100000000000001" customHeight="1" x14ac:dyDescent="0.25">
      <c r="A21" s="73" t="s">
        <v>10</v>
      </c>
      <c r="B21" s="73"/>
      <c r="C21" s="76" t="s">
        <v>143</v>
      </c>
      <c r="D21" s="77"/>
      <c r="E21" s="81"/>
      <c r="F21" s="82"/>
      <c r="G21" s="47" t="s">
        <v>85</v>
      </c>
      <c r="H21" s="31"/>
      <c r="I21" s="81"/>
      <c r="J21" s="82"/>
      <c r="K21" s="81"/>
      <c r="L21" s="82"/>
      <c r="M21" s="28"/>
      <c r="N21" s="144"/>
      <c r="O21" s="145"/>
      <c r="P21" s="145"/>
      <c r="Q21" s="145"/>
      <c r="R21" s="145"/>
      <c r="S21" s="145"/>
      <c r="T21" s="145"/>
      <c r="U21" s="145"/>
      <c r="V21" s="145"/>
      <c r="W21" s="145"/>
      <c r="X21" s="145"/>
      <c r="Y21" s="146"/>
    </row>
    <row r="22" spans="1:25" ht="20.100000000000001" customHeight="1" x14ac:dyDescent="0.25">
      <c r="A22" s="73" t="str">
        <f>(IF(B7="NATURAL","",B7))</f>
        <v/>
      </c>
      <c r="B22" s="73"/>
      <c r="C22" s="76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77"/>
      <c r="E22" s="81"/>
      <c r="F22" s="82"/>
      <c r="G22" s="47" t="s">
        <v>86</v>
      </c>
      <c r="H22" s="31"/>
      <c r="I22" s="81"/>
      <c r="J22" s="82"/>
      <c r="K22" s="81"/>
      <c r="L22" s="82"/>
      <c r="M22" s="28"/>
      <c r="N22" s="147"/>
      <c r="O22" s="148"/>
      <c r="P22" s="148"/>
      <c r="Q22" s="148"/>
      <c r="R22" s="148"/>
      <c r="S22" s="148"/>
      <c r="T22" s="148"/>
      <c r="U22" s="148"/>
      <c r="V22" s="148"/>
      <c r="W22" s="148"/>
      <c r="X22" s="148"/>
      <c r="Y22" s="149"/>
    </row>
    <row r="23" spans="1:25" ht="20.100000000000001" customHeight="1" x14ac:dyDescent="0.25">
      <c r="A23" s="78" t="s">
        <v>199</v>
      </c>
      <c r="B23" s="78"/>
      <c r="C23" s="76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>0</v>
      </c>
      <c r="D23" s="77"/>
      <c r="E23" s="81" t="s">
        <v>200</v>
      </c>
      <c r="F23" s="82"/>
      <c r="G23" s="47" t="s">
        <v>87</v>
      </c>
      <c r="H23" s="31"/>
      <c r="I23" s="81"/>
      <c r="J23" s="82"/>
      <c r="K23" s="81"/>
      <c r="L23" s="82"/>
      <c r="M23" s="28"/>
      <c r="N23" s="129" t="s">
        <v>133</v>
      </c>
      <c r="O23" s="96"/>
      <c r="P23" s="96"/>
      <c r="Q23" s="96"/>
      <c r="R23" s="96"/>
      <c r="S23" s="96"/>
      <c r="T23" s="96"/>
      <c r="U23" s="96"/>
      <c r="V23" s="96"/>
      <c r="W23" s="96"/>
      <c r="X23" s="96"/>
      <c r="Y23" s="97"/>
    </row>
    <row r="24" spans="1:25" ht="20.100000000000001" customHeight="1" x14ac:dyDescent="0.25">
      <c r="A24" s="79"/>
      <c r="B24" s="80"/>
      <c r="C24" s="76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77"/>
      <c r="E24" s="81"/>
      <c r="F24" s="82"/>
      <c r="G24" s="47" t="s">
        <v>88</v>
      </c>
      <c r="H24" s="31"/>
      <c r="I24" s="81"/>
      <c r="J24" s="82"/>
      <c r="K24" s="81"/>
      <c r="L24" s="82"/>
      <c r="M24" s="28"/>
      <c r="N24" s="32"/>
      <c r="O24" s="21" t="s">
        <v>119</v>
      </c>
      <c r="P24" s="21" t="s">
        <v>129</v>
      </c>
      <c r="Q24" s="21" t="s">
        <v>120</v>
      </c>
      <c r="R24" s="21" t="s">
        <v>121</v>
      </c>
      <c r="S24" s="21" t="s">
        <v>122</v>
      </c>
      <c r="T24" s="21" t="s">
        <v>123</v>
      </c>
      <c r="U24" s="21" t="s">
        <v>124</v>
      </c>
      <c r="V24" s="21" t="s">
        <v>125</v>
      </c>
      <c r="W24" s="21" t="s">
        <v>126</v>
      </c>
      <c r="X24" s="21" t="s">
        <v>127</v>
      </c>
      <c r="Y24" s="21" t="s">
        <v>176</v>
      </c>
    </row>
    <row r="25" spans="1:25" ht="20.100000000000001" customHeight="1" x14ac:dyDescent="0.25">
      <c r="A25" s="109" t="s">
        <v>1</v>
      </c>
      <c r="B25" s="92"/>
      <c r="C25" s="92"/>
      <c r="D25" s="92"/>
      <c r="E25" s="92"/>
      <c r="F25" s="91"/>
      <c r="G25" s="91"/>
      <c r="H25" s="91"/>
      <c r="I25" s="91"/>
      <c r="J25" s="91"/>
      <c r="K25" s="92"/>
      <c r="L25" s="93"/>
      <c r="M25" s="28"/>
      <c r="N25" s="21" t="s">
        <v>96</v>
      </c>
      <c r="O25" s="9"/>
      <c r="P25" s="33"/>
      <c r="Q25" s="9"/>
      <c r="R25" s="9"/>
      <c r="S25" s="9"/>
      <c r="T25" s="9"/>
      <c r="U25" s="9"/>
      <c r="V25" s="9"/>
      <c r="W25" s="9"/>
      <c r="X25" s="9"/>
      <c r="Y25" s="9"/>
    </row>
    <row r="26" spans="1:25" ht="20.100000000000001" customHeight="1" x14ac:dyDescent="0.25">
      <c r="A26" s="22"/>
      <c r="B26" s="21" t="s">
        <v>180</v>
      </c>
      <c r="C26" s="21" t="s">
        <v>92</v>
      </c>
      <c r="D26" s="23" t="s">
        <v>90</v>
      </c>
      <c r="E26" s="23" t="s">
        <v>91</v>
      </c>
      <c r="F26" s="23" t="s">
        <v>93</v>
      </c>
      <c r="G26" s="138" t="s">
        <v>132</v>
      </c>
      <c r="H26" s="138"/>
      <c r="I26" s="138" t="s">
        <v>131</v>
      </c>
      <c r="J26" s="138"/>
      <c r="K26" s="23" t="s">
        <v>94</v>
      </c>
      <c r="L26" s="23" t="s">
        <v>95</v>
      </c>
      <c r="M26" s="28"/>
      <c r="N26" s="109" t="s">
        <v>137</v>
      </c>
      <c r="O26" s="92"/>
      <c r="P26" s="92"/>
      <c r="Q26" s="92"/>
      <c r="R26" s="92"/>
      <c r="S26" s="92"/>
      <c r="T26" s="92"/>
      <c r="U26" s="92"/>
      <c r="V26" s="92"/>
      <c r="W26" s="92"/>
      <c r="X26" s="92"/>
      <c r="Y26" s="93"/>
    </row>
    <row r="27" spans="1:25" ht="20.100000000000001" customHeight="1" x14ac:dyDescent="0.25">
      <c r="A27" s="21" t="s">
        <v>96</v>
      </c>
      <c r="B27" s="7" t="s">
        <v>201</v>
      </c>
      <c r="C27" s="7"/>
      <c r="D27" s="7">
        <v>18.399999999999999</v>
      </c>
      <c r="E27" s="150">
        <v>2.6</v>
      </c>
      <c r="F27" s="7"/>
      <c r="G27" s="58"/>
      <c r="H27" s="58"/>
      <c r="I27" s="58"/>
      <c r="J27" s="58"/>
      <c r="K27" s="7"/>
      <c r="L27" s="9"/>
      <c r="M27" s="28"/>
      <c r="N27" s="23" t="s">
        <v>182</v>
      </c>
      <c r="O27" s="23" t="s">
        <v>21</v>
      </c>
      <c r="P27" s="23" t="s">
        <v>17</v>
      </c>
      <c r="Q27" s="23" t="s">
        <v>14</v>
      </c>
      <c r="R27" s="23" t="s">
        <v>128</v>
      </c>
      <c r="S27" s="23" t="s">
        <v>129</v>
      </c>
      <c r="T27" s="23" t="s">
        <v>112</v>
      </c>
      <c r="U27" s="23" t="s">
        <v>130</v>
      </c>
      <c r="V27" s="23" t="s">
        <v>116</v>
      </c>
      <c r="W27" s="23" t="s">
        <v>190</v>
      </c>
      <c r="X27" s="23" t="s">
        <v>191</v>
      </c>
      <c r="Y27" s="23" t="s">
        <v>22</v>
      </c>
    </row>
    <row r="28" spans="1:25" ht="20.100000000000001" customHeight="1" x14ac:dyDescent="0.25">
      <c r="A28" s="21" t="s">
        <v>97</v>
      </c>
      <c r="B28" s="7"/>
      <c r="C28" s="7"/>
      <c r="D28" s="7"/>
      <c r="E28" s="8"/>
      <c r="F28" s="7"/>
      <c r="G28" s="58"/>
      <c r="H28" s="58"/>
      <c r="I28" s="58"/>
      <c r="J28" s="58"/>
      <c r="K28" s="7"/>
      <c r="L28" s="9"/>
      <c r="M28" s="28"/>
      <c r="N28" s="48">
        <v>1</v>
      </c>
      <c r="O28" s="6"/>
      <c r="P28" s="6"/>
      <c r="Q28" s="6"/>
      <c r="R28" s="6"/>
      <c r="S28" s="6"/>
      <c r="T28" s="32"/>
      <c r="U28" s="6"/>
      <c r="V28" s="6"/>
      <c r="W28" s="6"/>
      <c r="X28" s="6"/>
      <c r="Y28" s="6"/>
    </row>
    <row r="29" spans="1:25" ht="20.100000000000001" customHeight="1" x14ac:dyDescent="0.25">
      <c r="A29" s="90" t="s">
        <v>99</v>
      </c>
      <c r="B29" s="91"/>
      <c r="C29" s="91"/>
      <c r="D29" s="91"/>
      <c r="E29" s="91"/>
      <c r="F29" s="134"/>
      <c r="G29" s="134"/>
      <c r="H29" s="134"/>
      <c r="I29" s="134"/>
      <c r="J29" s="134"/>
      <c r="K29" s="91"/>
      <c r="L29" s="135"/>
      <c r="M29" s="28"/>
      <c r="N29" s="48">
        <v>2</v>
      </c>
      <c r="O29" s="6"/>
      <c r="P29" s="6"/>
      <c r="Q29" s="6"/>
      <c r="R29" s="6"/>
      <c r="S29" s="6"/>
      <c r="T29" s="32"/>
      <c r="U29" s="6"/>
      <c r="V29" s="6"/>
      <c r="W29" s="6"/>
      <c r="X29" s="6"/>
      <c r="Y29" s="6"/>
    </row>
    <row r="30" spans="1:25" ht="20.100000000000001" customHeight="1" x14ac:dyDescent="0.25">
      <c r="A30" s="11" t="s">
        <v>115</v>
      </c>
      <c r="B30" s="34"/>
      <c r="C30" s="31"/>
      <c r="D30" s="11" t="s">
        <v>92</v>
      </c>
      <c r="E30" s="35"/>
      <c r="F30" s="31"/>
      <c r="G30" s="25" t="s">
        <v>98</v>
      </c>
      <c r="H30" s="36"/>
      <c r="I30" s="36"/>
      <c r="J30" s="37"/>
      <c r="K30" s="36"/>
      <c r="L30" s="38"/>
      <c r="M30" s="28"/>
      <c r="N30" s="48">
        <v>3</v>
      </c>
      <c r="O30" s="6"/>
      <c r="P30" s="6"/>
      <c r="Q30" s="6"/>
      <c r="R30" s="6"/>
      <c r="S30" s="6"/>
      <c r="T30" s="32"/>
      <c r="U30" s="6"/>
      <c r="V30" s="6"/>
      <c r="W30" s="6"/>
      <c r="X30" s="6"/>
      <c r="Y30" s="6"/>
    </row>
    <row r="31" spans="1:25" ht="20.100000000000001" customHeight="1" x14ac:dyDescent="0.25">
      <c r="A31" s="11" t="s">
        <v>114</v>
      </c>
      <c r="B31" s="34"/>
      <c r="C31" s="31"/>
      <c r="D31" s="11" t="s">
        <v>112</v>
      </c>
      <c r="E31" s="35"/>
      <c r="F31" s="39"/>
      <c r="G31" s="11" t="s">
        <v>98</v>
      </c>
      <c r="H31" s="35"/>
      <c r="I31" s="35"/>
      <c r="J31" s="35"/>
      <c r="K31" s="35"/>
      <c r="L31" s="31"/>
      <c r="M31" s="28"/>
      <c r="N31" s="48">
        <v>4</v>
      </c>
      <c r="O31" s="6"/>
      <c r="P31" s="6"/>
      <c r="Q31" s="6"/>
      <c r="R31" s="6"/>
      <c r="S31" s="6"/>
      <c r="T31" s="32"/>
      <c r="U31" s="6"/>
      <c r="V31" s="6"/>
      <c r="W31" s="6"/>
      <c r="X31" s="6"/>
      <c r="Y31" s="6"/>
    </row>
    <row r="32" spans="1:25" ht="20.100000000000001" customHeight="1" x14ac:dyDescent="0.25">
      <c r="A32" s="26" t="s">
        <v>113</v>
      </c>
      <c r="B32" s="40"/>
      <c r="C32" s="38"/>
      <c r="D32" s="26" t="s">
        <v>89</v>
      </c>
      <c r="E32" s="36"/>
      <c r="F32" s="38"/>
      <c r="G32" s="26" t="s">
        <v>111</v>
      </c>
      <c r="H32" s="36"/>
      <c r="I32" s="36"/>
      <c r="J32" s="36"/>
      <c r="K32" s="36"/>
      <c r="L32" s="38"/>
      <c r="M32" s="28"/>
      <c r="N32" s="49">
        <v>5</v>
      </c>
      <c r="O32" s="42"/>
      <c r="P32" s="42"/>
      <c r="Q32" s="42"/>
      <c r="R32" s="42"/>
      <c r="S32" s="42"/>
      <c r="T32" s="43"/>
      <c r="U32" s="42"/>
      <c r="V32" s="42"/>
      <c r="W32" s="42"/>
      <c r="X32" s="42"/>
      <c r="Y32" s="42"/>
    </row>
    <row r="33" spans="1:25" ht="20.100000000000001" customHeight="1" x14ac:dyDescent="0.25">
      <c r="A33" s="59" t="s">
        <v>116</v>
      </c>
      <c r="B33" s="60"/>
      <c r="C33" s="60"/>
      <c r="D33" s="60"/>
      <c r="E33" s="60"/>
      <c r="F33" s="60"/>
      <c r="G33" s="60"/>
      <c r="H33" s="60"/>
      <c r="I33" s="60"/>
      <c r="J33" s="60"/>
      <c r="K33" s="60"/>
      <c r="L33" s="61"/>
      <c r="M33" s="28"/>
      <c r="N33" s="48">
        <v>6</v>
      </c>
      <c r="O33" s="6"/>
      <c r="P33" s="6"/>
      <c r="Q33" s="6"/>
      <c r="R33" s="6"/>
      <c r="S33" s="6"/>
      <c r="T33" s="32"/>
      <c r="U33" s="6"/>
      <c r="V33" s="6"/>
      <c r="W33" s="6"/>
      <c r="X33" s="6"/>
      <c r="Y33" s="6"/>
    </row>
    <row r="34" spans="1:25" ht="20.100000000000001" customHeight="1" x14ac:dyDescent="0.25">
      <c r="A34" s="62"/>
      <c r="B34" s="63"/>
      <c r="C34" s="63"/>
      <c r="D34" s="63"/>
      <c r="E34" s="63"/>
      <c r="F34" s="63"/>
      <c r="G34" s="63"/>
      <c r="H34" s="63"/>
      <c r="I34" s="63"/>
      <c r="J34" s="63"/>
      <c r="K34" s="63"/>
      <c r="L34" s="64"/>
      <c r="M34" s="28"/>
      <c r="N34" s="48">
        <v>7</v>
      </c>
      <c r="O34" s="6"/>
      <c r="P34" s="6"/>
      <c r="Q34" s="6"/>
      <c r="R34" s="6"/>
      <c r="S34" s="6"/>
      <c r="T34" s="32"/>
      <c r="U34" s="6"/>
      <c r="V34" s="6"/>
      <c r="W34" s="6"/>
      <c r="X34" s="6"/>
      <c r="Y34" s="6"/>
    </row>
    <row r="35" spans="1:25" ht="20.100000000000001" customHeight="1" x14ac:dyDescent="0.25">
      <c r="A35" s="65"/>
      <c r="B35" s="66"/>
      <c r="C35" s="66"/>
      <c r="D35" s="66"/>
      <c r="E35" s="66"/>
      <c r="F35" s="66"/>
      <c r="G35" s="66"/>
      <c r="H35" s="66"/>
      <c r="I35" s="66"/>
      <c r="J35" s="66"/>
      <c r="K35" s="66"/>
      <c r="L35" s="67"/>
      <c r="M35" s="28"/>
      <c r="N35" s="48">
        <v>8</v>
      </c>
      <c r="O35" s="6"/>
      <c r="P35" s="6"/>
      <c r="Q35" s="6"/>
      <c r="R35" s="6"/>
      <c r="S35" s="6"/>
      <c r="T35" s="32"/>
      <c r="U35" s="6"/>
      <c r="V35" s="6"/>
      <c r="W35" s="6"/>
      <c r="X35" s="6"/>
      <c r="Y35" s="6"/>
    </row>
    <row r="36" spans="1:25" ht="20.100000000000001" customHeight="1" x14ac:dyDescent="0.25">
      <c r="A36" s="68" t="s">
        <v>136</v>
      </c>
      <c r="B36" s="69"/>
      <c r="C36" s="69"/>
      <c r="D36" s="69"/>
      <c r="E36" s="69"/>
      <c r="F36" s="69"/>
      <c r="G36" s="69"/>
      <c r="H36" s="69"/>
      <c r="I36" s="69"/>
      <c r="J36" s="69"/>
      <c r="K36" s="69"/>
      <c r="L36" s="70"/>
      <c r="M36" s="28"/>
      <c r="N36" s="48">
        <v>9</v>
      </c>
      <c r="O36" s="6"/>
      <c r="P36" s="6"/>
      <c r="Q36" s="6"/>
      <c r="R36" s="6"/>
      <c r="S36" s="6"/>
      <c r="T36" s="32"/>
      <c r="U36" s="6"/>
      <c r="V36" s="6"/>
      <c r="W36" s="6"/>
      <c r="X36" s="6"/>
      <c r="Y36" s="6"/>
    </row>
    <row r="37" spans="1:25" ht="20.100000000000001" customHeight="1" x14ac:dyDescent="0.25">
      <c r="A37" s="23" t="s">
        <v>14</v>
      </c>
      <c r="B37" s="1" t="s">
        <v>21</v>
      </c>
      <c r="C37" s="23" t="s">
        <v>135</v>
      </c>
      <c r="D37" s="23" t="s">
        <v>15</v>
      </c>
      <c r="E37" s="23" t="s">
        <v>16</v>
      </c>
      <c r="F37" s="23" t="s">
        <v>52</v>
      </c>
      <c r="G37" s="27" t="s">
        <v>17</v>
      </c>
      <c r="H37" s="27" t="s">
        <v>18</v>
      </c>
      <c r="I37" s="24" t="s">
        <v>29</v>
      </c>
      <c r="J37" s="23" t="s">
        <v>19</v>
      </c>
      <c r="K37" s="23" t="s">
        <v>20</v>
      </c>
      <c r="L37" s="23" t="s">
        <v>22</v>
      </c>
      <c r="M37" s="28"/>
      <c r="N37" s="49">
        <v>10</v>
      </c>
      <c r="O37" s="42"/>
      <c r="P37" s="42"/>
      <c r="Q37" s="42"/>
      <c r="R37" s="42"/>
      <c r="S37" s="42"/>
      <c r="T37" s="43"/>
      <c r="U37" s="42"/>
      <c r="V37" s="42"/>
      <c r="W37" s="42"/>
      <c r="X37" s="42"/>
      <c r="Y37" s="42"/>
    </row>
    <row r="38" spans="1:25" ht="20.100000000000001" customHeight="1" x14ac:dyDescent="0.25">
      <c r="A38" s="21">
        <v>1</v>
      </c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28"/>
      <c r="N38" s="48">
        <v>11</v>
      </c>
      <c r="O38" s="6"/>
      <c r="P38" s="6"/>
      <c r="Q38" s="6"/>
      <c r="R38" s="6"/>
      <c r="S38" s="6"/>
      <c r="T38" s="32"/>
      <c r="U38" s="6"/>
      <c r="V38" s="6"/>
      <c r="W38" s="6"/>
      <c r="X38" s="6"/>
      <c r="Y38" s="6"/>
    </row>
    <row r="39" spans="1:25" ht="20.100000000000001" customHeight="1" x14ac:dyDescent="0.25">
      <c r="A39" s="21">
        <v>2</v>
      </c>
      <c r="B39" s="32"/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28"/>
      <c r="N39" s="48">
        <v>12</v>
      </c>
      <c r="O39" s="6"/>
      <c r="P39" s="6"/>
      <c r="Q39" s="6"/>
      <c r="R39" s="6"/>
      <c r="S39" s="6"/>
      <c r="T39" s="32"/>
      <c r="U39" s="6"/>
      <c r="V39" s="6"/>
      <c r="W39" s="6"/>
      <c r="X39" s="6"/>
      <c r="Y39" s="6"/>
    </row>
    <row r="40" spans="1:25" ht="20.100000000000001" customHeight="1" x14ac:dyDescent="0.25">
      <c r="A40" s="21">
        <v>3</v>
      </c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28"/>
      <c r="N40" s="48">
        <v>13</v>
      </c>
      <c r="O40" s="6"/>
      <c r="P40" s="6"/>
      <c r="Q40" s="6"/>
      <c r="R40" s="6"/>
      <c r="S40" s="6"/>
      <c r="T40" s="32"/>
      <c r="U40" s="6"/>
      <c r="V40" s="6"/>
      <c r="W40" s="6"/>
      <c r="X40" s="6"/>
      <c r="Y40" s="6"/>
    </row>
    <row r="41" spans="1:25" ht="20.100000000000001" customHeight="1" x14ac:dyDescent="0.25">
      <c r="A41" s="21">
        <v>4</v>
      </c>
      <c r="B41" s="32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28"/>
      <c r="N41" s="48">
        <v>14</v>
      </c>
      <c r="O41" s="6"/>
      <c r="P41" s="6"/>
      <c r="Q41" s="6"/>
      <c r="R41" s="6"/>
      <c r="S41" s="6"/>
      <c r="T41" s="32"/>
      <c r="U41" s="6"/>
      <c r="V41" s="6"/>
      <c r="W41" s="6"/>
      <c r="X41" s="6"/>
      <c r="Y41" s="6"/>
    </row>
    <row r="42" spans="1:25" ht="20.100000000000001" customHeight="1" x14ac:dyDescent="0.25">
      <c r="A42" s="45">
        <v>5</v>
      </c>
      <c r="B42" s="43"/>
      <c r="C42" s="43"/>
      <c r="D42" s="43"/>
      <c r="E42" s="43"/>
      <c r="F42" s="43"/>
      <c r="G42" s="43"/>
      <c r="H42" s="43"/>
      <c r="I42" s="43"/>
      <c r="J42" s="43"/>
      <c r="K42" s="43"/>
      <c r="L42" s="43"/>
      <c r="M42" s="28"/>
      <c r="N42" s="49">
        <v>15</v>
      </c>
      <c r="O42" s="42"/>
      <c r="P42" s="42"/>
      <c r="Q42" s="42"/>
      <c r="R42" s="42"/>
      <c r="S42" s="42"/>
      <c r="T42" s="43"/>
      <c r="U42" s="42"/>
      <c r="V42" s="42"/>
      <c r="W42" s="42"/>
      <c r="X42" s="42"/>
      <c r="Y42" s="42"/>
    </row>
    <row r="43" spans="1:25" ht="20.100000000000001" customHeight="1" x14ac:dyDescent="0.25">
      <c r="N43" s="50"/>
    </row>
    <row r="44" spans="1:25" ht="20.100000000000001" customHeight="1" x14ac:dyDescent="0.25">
      <c r="A44" s="23" t="s">
        <v>14</v>
      </c>
      <c r="B44" s="21" t="s">
        <v>21</v>
      </c>
      <c r="C44" s="23" t="s">
        <v>135</v>
      </c>
      <c r="D44" s="23" t="s">
        <v>15</v>
      </c>
      <c r="E44" s="23" t="s">
        <v>16</v>
      </c>
      <c r="F44" s="23" t="s">
        <v>52</v>
      </c>
      <c r="G44" s="27" t="s">
        <v>17</v>
      </c>
      <c r="H44" s="27" t="s">
        <v>18</v>
      </c>
      <c r="I44" s="23" t="s">
        <v>29</v>
      </c>
      <c r="J44" s="23" t="s">
        <v>19</v>
      </c>
      <c r="K44" s="23" t="s">
        <v>20</v>
      </c>
      <c r="L44" s="23" t="s">
        <v>22</v>
      </c>
      <c r="N44" s="23" t="s">
        <v>182</v>
      </c>
      <c r="O44" s="23" t="s">
        <v>21</v>
      </c>
      <c r="P44" s="23" t="s">
        <v>17</v>
      </c>
      <c r="Q44" s="23" t="s">
        <v>14</v>
      </c>
      <c r="R44" s="23" t="s">
        <v>128</v>
      </c>
      <c r="S44" s="23" t="s">
        <v>129</v>
      </c>
      <c r="T44" s="23" t="s">
        <v>112</v>
      </c>
      <c r="U44" s="23" t="s">
        <v>130</v>
      </c>
      <c r="V44" s="23" t="s">
        <v>116</v>
      </c>
      <c r="W44" s="23" t="s">
        <v>190</v>
      </c>
      <c r="X44" s="23" t="s">
        <v>191</v>
      </c>
      <c r="Y44" s="23" t="s">
        <v>22</v>
      </c>
    </row>
    <row r="45" spans="1:25" ht="20.100000000000001" customHeight="1" x14ac:dyDescent="0.25">
      <c r="A45" s="21">
        <v>6</v>
      </c>
      <c r="B45" s="32"/>
      <c r="C45" s="32"/>
      <c r="D45" s="32"/>
      <c r="E45" s="32"/>
      <c r="F45" s="32"/>
      <c r="G45" s="32"/>
      <c r="H45" s="32"/>
      <c r="I45" s="32"/>
      <c r="J45" s="32"/>
      <c r="K45" s="32"/>
      <c r="L45" s="32"/>
      <c r="N45" s="48">
        <v>16</v>
      </c>
      <c r="O45" s="6"/>
      <c r="P45" s="6"/>
      <c r="Q45" s="6"/>
      <c r="R45" s="6"/>
      <c r="S45" s="6"/>
      <c r="T45" s="32"/>
      <c r="U45" s="6"/>
      <c r="V45" s="6"/>
      <c r="W45" s="6"/>
      <c r="X45" s="6"/>
      <c r="Y45" s="6"/>
    </row>
    <row r="46" spans="1:25" ht="20.100000000000001" customHeight="1" x14ac:dyDescent="0.25">
      <c r="A46" s="21">
        <v>7</v>
      </c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  <c r="N46" s="48">
        <v>17</v>
      </c>
      <c r="O46" s="6"/>
      <c r="P46" s="6"/>
      <c r="Q46" s="6"/>
      <c r="R46" s="6"/>
      <c r="S46" s="6"/>
      <c r="T46" s="32"/>
      <c r="U46" s="6"/>
      <c r="V46" s="6"/>
      <c r="W46" s="6"/>
      <c r="X46" s="6"/>
      <c r="Y46" s="6"/>
    </row>
    <row r="47" spans="1:25" ht="20.100000000000001" customHeight="1" x14ac:dyDescent="0.25">
      <c r="A47" s="21">
        <v>8</v>
      </c>
      <c r="B47" s="32"/>
      <c r="C47" s="32"/>
      <c r="D47" s="32"/>
      <c r="E47" s="32"/>
      <c r="F47" s="32"/>
      <c r="G47" s="32"/>
      <c r="H47" s="32"/>
      <c r="I47" s="32"/>
      <c r="J47" s="32"/>
      <c r="K47" s="32"/>
      <c r="L47" s="32"/>
      <c r="N47" s="48">
        <v>18</v>
      </c>
      <c r="O47" s="6"/>
      <c r="P47" s="6"/>
      <c r="Q47" s="6"/>
      <c r="R47" s="6"/>
      <c r="S47" s="6"/>
      <c r="T47" s="32"/>
      <c r="U47" s="6"/>
      <c r="V47" s="6"/>
      <c r="W47" s="6"/>
      <c r="X47" s="6"/>
      <c r="Y47" s="6"/>
    </row>
    <row r="48" spans="1:25" ht="20.100000000000001" customHeight="1" x14ac:dyDescent="0.25">
      <c r="A48" s="21">
        <v>9</v>
      </c>
      <c r="B48" s="32"/>
      <c r="C48" s="32"/>
      <c r="D48" s="32"/>
      <c r="E48" s="32"/>
      <c r="F48" s="32"/>
      <c r="G48" s="32"/>
      <c r="H48" s="32"/>
      <c r="I48" s="32"/>
      <c r="J48" s="32"/>
      <c r="K48" s="32"/>
      <c r="L48" s="32"/>
      <c r="N48" s="48">
        <v>19</v>
      </c>
      <c r="O48" s="6"/>
      <c r="P48" s="6"/>
      <c r="Q48" s="6"/>
      <c r="R48" s="6"/>
      <c r="S48" s="6"/>
      <c r="T48" s="32"/>
      <c r="U48" s="6"/>
      <c r="V48" s="6"/>
      <c r="W48" s="6"/>
      <c r="X48" s="6"/>
      <c r="Y48" s="6"/>
    </row>
    <row r="49" spans="1:25" ht="20.100000000000001" customHeight="1" x14ac:dyDescent="0.25">
      <c r="A49" s="45">
        <v>10</v>
      </c>
      <c r="B49" s="43"/>
      <c r="C49" s="43"/>
      <c r="D49" s="43"/>
      <c r="E49" s="43"/>
      <c r="F49" s="43"/>
      <c r="G49" s="43"/>
      <c r="H49" s="43"/>
      <c r="I49" s="43"/>
      <c r="J49" s="43"/>
      <c r="K49" s="43"/>
      <c r="L49" s="43"/>
      <c r="N49" s="49">
        <v>20</v>
      </c>
      <c r="O49" s="42"/>
      <c r="P49" s="42"/>
      <c r="Q49" s="42"/>
      <c r="R49" s="42"/>
      <c r="S49" s="42"/>
      <c r="T49" s="43"/>
      <c r="U49" s="42"/>
      <c r="V49" s="42"/>
      <c r="W49" s="42"/>
      <c r="X49" s="42"/>
      <c r="Y49" s="42"/>
    </row>
    <row r="50" spans="1:25" ht="20.100000000000001" customHeight="1" x14ac:dyDescent="0.25">
      <c r="A50" s="21">
        <v>11</v>
      </c>
      <c r="B50" s="41"/>
      <c r="C50" s="41"/>
      <c r="D50" s="41"/>
      <c r="E50" s="41"/>
      <c r="F50" s="41"/>
      <c r="G50" s="41"/>
      <c r="H50" s="41"/>
      <c r="I50" s="41"/>
      <c r="J50" s="41"/>
      <c r="K50" s="41"/>
      <c r="L50" s="41"/>
      <c r="N50" s="48">
        <v>21</v>
      </c>
      <c r="O50" s="6"/>
      <c r="P50" s="6"/>
      <c r="Q50" s="6"/>
      <c r="R50" s="6"/>
      <c r="S50" s="6"/>
      <c r="T50" s="32"/>
      <c r="U50" s="6"/>
      <c r="V50" s="6"/>
      <c r="W50" s="6"/>
      <c r="X50" s="6"/>
      <c r="Y50" s="6"/>
    </row>
    <row r="51" spans="1:25" ht="20.100000000000001" customHeight="1" x14ac:dyDescent="0.25">
      <c r="A51" s="21">
        <v>12</v>
      </c>
      <c r="B51" s="41"/>
      <c r="C51" s="41"/>
      <c r="D51" s="41"/>
      <c r="E51" s="41"/>
      <c r="F51" s="41"/>
      <c r="G51" s="41"/>
      <c r="H51" s="41"/>
      <c r="I51" s="41"/>
      <c r="J51" s="41"/>
      <c r="K51" s="41"/>
      <c r="L51" s="41"/>
      <c r="N51" s="48">
        <v>22</v>
      </c>
      <c r="O51" s="6"/>
      <c r="P51" s="6"/>
      <c r="Q51" s="6"/>
      <c r="R51" s="6"/>
      <c r="S51" s="6"/>
      <c r="T51" s="32"/>
      <c r="U51" s="6"/>
      <c r="V51" s="6"/>
      <c r="W51" s="6"/>
      <c r="X51" s="6"/>
      <c r="Y51" s="6"/>
    </row>
    <row r="52" spans="1:25" ht="20.100000000000001" customHeight="1" x14ac:dyDescent="0.25">
      <c r="A52" s="21">
        <v>13</v>
      </c>
      <c r="B52" s="41"/>
      <c r="C52" s="41"/>
      <c r="D52" s="41"/>
      <c r="E52" s="41"/>
      <c r="F52" s="41"/>
      <c r="G52" s="41"/>
      <c r="H52" s="41"/>
      <c r="I52" s="41"/>
      <c r="J52" s="41"/>
      <c r="K52" s="41"/>
      <c r="L52" s="41"/>
      <c r="N52" s="48">
        <v>23</v>
      </c>
      <c r="O52" s="6"/>
      <c r="P52" s="6"/>
      <c r="Q52" s="6"/>
      <c r="R52" s="6"/>
      <c r="S52" s="6"/>
      <c r="T52" s="32"/>
      <c r="U52" s="6"/>
      <c r="V52" s="6"/>
      <c r="W52" s="6"/>
      <c r="X52" s="6"/>
      <c r="Y52" s="6"/>
    </row>
    <row r="53" spans="1:25" ht="20.100000000000001" customHeight="1" x14ac:dyDescent="0.25">
      <c r="A53" s="21">
        <v>14</v>
      </c>
      <c r="B53" s="41"/>
      <c r="C53" s="41"/>
      <c r="D53" s="41"/>
      <c r="E53" s="41"/>
      <c r="F53" s="41"/>
      <c r="G53" s="41"/>
      <c r="H53" s="41"/>
      <c r="I53" s="41"/>
      <c r="J53" s="41"/>
      <c r="K53" s="41"/>
      <c r="L53" s="41"/>
      <c r="N53" s="48">
        <v>24</v>
      </c>
      <c r="O53" s="6"/>
      <c r="P53" s="6"/>
      <c r="Q53" s="6"/>
      <c r="R53" s="6"/>
      <c r="S53" s="6"/>
      <c r="T53" s="32"/>
      <c r="U53" s="6"/>
      <c r="V53" s="6"/>
      <c r="W53" s="6"/>
      <c r="X53" s="6"/>
      <c r="Y53" s="6"/>
    </row>
    <row r="54" spans="1:25" ht="20.100000000000001" customHeight="1" x14ac:dyDescent="0.25">
      <c r="A54" s="45">
        <v>15</v>
      </c>
      <c r="B54" s="44"/>
      <c r="C54" s="44"/>
      <c r="D54" s="44"/>
      <c r="E54" s="44"/>
      <c r="F54" s="44"/>
      <c r="G54" s="44"/>
      <c r="H54" s="44"/>
      <c r="I54" s="44"/>
      <c r="J54" s="44"/>
      <c r="K54" s="44"/>
      <c r="L54" s="44"/>
      <c r="N54" s="49">
        <v>25</v>
      </c>
      <c r="O54" s="42"/>
      <c r="P54" s="42"/>
      <c r="Q54" s="42"/>
      <c r="R54" s="42"/>
      <c r="S54" s="42"/>
      <c r="T54" s="43"/>
      <c r="U54" s="42"/>
      <c r="V54" s="42"/>
      <c r="W54" s="42"/>
      <c r="X54" s="42"/>
      <c r="Y54" s="42"/>
    </row>
    <row r="55" spans="1:25" ht="20.100000000000001" customHeight="1" x14ac:dyDescent="0.25">
      <c r="A55" s="21">
        <v>16</v>
      </c>
      <c r="B55" s="41"/>
      <c r="C55" s="41"/>
      <c r="D55" s="41"/>
      <c r="E55" s="41"/>
      <c r="F55" s="41"/>
      <c r="G55" s="41"/>
      <c r="H55" s="41"/>
      <c r="I55" s="41"/>
      <c r="J55" s="41"/>
      <c r="K55" s="41"/>
      <c r="L55" s="41"/>
      <c r="N55" s="48">
        <v>26</v>
      </c>
      <c r="O55" s="6"/>
      <c r="P55" s="6"/>
      <c r="Q55" s="6"/>
      <c r="R55" s="6"/>
      <c r="S55" s="6"/>
      <c r="T55" s="32"/>
      <c r="U55" s="6"/>
      <c r="V55" s="6"/>
      <c r="W55" s="6"/>
      <c r="X55" s="6"/>
      <c r="Y55" s="6"/>
    </row>
    <row r="56" spans="1:25" ht="20.100000000000001" customHeight="1" x14ac:dyDescent="0.25">
      <c r="A56" s="21">
        <v>17</v>
      </c>
      <c r="B56" s="41"/>
      <c r="C56" s="41"/>
      <c r="D56" s="41"/>
      <c r="E56" s="41"/>
      <c r="F56" s="41"/>
      <c r="G56" s="41"/>
      <c r="H56" s="41"/>
      <c r="I56" s="41"/>
      <c r="J56" s="41"/>
      <c r="K56" s="41"/>
      <c r="L56" s="41"/>
      <c r="N56" s="48">
        <v>27</v>
      </c>
      <c r="O56" s="6"/>
      <c r="P56" s="6"/>
      <c r="Q56" s="6"/>
      <c r="R56" s="6"/>
      <c r="S56" s="6"/>
      <c r="T56" s="32"/>
      <c r="U56" s="6"/>
      <c r="V56" s="6"/>
      <c r="W56" s="6"/>
      <c r="X56" s="6"/>
      <c r="Y56" s="6"/>
    </row>
    <row r="57" spans="1:25" ht="20.100000000000001" customHeight="1" x14ac:dyDescent="0.25">
      <c r="A57" s="21">
        <v>18</v>
      </c>
      <c r="B57" s="41"/>
      <c r="C57" s="41"/>
      <c r="D57" s="41"/>
      <c r="E57" s="41"/>
      <c r="F57" s="41"/>
      <c r="G57" s="41"/>
      <c r="H57" s="41"/>
      <c r="I57" s="41"/>
      <c r="J57" s="41"/>
      <c r="K57" s="41"/>
      <c r="L57" s="41"/>
      <c r="N57" s="48">
        <v>28</v>
      </c>
      <c r="O57" s="6"/>
      <c r="P57" s="6"/>
      <c r="Q57" s="6"/>
      <c r="R57" s="6"/>
      <c r="S57" s="6"/>
      <c r="T57" s="32"/>
      <c r="U57" s="6"/>
      <c r="V57" s="6"/>
      <c r="W57" s="6"/>
      <c r="X57" s="6"/>
      <c r="Y57" s="6"/>
    </row>
    <row r="58" spans="1:25" ht="20.100000000000001" customHeight="1" x14ac:dyDescent="0.25">
      <c r="A58" s="21">
        <v>19</v>
      </c>
      <c r="B58" s="41"/>
      <c r="C58" s="41"/>
      <c r="D58" s="41"/>
      <c r="E58" s="41"/>
      <c r="F58" s="41"/>
      <c r="G58" s="41"/>
      <c r="H58" s="41"/>
      <c r="I58" s="41"/>
      <c r="J58" s="41"/>
      <c r="K58" s="41"/>
      <c r="L58" s="41"/>
      <c r="N58" s="48">
        <v>29</v>
      </c>
      <c r="O58" s="6"/>
      <c r="P58" s="6"/>
      <c r="Q58" s="6"/>
      <c r="R58" s="6"/>
      <c r="S58" s="6"/>
      <c r="T58" s="32"/>
      <c r="U58" s="6"/>
      <c r="V58" s="6"/>
      <c r="W58" s="6"/>
      <c r="X58" s="6"/>
      <c r="Y58" s="6"/>
    </row>
    <row r="59" spans="1:25" ht="20.100000000000001" customHeight="1" x14ac:dyDescent="0.25">
      <c r="A59" s="45">
        <v>20</v>
      </c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  <c r="N59" s="49">
        <v>30</v>
      </c>
      <c r="O59" s="42"/>
      <c r="P59" s="42"/>
      <c r="Q59" s="42"/>
      <c r="R59" s="42"/>
      <c r="S59" s="42"/>
      <c r="T59" s="43"/>
      <c r="U59" s="42"/>
      <c r="V59" s="42"/>
      <c r="W59" s="42"/>
      <c r="X59" s="42"/>
      <c r="Y59" s="42"/>
    </row>
    <row r="60" spans="1:25" ht="20.100000000000001" customHeight="1" x14ac:dyDescent="0.25">
      <c r="A60" s="21">
        <v>21</v>
      </c>
      <c r="B60" s="41"/>
      <c r="C60" s="41"/>
      <c r="D60" s="41"/>
      <c r="E60" s="41"/>
      <c r="F60" s="41"/>
      <c r="G60" s="41"/>
      <c r="H60" s="41"/>
      <c r="I60" s="41"/>
      <c r="J60" s="41"/>
      <c r="K60" s="41"/>
      <c r="L60" s="41"/>
      <c r="N60" s="51">
        <v>31</v>
      </c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1"/>
    </row>
    <row r="61" spans="1:25" ht="20.100000000000001" customHeight="1" x14ac:dyDescent="0.25">
      <c r="A61" s="21">
        <v>22</v>
      </c>
      <c r="B61" s="41"/>
      <c r="C61" s="41"/>
      <c r="D61" s="41"/>
      <c r="E61" s="41"/>
      <c r="F61" s="41"/>
      <c r="G61" s="41"/>
      <c r="H61" s="41"/>
      <c r="I61" s="41"/>
      <c r="J61" s="41"/>
      <c r="K61" s="41"/>
      <c r="L61" s="41"/>
      <c r="N61" s="51">
        <v>32</v>
      </c>
      <c r="O61" s="41"/>
      <c r="P61" s="41"/>
      <c r="Q61" s="41"/>
      <c r="R61" s="41"/>
      <c r="S61" s="41"/>
      <c r="T61" s="41"/>
      <c r="U61" s="41"/>
      <c r="V61" s="41"/>
      <c r="W61" s="41"/>
      <c r="X61" s="41"/>
      <c r="Y61" s="41"/>
    </row>
    <row r="62" spans="1:25" ht="20.100000000000001" customHeight="1" x14ac:dyDescent="0.25">
      <c r="A62" s="21">
        <v>23</v>
      </c>
      <c r="B62" s="41"/>
      <c r="C62" s="41"/>
      <c r="D62" s="41"/>
      <c r="E62" s="41"/>
      <c r="F62" s="41"/>
      <c r="G62" s="41"/>
      <c r="H62" s="41"/>
      <c r="I62" s="41"/>
      <c r="J62" s="41"/>
      <c r="K62" s="41"/>
      <c r="L62" s="41"/>
      <c r="N62" s="51">
        <v>33</v>
      </c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41"/>
    </row>
    <row r="63" spans="1:25" ht="20.100000000000001" customHeight="1" x14ac:dyDescent="0.25">
      <c r="A63" s="21">
        <v>24</v>
      </c>
      <c r="B63" s="41"/>
      <c r="C63" s="41"/>
      <c r="D63" s="41"/>
      <c r="E63" s="41"/>
      <c r="F63" s="41"/>
      <c r="G63" s="41"/>
      <c r="H63" s="41"/>
      <c r="I63" s="41"/>
      <c r="J63" s="41"/>
      <c r="K63" s="41"/>
      <c r="L63" s="41"/>
      <c r="N63" s="51">
        <v>34</v>
      </c>
      <c r="O63" s="41"/>
      <c r="P63" s="41"/>
      <c r="Q63" s="41"/>
      <c r="R63" s="41"/>
      <c r="S63" s="41"/>
      <c r="T63" s="41"/>
      <c r="U63" s="41"/>
      <c r="V63" s="41"/>
      <c r="W63" s="41"/>
      <c r="X63" s="41"/>
      <c r="Y63" s="41"/>
    </row>
    <row r="64" spans="1:25" ht="20.100000000000001" customHeight="1" x14ac:dyDescent="0.25">
      <c r="A64" s="45">
        <v>25</v>
      </c>
      <c r="B64" s="44"/>
      <c r="C64" s="44"/>
      <c r="D64" s="44"/>
      <c r="E64" s="44"/>
      <c r="F64" s="44"/>
      <c r="G64" s="44"/>
      <c r="H64" s="44"/>
      <c r="I64" s="44"/>
      <c r="J64" s="44"/>
      <c r="K64" s="44"/>
      <c r="L64" s="44"/>
      <c r="N64" s="52">
        <v>35</v>
      </c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</row>
    <row r="65" spans="1:25" ht="20.100000000000001" customHeight="1" x14ac:dyDescent="0.25">
      <c r="A65" s="21">
        <v>26</v>
      </c>
      <c r="B65" s="41"/>
      <c r="C65" s="41"/>
      <c r="D65" s="41"/>
      <c r="E65" s="41"/>
      <c r="F65" s="41"/>
      <c r="G65" s="41"/>
      <c r="H65" s="41"/>
      <c r="I65" s="41"/>
      <c r="J65" s="41"/>
      <c r="K65" s="41"/>
      <c r="L65" s="41"/>
      <c r="N65" s="51">
        <v>36</v>
      </c>
      <c r="O65" s="41"/>
      <c r="P65" s="41"/>
      <c r="Q65" s="41"/>
      <c r="R65" s="41"/>
      <c r="S65" s="41"/>
      <c r="T65" s="41"/>
      <c r="U65" s="41"/>
      <c r="V65" s="41"/>
      <c r="W65" s="41"/>
      <c r="X65" s="41"/>
      <c r="Y65" s="41"/>
    </row>
    <row r="66" spans="1:25" ht="20.100000000000001" customHeight="1" x14ac:dyDescent="0.25">
      <c r="A66" s="21">
        <v>27</v>
      </c>
      <c r="B66" s="41"/>
      <c r="C66" s="41"/>
      <c r="D66" s="41"/>
      <c r="E66" s="41"/>
      <c r="F66" s="41"/>
      <c r="G66" s="41"/>
      <c r="H66" s="41"/>
      <c r="I66" s="41"/>
      <c r="J66" s="41"/>
      <c r="K66" s="41"/>
      <c r="L66" s="41"/>
      <c r="N66" s="51">
        <v>37</v>
      </c>
      <c r="O66" s="41"/>
      <c r="P66" s="41"/>
      <c r="Q66" s="41"/>
      <c r="R66" s="41"/>
      <c r="S66" s="41"/>
      <c r="T66" s="41"/>
      <c r="U66" s="41"/>
      <c r="V66" s="41"/>
      <c r="W66" s="41"/>
      <c r="X66" s="41"/>
      <c r="Y66" s="41"/>
    </row>
    <row r="67" spans="1:25" ht="20.100000000000001" customHeight="1" x14ac:dyDescent="0.25">
      <c r="A67" s="21">
        <v>28</v>
      </c>
      <c r="B67" s="41"/>
      <c r="C67" s="41"/>
      <c r="D67" s="41"/>
      <c r="E67" s="41"/>
      <c r="F67" s="41"/>
      <c r="G67" s="41"/>
      <c r="H67" s="41"/>
      <c r="I67" s="41"/>
      <c r="J67" s="41"/>
      <c r="K67" s="41"/>
      <c r="L67" s="41"/>
      <c r="N67" s="51">
        <v>38</v>
      </c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</row>
    <row r="68" spans="1:25" ht="20.100000000000001" customHeight="1" x14ac:dyDescent="0.25">
      <c r="A68" s="21">
        <v>29</v>
      </c>
      <c r="B68" s="41"/>
      <c r="C68" s="41"/>
      <c r="D68" s="41"/>
      <c r="E68" s="41"/>
      <c r="F68" s="41"/>
      <c r="G68" s="41"/>
      <c r="H68" s="41"/>
      <c r="I68" s="41"/>
      <c r="J68" s="41"/>
      <c r="K68" s="41"/>
      <c r="L68" s="41"/>
      <c r="N68" s="51">
        <v>39</v>
      </c>
      <c r="O68" s="41"/>
      <c r="P68" s="41"/>
      <c r="Q68" s="41"/>
      <c r="R68" s="41"/>
      <c r="S68" s="41"/>
      <c r="T68" s="41"/>
      <c r="U68" s="41"/>
      <c r="V68" s="41"/>
      <c r="W68" s="41"/>
      <c r="X68" s="41"/>
      <c r="Y68" s="41"/>
    </row>
    <row r="69" spans="1:25" ht="20.100000000000001" customHeight="1" x14ac:dyDescent="0.25">
      <c r="A69" s="45">
        <v>30</v>
      </c>
      <c r="B69" s="44"/>
      <c r="C69" s="44"/>
      <c r="D69" s="44"/>
      <c r="E69" s="44"/>
      <c r="F69" s="44"/>
      <c r="G69" s="44"/>
      <c r="H69" s="44"/>
      <c r="I69" s="44"/>
      <c r="J69" s="44"/>
      <c r="K69" s="44"/>
      <c r="L69" s="44"/>
      <c r="N69" s="52">
        <v>40</v>
      </c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</row>
    <row r="70" spans="1:25" ht="20.100000000000001" customHeight="1" x14ac:dyDescent="0.25">
      <c r="A70" s="21">
        <v>31</v>
      </c>
      <c r="B70" s="41"/>
      <c r="C70" s="41"/>
      <c r="D70" s="41"/>
      <c r="E70" s="41"/>
      <c r="F70" s="41"/>
      <c r="G70" s="41"/>
      <c r="H70" s="41"/>
      <c r="I70" s="41"/>
      <c r="J70" s="41"/>
      <c r="K70" s="41"/>
      <c r="L70" s="41"/>
      <c r="N70" s="51">
        <v>41</v>
      </c>
      <c r="O70" s="41"/>
      <c r="P70" s="41"/>
      <c r="Q70" s="41"/>
      <c r="R70" s="41"/>
      <c r="S70" s="41"/>
      <c r="T70" s="41"/>
      <c r="U70" s="41"/>
      <c r="V70" s="41"/>
      <c r="W70" s="41"/>
      <c r="X70" s="41"/>
      <c r="Y70" s="41"/>
    </row>
    <row r="71" spans="1:25" ht="20.100000000000001" customHeight="1" x14ac:dyDescent="0.25">
      <c r="A71" s="21">
        <v>32</v>
      </c>
      <c r="B71" s="41"/>
      <c r="C71" s="41"/>
      <c r="D71" s="41"/>
      <c r="E71" s="41"/>
      <c r="F71" s="41"/>
      <c r="G71" s="41"/>
      <c r="H71" s="41"/>
      <c r="I71" s="41"/>
      <c r="J71" s="41"/>
      <c r="K71" s="41"/>
      <c r="L71" s="41"/>
      <c r="N71" s="51">
        <v>42</v>
      </c>
      <c r="O71" s="41"/>
      <c r="P71" s="41"/>
      <c r="Q71" s="41"/>
      <c r="R71" s="41"/>
      <c r="S71" s="41"/>
      <c r="T71" s="41"/>
      <c r="U71" s="41"/>
      <c r="V71" s="41"/>
      <c r="W71" s="41"/>
      <c r="X71" s="41"/>
      <c r="Y71" s="41"/>
    </row>
    <row r="72" spans="1:25" ht="20.100000000000001" customHeight="1" x14ac:dyDescent="0.25">
      <c r="A72" s="21">
        <v>33</v>
      </c>
      <c r="B72" s="41"/>
      <c r="C72" s="41"/>
      <c r="D72" s="41"/>
      <c r="E72" s="41"/>
      <c r="F72" s="41"/>
      <c r="G72" s="41"/>
      <c r="H72" s="41"/>
      <c r="I72" s="41"/>
      <c r="J72" s="41"/>
      <c r="K72" s="41"/>
      <c r="L72" s="41"/>
      <c r="N72" s="51">
        <v>43</v>
      </c>
      <c r="O72" s="41"/>
      <c r="P72" s="41"/>
      <c r="Q72" s="41"/>
      <c r="R72" s="41"/>
      <c r="S72" s="41"/>
      <c r="T72" s="41"/>
      <c r="U72" s="41"/>
      <c r="V72" s="41"/>
      <c r="W72" s="41"/>
      <c r="X72" s="41"/>
      <c r="Y72" s="41"/>
    </row>
    <row r="73" spans="1:25" ht="20.100000000000001" customHeight="1" x14ac:dyDescent="0.25">
      <c r="A73" s="21">
        <v>34</v>
      </c>
      <c r="B73" s="41"/>
      <c r="C73" s="41"/>
      <c r="D73" s="41"/>
      <c r="E73" s="41"/>
      <c r="F73" s="41"/>
      <c r="G73" s="41"/>
      <c r="H73" s="41"/>
      <c r="I73" s="41"/>
      <c r="J73" s="41"/>
      <c r="K73" s="41"/>
      <c r="L73" s="41"/>
      <c r="N73" s="51">
        <v>44</v>
      </c>
      <c r="O73" s="41"/>
      <c r="P73" s="41"/>
      <c r="Q73" s="41"/>
      <c r="R73" s="41"/>
      <c r="S73" s="41"/>
      <c r="T73" s="41"/>
      <c r="U73" s="41"/>
      <c r="V73" s="41"/>
      <c r="W73" s="41"/>
      <c r="X73" s="41"/>
      <c r="Y73" s="41"/>
    </row>
    <row r="74" spans="1:25" ht="20.100000000000001" customHeight="1" x14ac:dyDescent="0.25">
      <c r="A74" s="45">
        <v>35</v>
      </c>
      <c r="B74" s="44"/>
      <c r="C74" s="44"/>
      <c r="D74" s="44"/>
      <c r="E74" s="44"/>
      <c r="F74" s="44"/>
      <c r="G74" s="44"/>
      <c r="H74" s="44"/>
      <c r="I74" s="44"/>
      <c r="J74" s="44"/>
      <c r="K74" s="44"/>
      <c r="L74" s="44"/>
      <c r="N74" s="52">
        <v>45</v>
      </c>
      <c r="O74" s="44"/>
      <c r="P74" s="44"/>
      <c r="Q74" s="44"/>
      <c r="R74" s="44"/>
      <c r="S74" s="44"/>
      <c r="T74" s="44"/>
      <c r="U74" s="44"/>
      <c r="V74" s="44"/>
      <c r="W74" s="44"/>
      <c r="X74" s="44"/>
      <c r="Y74" s="44"/>
    </row>
    <row r="75" spans="1:25" ht="20.100000000000001" customHeight="1" x14ac:dyDescent="0.25">
      <c r="A75" s="21">
        <v>36</v>
      </c>
      <c r="B75" s="41"/>
      <c r="C75" s="41"/>
      <c r="D75" s="41"/>
      <c r="E75" s="41"/>
      <c r="F75" s="41"/>
      <c r="G75" s="41"/>
      <c r="H75" s="41"/>
      <c r="I75" s="41"/>
      <c r="J75" s="41"/>
      <c r="K75" s="41"/>
      <c r="L75" s="41"/>
      <c r="N75" s="51">
        <v>46</v>
      </c>
      <c r="O75" s="41"/>
      <c r="P75" s="41"/>
      <c r="Q75" s="41"/>
      <c r="R75" s="41"/>
      <c r="S75" s="41"/>
      <c r="T75" s="41"/>
      <c r="U75" s="41"/>
      <c r="V75" s="41"/>
      <c r="W75" s="41"/>
      <c r="X75" s="41"/>
      <c r="Y75" s="41"/>
    </row>
    <row r="76" spans="1:25" ht="20.100000000000001" customHeight="1" x14ac:dyDescent="0.25">
      <c r="A76" s="21">
        <v>37</v>
      </c>
      <c r="B76" s="41"/>
      <c r="C76" s="41"/>
      <c r="D76" s="41"/>
      <c r="E76" s="41"/>
      <c r="F76" s="41"/>
      <c r="G76" s="41"/>
      <c r="H76" s="41"/>
      <c r="I76" s="41"/>
      <c r="J76" s="41"/>
      <c r="K76" s="41"/>
      <c r="L76" s="41"/>
      <c r="N76" s="51">
        <v>47</v>
      </c>
      <c r="O76" s="41"/>
      <c r="P76" s="41"/>
      <c r="Q76" s="41"/>
      <c r="R76" s="41"/>
      <c r="S76" s="41"/>
      <c r="T76" s="41"/>
      <c r="U76" s="41"/>
      <c r="V76" s="41"/>
      <c r="W76" s="41"/>
      <c r="X76" s="41"/>
      <c r="Y76" s="41"/>
    </row>
    <row r="77" spans="1:25" ht="20.100000000000001" customHeight="1" x14ac:dyDescent="0.25">
      <c r="A77" s="21">
        <v>38</v>
      </c>
      <c r="B77" s="41"/>
      <c r="C77" s="41"/>
      <c r="D77" s="41"/>
      <c r="E77" s="41"/>
      <c r="F77" s="41"/>
      <c r="G77" s="41"/>
      <c r="H77" s="41"/>
      <c r="I77" s="41"/>
      <c r="J77" s="41"/>
      <c r="K77" s="41"/>
      <c r="L77" s="41"/>
      <c r="N77" s="51">
        <v>48</v>
      </c>
      <c r="O77" s="41"/>
      <c r="P77" s="41"/>
      <c r="Q77" s="41"/>
      <c r="R77" s="41"/>
      <c r="S77" s="41"/>
      <c r="T77" s="41"/>
      <c r="U77" s="41"/>
      <c r="V77" s="41"/>
      <c r="W77" s="41"/>
      <c r="X77" s="41"/>
      <c r="Y77" s="41"/>
    </row>
    <row r="78" spans="1:25" ht="20.100000000000001" customHeight="1" x14ac:dyDescent="0.25">
      <c r="A78" s="21">
        <v>39</v>
      </c>
      <c r="B78" s="41"/>
      <c r="C78" s="41"/>
      <c r="D78" s="41"/>
      <c r="E78" s="41"/>
      <c r="F78" s="41"/>
      <c r="G78" s="41"/>
      <c r="H78" s="41"/>
      <c r="I78" s="41"/>
      <c r="J78" s="41"/>
      <c r="K78" s="41"/>
      <c r="L78" s="41"/>
      <c r="N78" s="51">
        <v>49</v>
      </c>
      <c r="O78" s="41"/>
      <c r="P78" s="41"/>
      <c r="Q78" s="41"/>
      <c r="R78" s="41"/>
      <c r="S78" s="41"/>
      <c r="T78" s="41"/>
      <c r="U78" s="41"/>
      <c r="V78" s="41"/>
      <c r="W78" s="41"/>
      <c r="X78" s="41"/>
      <c r="Y78" s="41"/>
    </row>
    <row r="79" spans="1:25" ht="20.100000000000001" customHeight="1" x14ac:dyDescent="0.25">
      <c r="A79" s="45">
        <v>40</v>
      </c>
      <c r="B79" s="44"/>
      <c r="C79" s="44"/>
      <c r="D79" s="44"/>
      <c r="E79" s="44"/>
      <c r="F79" s="44"/>
      <c r="G79" s="44"/>
      <c r="H79" s="44"/>
      <c r="I79" s="44"/>
      <c r="J79" s="44"/>
      <c r="K79" s="44"/>
      <c r="L79" s="44"/>
      <c r="N79" s="52">
        <v>50</v>
      </c>
      <c r="O79" s="44"/>
      <c r="P79" s="44"/>
      <c r="Q79" s="44"/>
      <c r="R79" s="44"/>
      <c r="S79" s="44"/>
      <c r="T79" s="44"/>
      <c r="U79" s="44"/>
      <c r="V79" s="44"/>
      <c r="W79" s="44"/>
      <c r="X79" s="44"/>
      <c r="Y79" s="44"/>
    </row>
    <row r="80" spans="1:25" ht="20.100000000000001" customHeight="1" x14ac:dyDescent="0.25">
      <c r="A80" s="21">
        <v>41</v>
      </c>
      <c r="B80" s="41"/>
      <c r="C80" s="41"/>
      <c r="D80" s="41"/>
      <c r="E80" s="41"/>
      <c r="F80" s="41"/>
      <c r="G80" s="41"/>
      <c r="H80" s="41"/>
      <c r="I80" s="41"/>
      <c r="J80" s="41"/>
      <c r="K80" s="41"/>
      <c r="L80" s="41"/>
      <c r="N80" s="51">
        <v>51</v>
      </c>
      <c r="O80" s="41"/>
      <c r="P80" s="41"/>
      <c r="Q80" s="41"/>
      <c r="R80" s="41"/>
      <c r="S80" s="41"/>
      <c r="T80" s="41"/>
      <c r="U80" s="41"/>
      <c r="V80" s="41"/>
      <c r="W80" s="41"/>
      <c r="X80" s="41"/>
      <c r="Y80" s="41"/>
    </row>
    <row r="81" spans="1:25" ht="20.100000000000001" customHeight="1" x14ac:dyDescent="0.25">
      <c r="A81" s="21">
        <v>42</v>
      </c>
      <c r="B81" s="41"/>
      <c r="C81" s="41"/>
      <c r="D81" s="41"/>
      <c r="E81" s="41"/>
      <c r="F81" s="41"/>
      <c r="G81" s="41"/>
      <c r="H81" s="41"/>
      <c r="I81" s="41"/>
      <c r="J81" s="41"/>
      <c r="K81" s="41"/>
      <c r="L81" s="41"/>
      <c r="N81" s="51">
        <v>52</v>
      </c>
      <c r="O81" s="41"/>
      <c r="P81" s="41"/>
      <c r="Q81" s="41"/>
      <c r="R81" s="41"/>
      <c r="S81" s="41"/>
      <c r="T81" s="41"/>
      <c r="U81" s="41"/>
      <c r="V81" s="41"/>
      <c r="W81" s="41"/>
      <c r="X81" s="41"/>
      <c r="Y81" s="41"/>
    </row>
    <row r="82" spans="1:25" ht="20.100000000000001" customHeight="1" x14ac:dyDescent="0.25">
      <c r="A82" s="21">
        <v>43</v>
      </c>
      <c r="B82" s="41"/>
      <c r="C82" s="41"/>
      <c r="D82" s="41"/>
      <c r="E82" s="41"/>
      <c r="F82" s="41"/>
      <c r="G82" s="41"/>
      <c r="H82" s="41"/>
      <c r="I82" s="41"/>
      <c r="J82" s="41"/>
      <c r="K82" s="41"/>
      <c r="L82" s="41"/>
      <c r="N82" s="51">
        <v>53</v>
      </c>
      <c r="O82" s="41"/>
      <c r="P82" s="41"/>
      <c r="Q82" s="41"/>
      <c r="R82" s="41"/>
      <c r="S82" s="41"/>
      <c r="T82" s="41"/>
      <c r="U82" s="41"/>
      <c r="V82" s="41"/>
      <c r="W82" s="41"/>
      <c r="X82" s="41"/>
      <c r="Y82" s="41"/>
    </row>
    <row r="83" spans="1:25" ht="20.100000000000001" customHeight="1" x14ac:dyDescent="0.25">
      <c r="A83" s="21">
        <v>44</v>
      </c>
      <c r="B83" s="41"/>
      <c r="C83" s="41"/>
      <c r="D83" s="41"/>
      <c r="E83" s="41"/>
      <c r="F83" s="41"/>
      <c r="G83" s="41"/>
      <c r="H83" s="41"/>
      <c r="I83" s="41"/>
      <c r="J83" s="41"/>
      <c r="K83" s="41"/>
      <c r="L83" s="41"/>
      <c r="N83" s="51">
        <v>54</v>
      </c>
      <c r="O83" s="41"/>
      <c r="P83" s="41"/>
      <c r="Q83" s="41"/>
      <c r="R83" s="41"/>
      <c r="S83" s="41"/>
      <c r="T83" s="41"/>
      <c r="U83" s="41"/>
      <c r="V83" s="41"/>
      <c r="W83" s="41"/>
      <c r="X83" s="41"/>
      <c r="Y83" s="41"/>
    </row>
    <row r="84" spans="1:25" ht="20.100000000000001" customHeight="1" x14ac:dyDescent="0.25">
      <c r="A84" s="45">
        <v>45</v>
      </c>
      <c r="B84" s="44"/>
      <c r="C84" s="44"/>
      <c r="D84" s="44"/>
      <c r="E84" s="44"/>
      <c r="F84" s="44"/>
      <c r="G84" s="44"/>
      <c r="H84" s="44"/>
      <c r="I84" s="44"/>
      <c r="J84" s="44"/>
      <c r="K84" s="44"/>
      <c r="L84" s="44"/>
      <c r="N84" s="52">
        <v>55</v>
      </c>
      <c r="O84" s="44"/>
      <c r="P84" s="44"/>
      <c r="Q84" s="44"/>
      <c r="R84" s="44"/>
      <c r="S84" s="44"/>
      <c r="T84" s="44"/>
      <c r="U84" s="44"/>
      <c r="V84" s="44"/>
      <c r="W84" s="44"/>
      <c r="X84" s="44"/>
      <c r="Y84" s="44"/>
    </row>
    <row r="85" spans="1:25" ht="20.100000000000001" customHeight="1" x14ac:dyDescent="0.25">
      <c r="A85" s="21">
        <v>46</v>
      </c>
      <c r="B85" s="41"/>
      <c r="C85" s="41"/>
      <c r="D85" s="41"/>
      <c r="E85" s="41"/>
      <c r="F85" s="41"/>
      <c r="G85" s="41"/>
      <c r="H85" s="41"/>
      <c r="I85" s="41"/>
      <c r="J85" s="41"/>
      <c r="K85" s="41"/>
      <c r="L85" s="41"/>
      <c r="N85" s="51">
        <v>56</v>
      </c>
      <c r="O85" s="41"/>
      <c r="P85" s="41"/>
      <c r="Q85" s="41"/>
      <c r="R85" s="41"/>
      <c r="S85" s="41"/>
      <c r="T85" s="41"/>
      <c r="U85" s="41"/>
      <c r="V85" s="41"/>
      <c r="W85" s="41"/>
      <c r="X85" s="41"/>
      <c r="Y85" s="41"/>
    </row>
    <row r="86" spans="1:25" ht="20.100000000000001" customHeight="1" x14ac:dyDescent="0.25"/>
    <row r="87" spans="1:25" ht="20.100000000000001" customHeight="1" x14ac:dyDescent="0.25"/>
    <row r="88" spans="1:25" ht="20.100000000000001" customHeight="1" x14ac:dyDescent="0.25"/>
    <row r="89" spans="1:25" ht="20.100000000000001" customHeight="1" x14ac:dyDescent="0.25"/>
    <row r="90" spans="1:25" ht="20.100000000000001" customHeight="1" x14ac:dyDescent="0.25"/>
    <row r="91" spans="1:25" ht="20.100000000000001" customHeight="1" x14ac:dyDescent="0.25"/>
    <row r="92" spans="1:25" ht="20.100000000000001" customHeight="1" x14ac:dyDescent="0.25"/>
    <row r="93" spans="1:25" ht="20.100000000000001" customHeight="1" x14ac:dyDescent="0.25"/>
    <row r="94" spans="1:25" ht="20.100000000000001" customHeight="1" x14ac:dyDescent="0.25"/>
    <row r="95" spans="1:25" ht="20.100000000000001" customHeight="1" x14ac:dyDescent="0.25"/>
    <row r="96" spans="1:25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  <row r="116" ht="20.100000000000001" customHeight="1" x14ac:dyDescent="0.25"/>
    <row r="117" ht="20.100000000000001" customHeight="1" x14ac:dyDescent="0.25"/>
    <row r="118" ht="20.100000000000001" customHeight="1" x14ac:dyDescent="0.25"/>
    <row r="119" ht="20.100000000000001" customHeight="1" x14ac:dyDescent="0.25"/>
    <row r="120" ht="20.100000000000001" customHeight="1" x14ac:dyDescent="0.25"/>
    <row r="121" ht="20.100000000000001" customHeight="1" x14ac:dyDescent="0.25"/>
    <row r="122" ht="20.100000000000001" customHeight="1" x14ac:dyDescent="0.25"/>
    <row r="123" ht="20.100000000000001" customHeight="1" x14ac:dyDescent="0.25"/>
    <row r="124" ht="20.100000000000001" customHeight="1" x14ac:dyDescent="0.25"/>
    <row r="125" ht="20.100000000000001" customHeight="1" x14ac:dyDescent="0.25"/>
    <row r="126" ht="20.100000000000001" customHeight="1" x14ac:dyDescent="0.25"/>
    <row r="127" ht="20.100000000000001" customHeight="1" x14ac:dyDescent="0.25"/>
    <row r="128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  <row r="166" ht="20.100000000000001" customHeight="1" x14ac:dyDescent="0.25"/>
    <row r="167" ht="20.100000000000001" customHeight="1" x14ac:dyDescent="0.25"/>
    <row r="168" ht="20.100000000000001" customHeight="1" x14ac:dyDescent="0.25"/>
    <row r="169" ht="20.100000000000001" customHeight="1" x14ac:dyDescent="0.25"/>
    <row r="170" ht="20.100000000000001" customHeight="1" x14ac:dyDescent="0.25"/>
    <row r="171" ht="20.100000000000001" customHeight="1" x14ac:dyDescent="0.25"/>
    <row r="172" ht="20.100000000000001" customHeight="1" x14ac:dyDescent="0.25"/>
    <row r="173" ht="20.100000000000001" customHeight="1" x14ac:dyDescent="0.25"/>
    <row r="174" ht="20.100000000000001" customHeight="1" x14ac:dyDescent="0.25"/>
    <row r="175" ht="20.100000000000001" customHeight="1" x14ac:dyDescent="0.25"/>
    <row r="176" ht="20.100000000000001" customHeight="1" x14ac:dyDescent="0.25"/>
    <row r="177" ht="20.100000000000001" customHeight="1" x14ac:dyDescent="0.25"/>
    <row r="178" ht="20.100000000000001" customHeight="1" x14ac:dyDescent="0.25"/>
    <row r="179" ht="20.100000000000001" customHeight="1" x14ac:dyDescent="0.25"/>
    <row r="180" ht="20.100000000000001" customHeight="1" x14ac:dyDescent="0.25"/>
    <row r="181" ht="20.100000000000001" customHeight="1" x14ac:dyDescent="0.25"/>
    <row r="182" ht="20.100000000000001" customHeight="1" x14ac:dyDescent="0.25"/>
    <row r="183" ht="20.100000000000001" customHeight="1" x14ac:dyDescent="0.25"/>
    <row r="184" ht="20.100000000000001" customHeight="1" x14ac:dyDescent="0.25"/>
    <row r="185" ht="20.100000000000001" customHeight="1" x14ac:dyDescent="0.25"/>
    <row r="186" ht="20.100000000000001" customHeight="1" x14ac:dyDescent="0.25"/>
    <row r="187" ht="20.100000000000001" customHeight="1" x14ac:dyDescent="0.25"/>
    <row r="188" ht="20.100000000000001" customHeight="1" x14ac:dyDescent="0.25"/>
    <row r="189" ht="20.100000000000001" customHeight="1" x14ac:dyDescent="0.25"/>
    <row r="190" ht="20.100000000000001" customHeight="1" x14ac:dyDescent="0.25"/>
    <row r="191" ht="20.100000000000001" customHeight="1" x14ac:dyDescent="0.25"/>
    <row r="192" ht="20.100000000000001" customHeight="1" x14ac:dyDescent="0.25"/>
    <row r="193" ht="20.100000000000001" customHeight="1" x14ac:dyDescent="0.25"/>
    <row r="194" ht="20.100000000000001" customHeight="1" x14ac:dyDescent="0.25"/>
    <row r="195" ht="20.100000000000001" customHeight="1" x14ac:dyDescent="0.25"/>
    <row r="196" ht="20.100000000000001" customHeight="1" x14ac:dyDescent="0.25"/>
    <row r="197" ht="20.100000000000001" customHeight="1" x14ac:dyDescent="0.25"/>
    <row r="198" ht="20.100000000000001" customHeight="1" x14ac:dyDescent="0.25"/>
    <row r="199" ht="20.100000000000001" customHeight="1" x14ac:dyDescent="0.25"/>
    <row r="200" ht="20.100000000000001" customHeight="1" x14ac:dyDescent="0.25"/>
    <row r="201" ht="20.100000000000001" customHeight="1" x14ac:dyDescent="0.25"/>
    <row r="202" ht="20.100000000000001" customHeight="1" x14ac:dyDescent="0.25"/>
    <row r="203" ht="20.100000000000001" customHeight="1" x14ac:dyDescent="0.25"/>
    <row r="204" ht="20.100000000000001" customHeight="1" x14ac:dyDescent="0.25"/>
    <row r="205" ht="20.100000000000001" customHeight="1" x14ac:dyDescent="0.25"/>
    <row r="206" ht="20.100000000000001" customHeight="1" x14ac:dyDescent="0.25"/>
    <row r="207" ht="20.100000000000001" customHeight="1" x14ac:dyDescent="0.25"/>
    <row r="208" ht="20.100000000000001" customHeight="1" x14ac:dyDescent="0.25"/>
    <row r="209" ht="20.100000000000001" customHeight="1" x14ac:dyDescent="0.25"/>
    <row r="210" ht="20.100000000000001" customHeight="1" x14ac:dyDescent="0.25"/>
    <row r="211" ht="20.100000000000001" customHeight="1" x14ac:dyDescent="0.25"/>
    <row r="212" ht="20.100000000000001" customHeight="1" x14ac:dyDescent="0.25"/>
    <row r="213" ht="20.100000000000001" customHeight="1" x14ac:dyDescent="0.25"/>
    <row r="214" ht="20.100000000000001" customHeight="1" x14ac:dyDescent="0.25"/>
    <row r="215" ht="20.100000000000001" customHeight="1" x14ac:dyDescent="0.25"/>
    <row r="216" ht="20.100000000000001" customHeight="1" x14ac:dyDescent="0.25"/>
    <row r="217" ht="20.100000000000001" customHeight="1" x14ac:dyDescent="0.25"/>
    <row r="218" ht="20.100000000000001" customHeight="1" x14ac:dyDescent="0.25"/>
  </sheetData>
  <sheetProtection sheet="1" objects="1" scenarios="1" formatCells="0" insertHyperlinks="0" selectLockedCells="1" autoFilter="0"/>
  <dataConsolidate/>
  <mergeCells count="130"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</mergeCells>
  <conditionalFormatting sqref="B7 J13">
    <cfRule type="containsText" dxfId="12" priority="6" operator="containsText" text="MAROON">
      <formula>NOT(ISERROR(SEARCH("MAROON",B7)))</formula>
    </cfRule>
    <cfRule type="containsText" dxfId="11" priority="7" operator="containsText" text="ORANGE">
      <formula>NOT(ISERROR(SEARCH("ORANGE",B7)))</formula>
    </cfRule>
    <cfRule type="containsText" dxfId="10" priority="8" operator="containsText" text="GREEN">
      <formula>NOT(ISERROR(SEARCH("GREEN",B7)))</formula>
    </cfRule>
    <cfRule type="containsText" dxfId="9" priority="9" operator="containsText" text="RED">
      <formula>NOT(ISERROR(SEARCH("RED",B7)))</formula>
    </cfRule>
    <cfRule type="containsText" dxfId="8" priority="10" operator="containsText" text="WHITE">
      <formula>NOT(ISERROR(SEARCH("WHITE",B7)))</formula>
    </cfRule>
    <cfRule type="containsText" dxfId="7" priority="11" operator="containsText" text="PURPLE">
      <formula>NOT(ISERROR(SEARCH("PURPLE",B7)))</formula>
    </cfRule>
    <cfRule type="containsText" dxfId="6" priority="12" operator="containsText" text="BLUE">
      <formula>NOT(ISERROR(SEARCH("BLUE",B7)))</formula>
    </cfRule>
    <cfRule type="containsText" dxfId="5" priority="13" operator="containsText" text="YELLOW">
      <formula>NOT(ISERROR(SEARCH("YELLOW",B7)))</formula>
    </cfRule>
  </conditionalFormatting>
  <conditionalFormatting sqref="B7:I7">
    <cfRule type="containsText" dxfId="4" priority="3" operator="containsText" text="BLACK">
      <formula>NOT(ISERROR(SEARCH("BLACK",B7)))</formula>
    </cfRule>
  </conditionalFormatting>
  <conditionalFormatting sqref="J2">
    <cfRule type="containsText" dxfId="3" priority="2" operator="containsText" text="ASAP">
      <formula>NOT(ISERROR(SEARCH("ASAP",J2)))</formula>
    </cfRule>
  </conditionalFormatting>
  <conditionalFormatting sqref="J13 B7">
    <cfRule type="containsText" dxfId="2" priority="5" operator="containsText" text="LILAC">
      <formula>NOT(ISERROR(SEARCH("LILAC",B7)))</formula>
    </cfRule>
  </conditionalFormatting>
  <conditionalFormatting sqref="J13">
    <cfRule type="containsText" dxfId="1" priority="4" operator="containsText" text="BLACK">
      <formula>NOT(ISERROR(SEARCH("BLACK",J13)))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2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C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D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E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F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0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N19" sqref="N19"/>
    </sheetView>
  </sheetViews>
  <sheetFormatPr defaultRowHeight="15" x14ac:dyDescent="0.25"/>
  <cols>
    <col min="1" max="1" width="9.28515625" bestFit="1" customWidth="1"/>
  </cols>
  <sheetData>
    <row r="1" spans="1:22" x14ac:dyDescent="0.25">
      <c r="A1" s="20" t="s">
        <v>39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1"/>
      <c r="P2" s="1"/>
      <c r="Q2" s="1"/>
      <c r="R2" s="1"/>
      <c r="S2" s="1"/>
      <c r="T2" s="1"/>
      <c r="U2" s="1"/>
      <c r="V2" s="1"/>
    </row>
    <row r="3" spans="1:22" x14ac:dyDescent="0.25">
      <c r="A3" s="56" t="s">
        <v>59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56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57">
        <f ca="1">DATE(YEAR(Sheet1!J1),MONTH(Sheet1!J1)+1,DAY(Sheet1!J1))</f>
        <v>45331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57">
        <f ca="1">DATE(YEAR(Sheet1!J1),MONTH(Sheet1!J1),DAY(Sheet1!J1)+21)</f>
        <v>45321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192</v>
      </c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1"/>
      <c r="P7" s="1"/>
      <c r="Q7" s="1"/>
      <c r="R7" s="1"/>
      <c r="S7" s="1"/>
      <c r="T7" s="1"/>
      <c r="U7" s="1"/>
      <c r="V7" s="1"/>
    </row>
    <row r="8" spans="1:22" x14ac:dyDescent="0.25">
      <c r="A8" s="55" t="s">
        <v>49</v>
      </c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56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53" t="s">
        <v>163</v>
      </c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53" t="s">
        <v>177</v>
      </c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54" t="s">
        <v>155</v>
      </c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54" t="s">
        <v>148</v>
      </c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55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54" t="s">
        <v>149</v>
      </c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54" t="s">
        <v>150</v>
      </c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54" t="s">
        <v>151</v>
      </c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54" t="s">
        <v>152</v>
      </c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55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54" t="s">
        <v>153</v>
      </c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54" t="s">
        <v>174</v>
      </c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54" t="s">
        <v>154</v>
      </c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53"/>
      <c r="N19" s="20" t="s">
        <v>193</v>
      </c>
      <c r="T19" s="1"/>
      <c r="V19" s="1"/>
    </row>
    <row r="20" spans="1:23" x14ac:dyDescent="0.25">
      <c r="A20" s="54" t="s">
        <v>156</v>
      </c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53"/>
      <c r="N20" s="20" t="s">
        <v>166</v>
      </c>
      <c r="T20" s="1"/>
      <c r="V20" s="1"/>
    </row>
    <row r="21" spans="1:23" x14ac:dyDescent="0.25">
      <c r="A21" s="54" t="s">
        <v>157</v>
      </c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53"/>
      <c r="N21" s="20" t="s">
        <v>167</v>
      </c>
      <c r="T21" s="1"/>
      <c r="V21" s="1"/>
      <c r="W21" s="2"/>
    </row>
    <row r="22" spans="1:23" x14ac:dyDescent="0.25">
      <c r="A22" s="54" t="s">
        <v>158</v>
      </c>
      <c r="B22" s="20"/>
      <c r="C22" s="20"/>
      <c r="D22" s="20"/>
      <c r="E22" s="5"/>
      <c r="F22" s="20"/>
      <c r="G22" s="5"/>
      <c r="H22" s="20"/>
      <c r="I22" s="5"/>
      <c r="J22" s="20"/>
      <c r="K22" s="20"/>
      <c r="L22" s="20"/>
      <c r="M22" s="53"/>
      <c r="N22" s="53"/>
      <c r="T22" s="1"/>
      <c r="V22" s="1"/>
      <c r="W22" s="2"/>
    </row>
    <row r="23" spans="1:23" x14ac:dyDescent="0.25">
      <c r="A23" s="54" t="s">
        <v>159</v>
      </c>
      <c r="B23" s="20"/>
      <c r="C23" s="20"/>
      <c r="D23" s="20"/>
      <c r="E23" s="5"/>
      <c r="F23" s="20"/>
      <c r="G23" s="5"/>
      <c r="H23" s="20"/>
      <c r="I23" s="20"/>
      <c r="J23" s="20"/>
      <c r="K23" s="20"/>
      <c r="L23" s="20"/>
      <c r="M23" s="53"/>
      <c r="N23" s="55" t="s">
        <v>141</v>
      </c>
      <c r="T23" s="1"/>
      <c r="V23" s="1"/>
      <c r="W23" s="2"/>
    </row>
    <row r="24" spans="1:23" x14ac:dyDescent="0.25">
      <c r="A24" s="54" t="s">
        <v>160</v>
      </c>
      <c r="B24" s="20"/>
      <c r="C24" s="20"/>
      <c r="D24" s="20"/>
      <c r="E24" s="5"/>
      <c r="F24" s="20"/>
      <c r="G24" s="20"/>
      <c r="H24" s="20"/>
      <c r="I24" s="20"/>
      <c r="J24" s="20"/>
      <c r="K24" s="20"/>
      <c r="L24" s="20"/>
      <c r="M24" s="20"/>
      <c r="N24" s="20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54" t="s">
        <v>161</v>
      </c>
      <c r="B25" s="20"/>
      <c r="C25" s="20"/>
      <c r="D25" s="20"/>
      <c r="E25" s="5"/>
      <c r="F25" s="20"/>
      <c r="G25" s="20"/>
      <c r="H25" s="20"/>
      <c r="I25" s="20"/>
      <c r="J25" s="20"/>
      <c r="K25" s="20"/>
      <c r="L25" s="20"/>
      <c r="M25" s="20"/>
      <c r="N25" s="20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54" t="s">
        <v>162</v>
      </c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54" t="s">
        <v>175</v>
      </c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54" t="s">
        <v>184</v>
      </c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 t="s">
        <v>140</v>
      </c>
      <c r="U28" s="1"/>
      <c r="V28" s="1"/>
    </row>
    <row r="29" spans="1:23" x14ac:dyDescent="0.25">
      <c r="A29" s="5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53"/>
      <c r="U29" s="1"/>
      <c r="V29" s="1"/>
    </row>
    <row r="30" spans="1:23" x14ac:dyDescent="0.25">
      <c r="A30" s="56" t="s">
        <v>46</v>
      </c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56" t="s">
        <v>28</v>
      </c>
      <c r="U30" s="1"/>
      <c r="V30" s="1"/>
    </row>
    <row r="31" spans="1:23" x14ac:dyDescent="0.25">
      <c r="A31" s="5" t="s">
        <v>30</v>
      </c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5" t="s">
        <v>168</v>
      </c>
      <c r="U31" s="1"/>
      <c r="V31" s="1"/>
    </row>
    <row r="32" spans="1:23" x14ac:dyDescent="0.25">
      <c r="A32" s="5" t="s">
        <v>34</v>
      </c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5">
        <v>110</v>
      </c>
      <c r="U32" s="1"/>
      <c r="V32" s="1"/>
    </row>
    <row r="33" spans="1:22" x14ac:dyDescent="0.25">
      <c r="A33" s="5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5">
        <v>130</v>
      </c>
      <c r="U33" s="1"/>
      <c r="V33" s="1"/>
    </row>
    <row r="34" spans="1:22" x14ac:dyDescent="0.25">
      <c r="A34" s="56" t="s">
        <v>47</v>
      </c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5">
        <v>150</v>
      </c>
      <c r="U34" s="1"/>
      <c r="V34" s="1"/>
    </row>
    <row r="35" spans="1:22" x14ac:dyDescent="0.25">
      <c r="A35" s="5" t="s">
        <v>44</v>
      </c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5">
        <v>180</v>
      </c>
      <c r="U35" s="1"/>
      <c r="V35" s="1"/>
    </row>
    <row r="36" spans="1:22" x14ac:dyDescent="0.25">
      <c r="A36" s="5" t="s">
        <v>42</v>
      </c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5" t="s">
        <v>169</v>
      </c>
      <c r="U36" s="1"/>
      <c r="V36" s="1"/>
    </row>
    <row r="37" spans="1:22" x14ac:dyDescent="0.25">
      <c r="A37" s="5" t="s">
        <v>43</v>
      </c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5" t="s">
        <v>170</v>
      </c>
      <c r="U37" s="1"/>
      <c r="V37" s="1"/>
    </row>
    <row r="38" spans="1:22" x14ac:dyDescent="0.25">
      <c r="A38" s="5" t="s">
        <v>45</v>
      </c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5" t="s">
        <v>38</v>
      </c>
      <c r="U38" s="1"/>
      <c r="V38" s="1"/>
    </row>
    <row r="39" spans="1:22" x14ac:dyDescent="0.25">
      <c r="A39" s="20"/>
      <c r="B39" s="53"/>
      <c r="C39" s="53"/>
      <c r="D39" s="53"/>
      <c r="E39" s="53"/>
      <c r="F39" s="53"/>
      <c r="G39" s="53"/>
      <c r="H39" s="53"/>
      <c r="I39" s="53"/>
      <c r="J39" s="53"/>
      <c r="K39" s="53"/>
      <c r="L39" s="53"/>
      <c r="M39" s="53"/>
      <c r="N39" s="53"/>
    </row>
    <row r="40" spans="1:22" x14ac:dyDescent="0.25">
      <c r="A40" s="56" t="s">
        <v>63</v>
      </c>
      <c r="B40" s="53"/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  <c r="N40" s="56" t="s">
        <v>26</v>
      </c>
    </row>
    <row r="41" spans="1:22" x14ac:dyDescent="0.25">
      <c r="A41" s="5" t="s">
        <v>44</v>
      </c>
      <c r="B41" s="53"/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" t="s">
        <v>35</v>
      </c>
    </row>
    <row r="42" spans="1:22" x14ac:dyDescent="0.25">
      <c r="A42" s="5" t="s">
        <v>65</v>
      </c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" t="s">
        <v>37</v>
      </c>
    </row>
    <row r="43" spans="1:22" x14ac:dyDescent="0.25">
      <c r="A43" s="5" t="s">
        <v>64</v>
      </c>
      <c r="B43" s="53"/>
      <c r="C43" s="53"/>
      <c r="D43" s="53"/>
      <c r="E43" s="53"/>
      <c r="F43" s="53"/>
      <c r="G43" s="53"/>
      <c r="H43" s="53"/>
      <c r="I43" s="53"/>
      <c r="J43" s="53"/>
      <c r="K43" s="53"/>
      <c r="L43" s="53"/>
      <c r="M43" s="53"/>
      <c r="N43" s="5" t="s">
        <v>171</v>
      </c>
    </row>
    <row r="44" spans="1:22" x14ac:dyDescent="0.25">
      <c r="A44" s="53"/>
      <c r="B44" s="53"/>
      <c r="C44" s="53"/>
      <c r="D44" s="53"/>
      <c r="E44" s="53"/>
      <c r="F44" s="53"/>
      <c r="G44" s="53"/>
      <c r="H44" s="53"/>
      <c r="I44" s="53"/>
      <c r="J44" s="53"/>
      <c r="K44" s="53"/>
      <c r="L44" s="53"/>
      <c r="M44" s="53"/>
      <c r="N44" s="5"/>
    </row>
    <row r="45" spans="1:22" x14ac:dyDescent="0.25">
      <c r="A45" s="56" t="s">
        <v>68</v>
      </c>
      <c r="B45" s="53"/>
      <c r="C45" s="53"/>
      <c r="D45" s="53"/>
      <c r="E45" s="53"/>
      <c r="F45" s="53"/>
      <c r="G45" s="53"/>
      <c r="H45" s="53"/>
      <c r="I45" s="53"/>
      <c r="J45" s="53"/>
      <c r="K45" s="53"/>
      <c r="L45" s="53"/>
      <c r="M45" s="53"/>
      <c r="N45" s="56" t="s">
        <v>101</v>
      </c>
    </row>
    <row r="46" spans="1:22" x14ac:dyDescent="0.25">
      <c r="A46" s="5" t="s">
        <v>44</v>
      </c>
      <c r="B46" s="53"/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  <c r="N46" s="5" t="s">
        <v>38</v>
      </c>
    </row>
    <row r="47" spans="1:22" x14ac:dyDescent="0.25">
      <c r="A47" s="5" t="s">
        <v>70</v>
      </c>
      <c r="B47" s="53"/>
      <c r="C47" s="53"/>
      <c r="D47" s="53"/>
      <c r="E47" s="53"/>
      <c r="F47" s="53"/>
      <c r="G47" s="53"/>
      <c r="H47" s="53"/>
      <c r="I47" s="53"/>
      <c r="J47" s="53"/>
      <c r="K47" s="53"/>
      <c r="L47" s="53"/>
      <c r="M47" s="53"/>
      <c r="N47" s="5" t="s">
        <v>32</v>
      </c>
    </row>
    <row r="48" spans="1:22" x14ac:dyDescent="0.25">
      <c r="A48" s="5" t="s">
        <v>69</v>
      </c>
      <c r="B48" s="53"/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  <c r="N48" s="5" t="s">
        <v>172</v>
      </c>
    </row>
    <row r="49" spans="1:20" x14ac:dyDescent="0.25">
      <c r="A49" s="20"/>
      <c r="B49" s="53"/>
      <c r="C49" s="53"/>
      <c r="D49" s="53"/>
      <c r="E49" s="53"/>
      <c r="F49" s="53"/>
      <c r="G49" s="53"/>
      <c r="H49" s="53"/>
      <c r="I49" s="53"/>
      <c r="J49" s="53"/>
      <c r="K49" s="53"/>
      <c r="L49" s="53"/>
      <c r="M49" s="53"/>
      <c r="N49" s="5" t="s">
        <v>183</v>
      </c>
    </row>
    <row r="50" spans="1:20" x14ac:dyDescent="0.25">
      <c r="A50" s="56" t="s">
        <v>61</v>
      </c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  <c r="N50" s="5" t="s">
        <v>185</v>
      </c>
    </row>
    <row r="51" spans="1:20" x14ac:dyDescent="0.25">
      <c r="A51" s="5" t="s">
        <v>44</v>
      </c>
      <c r="B51" s="53"/>
      <c r="C51" s="53"/>
      <c r="D51" s="53"/>
      <c r="E51" s="53"/>
      <c r="F51" s="53"/>
      <c r="G51" s="53"/>
      <c r="H51" s="53"/>
      <c r="I51" s="53"/>
      <c r="J51" s="53"/>
      <c r="K51" s="53"/>
      <c r="L51" s="53"/>
      <c r="M51" s="53"/>
      <c r="N51" s="53"/>
    </row>
    <row r="52" spans="1:20" x14ac:dyDescent="0.25">
      <c r="A52" s="5" t="s">
        <v>66</v>
      </c>
      <c r="B52" s="53"/>
      <c r="C52" s="53"/>
      <c r="D52" s="53"/>
      <c r="E52" s="53"/>
      <c r="F52" s="53"/>
      <c r="G52" s="53"/>
      <c r="H52" s="53"/>
      <c r="I52" s="53"/>
      <c r="J52" s="53"/>
      <c r="K52" s="53"/>
      <c r="L52" s="53"/>
      <c r="M52" s="53"/>
      <c r="N52" s="55" t="s">
        <v>173</v>
      </c>
    </row>
    <row r="53" spans="1:20" x14ac:dyDescent="0.25">
      <c r="A53" s="5" t="s">
        <v>67</v>
      </c>
      <c r="B53" s="53"/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  <c r="N53" s="20" t="s">
        <v>31</v>
      </c>
    </row>
    <row r="54" spans="1:20" x14ac:dyDescent="0.25">
      <c r="A54" s="20"/>
      <c r="B54" s="53"/>
      <c r="C54" s="53"/>
      <c r="D54" s="53"/>
      <c r="E54" s="53"/>
      <c r="F54" s="53"/>
      <c r="G54" s="53"/>
      <c r="H54" s="53"/>
      <c r="I54" s="53"/>
      <c r="J54" s="53"/>
      <c r="K54" s="53"/>
      <c r="L54" s="53"/>
      <c r="M54" s="53"/>
      <c r="N54" s="20" t="s">
        <v>23</v>
      </c>
    </row>
    <row r="55" spans="1:20" x14ac:dyDescent="0.25">
      <c r="A55" s="55" t="s">
        <v>62</v>
      </c>
      <c r="B55" s="53"/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  <c r="N55" s="53"/>
    </row>
    <row r="56" spans="1:20" x14ac:dyDescent="0.25">
      <c r="A56" s="20" t="s">
        <v>44</v>
      </c>
      <c r="B56" s="53"/>
      <c r="C56" s="53"/>
      <c r="D56" s="53"/>
      <c r="E56" s="53"/>
      <c r="F56" s="53"/>
      <c r="G56" s="53"/>
      <c r="H56" s="53"/>
      <c r="I56" s="53"/>
      <c r="J56" s="53"/>
      <c r="K56" s="53"/>
      <c r="L56" s="53"/>
      <c r="M56" s="53"/>
      <c r="N56" s="56" t="s">
        <v>27</v>
      </c>
    </row>
    <row r="57" spans="1:20" x14ac:dyDescent="0.25">
      <c r="A57" s="53" t="s">
        <v>177</v>
      </c>
      <c r="B57" s="53"/>
      <c r="C57" s="53"/>
      <c r="D57" s="53"/>
      <c r="E57" s="53"/>
      <c r="F57" s="53"/>
      <c r="G57" s="53"/>
      <c r="H57" s="53"/>
      <c r="I57" s="53"/>
      <c r="J57" s="53"/>
      <c r="K57" s="53"/>
      <c r="L57" s="53"/>
      <c r="M57" s="53"/>
      <c r="N57" s="20" t="s">
        <v>36</v>
      </c>
      <c r="O57" s="1"/>
      <c r="P57" s="1"/>
      <c r="Q57" s="1"/>
      <c r="R57" s="1"/>
      <c r="S57" s="1"/>
      <c r="T57" s="1"/>
    </row>
    <row r="58" spans="1:20" x14ac:dyDescent="0.25">
      <c r="A58" s="54" t="s">
        <v>155</v>
      </c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  <c r="N58" s="20" t="s">
        <v>33</v>
      </c>
    </row>
    <row r="59" spans="1:20" x14ac:dyDescent="0.25">
      <c r="A59" s="54" t="s">
        <v>148</v>
      </c>
    </row>
    <row r="60" spans="1:20" x14ac:dyDescent="0.25">
      <c r="A60" s="54" t="s">
        <v>149</v>
      </c>
      <c r="O60" s="1"/>
      <c r="Q60" s="1"/>
      <c r="R60" s="3"/>
      <c r="S60" s="1"/>
    </row>
    <row r="61" spans="1:20" x14ac:dyDescent="0.25">
      <c r="A61" s="54" t="s">
        <v>150</v>
      </c>
      <c r="O61" s="1"/>
      <c r="Q61" s="1"/>
      <c r="R61" s="1"/>
      <c r="S61" s="1"/>
    </row>
    <row r="62" spans="1:20" x14ac:dyDescent="0.25">
      <c r="A62" s="54" t="s">
        <v>151</v>
      </c>
      <c r="O62" s="1"/>
      <c r="Q62" s="1"/>
      <c r="R62" s="1"/>
      <c r="S62" s="1"/>
    </row>
    <row r="63" spans="1:20" x14ac:dyDescent="0.25">
      <c r="A63" s="54" t="s">
        <v>152</v>
      </c>
      <c r="O63" s="1"/>
      <c r="Q63" s="1"/>
      <c r="R63" s="1"/>
      <c r="S63" s="1"/>
      <c r="T63" s="1"/>
    </row>
    <row r="64" spans="1:20" x14ac:dyDescent="0.25">
      <c r="A64" s="54" t="s">
        <v>153</v>
      </c>
      <c r="O64" s="1"/>
      <c r="Q64" s="1"/>
      <c r="R64" s="1"/>
      <c r="S64" s="1"/>
      <c r="T64" s="1"/>
    </row>
    <row r="65" spans="1:20" x14ac:dyDescent="0.25">
      <c r="A65" s="54" t="s">
        <v>174</v>
      </c>
      <c r="N65" s="3"/>
      <c r="O65" s="1"/>
      <c r="P65" s="1"/>
      <c r="Q65" s="1"/>
      <c r="R65" s="1"/>
      <c r="S65" s="1"/>
      <c r="T65" s="1"/>
    </row>
    <row r="66" spans="1:20" x14ac:dyDescent="0.25">
      <c r="A66" s="54" t="s">
        <v>154</v>
      </c>
      <c r="N66" s="4"/>
      <c r="O66" s="1"/>
      <c r="P66" s="1"/>
      <c r="Q66" s="1"/>
      <c r="R66" s="1"/>
      <c r="S66" s="1"/>
      <c r="T66" s="1"/>
    </row>
    <row r="67" spans="1:20" x14ac:dyDescent="0.25">
      <c r="N67" s="4"/>
      <c r="O67" s="1"/>
      <c r="P67" s="1"/>
      <c r="Q67" s="1"/>
      <c r="R67" s="1"/>
      <c r="S67" s="1"/>
      <c r="T67" s="1"/>
    </row>
    <row r="68" spans="1:20" x14ac:dyDescent="0.25">
      <c r="N68" s="4"/>
      <c r="O68" s="1"/>
      <c r="P68" s="1"/>
      <c r="Q68" s="1"/>
      <c r="R68" s="1"/>
      <c r="S68" s="1"/>
      <c r="T68" s="1"/>
    </row>
    <row r="69" spans="1:20" x14ac:dyDescent="0.2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F32AD271-821A-442E-B25C-73DBDCBA7617}"/>
</file>

<file path=customXml/itemProps2.xml><?xml version="1.0" encoding="utf-8"?>
<ds:datastoreItem xmlns:ds="http://schemas.openxmlformats.org/officeDocument/2006/customXml" ds:itemID="{8810EC05-2E8C-4399-B1FD-1F0F83A551F5}"/>
</file>

<file path=customXml/itemProps3.xml><?xml version="1.0" encoding="utf-8"?>
<ds:datastoreItem xmlns:ds="http://schemas.openxmlformats.org/officeDocument/2006/customXml" ds:itemID="{C13EBFCC-9A43-4D6A-9D37-C794D2A9BF3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Info - Dolphin Plastics</cp:lastModifiedBy>
  <cp:lastPrinted>2023-11-10T00:16:24Z</cp:lastPrinted>
  <dcterms:created xsi:type="dcterms:W3CDTF">2019-11-27T23:28:06Z</dcterms:created>
  <dcterms:modified xsi:type="dcterms:W3CDTF">2024-01-08T23:53:13Z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