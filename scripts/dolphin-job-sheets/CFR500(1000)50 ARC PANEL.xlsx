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0313C76-AA34-460B-9C08-1B4D10B010B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9" i="1"/>
  <c r="E11" i="1" s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<sst xmlns="http://schemas.openxmlformats.org/spreadsheetml/2006/main" count="225" uniqueCount="166">
  <si>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</si>
  <si>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</si>
  <si>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</si>
  <si>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</si>
  <si>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</si>
  <si>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</si>
  <si>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</si>
  <si>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</si>
  <si>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</si>
  <si>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</si>
  <si>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</si>
  <si>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</si>
  <si>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</si>
  <si>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</si>
  <si>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</si>
  <si>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</si>
  <si>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</si>
  <si>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</si>
  <si>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</si>
  <si>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</si>
  <si>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</si>
  <si>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</si>
  <si>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</si>
  <si>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</si>
  <si>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</si>
  <si>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</si>
  <si>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</si>
  <si>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</si>
  <si>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</si>
  <si>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</si>
  <si>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</si>
  <si>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</si>
  <si>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</si>
  <si>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</si>
  <si>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</si>
  <si>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</si>
  <si>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</si>
  <si>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</si>
  <si>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</si>
  <si>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</si>
  <si>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</si>
  <si>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</si>
  <si>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</si>
  <si>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</si>
  <si>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</si>
  <si>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</si>
  <si>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</si>
  <si>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</si>
  <si>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</si>
  <si>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</si>
  <si>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</si>
  <si>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</si>
  <si>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</si>
  <si>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</si>
  <si>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</si>
  <si>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</si>
  <si>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</si>
  <si>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</si>
  <si>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</si>
  <si>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</si>
  <si>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</si>
  <si>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</si>
  <si>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</si>
  <si>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</si>
  <si>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</si>
  <si>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</si>
  <si>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</si>
  <si>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</si>
  <si>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</si>
  <si>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</si>
  <si>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</si>
  <si>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</si>
  <si>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</si>
  <si>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</si>
  <si>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</si>
  <si>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</si>
  <si>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</si>
  <si>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</si>
  <si>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</si>
  <si>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</si>
  <si>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</si>
  <si>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</si>
  <si>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</si>
  <si>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</si>
  <si>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</si>
  <si>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</si>
  <si>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</si>
  <si>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</si>
  <si>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</si>
  <si>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</si>
  <si>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</si>
  <si>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</si>
  <si>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</si>
  <si>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</si>
  <si>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</si>
  <si>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</si>
  <si>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</si>
  <si>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</si>
  <si>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</si>
  <si>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</si>
  <si>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</si>
  <si>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</si>
  <si>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</si>
  <si>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</si>
  <si>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</si>
  <si>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</si>
  <si>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</si>
  <si>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</si>
  <si>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</si>
  <si>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</si>
  <si>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</si>
  <si>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</si>
  <si>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</si>
  <si>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</si>
  <si>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</si>
  <si>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</si>
  <si>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</si>
  <si>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</si>
  <si>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</si>
  <si>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</si>
  <si>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</si>
  <si>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</si>
  <si>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</si>
  <si>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</si>
  <si>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</si>
  <si>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</si>
  <si>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</si>
  <si>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</si>
  <si>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</si>
  <si>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</si>
  <si>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</si>
  <si>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</si>
  <si>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</si>
  <si>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</si>
  <si>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</si>
  <si>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</si>
  <si>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</si>
  <si>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</si>
  <si>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</si>
  <si>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</si>
  <si>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</si>
  <si>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</si>
  <si>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</si>
  <si>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</si>
  <si>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</si>
  <si>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</si>
  <si>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</si>
  <si>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</si>
  <si>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</si>
  <si>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</si>
  <si>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</si>
  <si>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</si>
  <si>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</si>
  <si>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</si>
  <si>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</si>
  <si>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</si>
  <si>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</si>
  <si>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</si>
  <si>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</si>
  <si>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</si>
  <si>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</si>
  <si>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</si>
  <si>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</si>
  <si>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+/- 10mm</t>
  </si>
  <si>
    <t>ARC PANEL COOLUM</t>
  </si>
  <si>
    <t>RUN 20-25UM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</si>
</sst>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N4" sqref="N4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99" t="str">
        <f>IF(B7="Tube","T",IF(B7="Cont Sheet Roll","SR",IF(B7="Cont Centrefold","CFR")))&amp;B8&amp;IF(E8="","","("&amp;E8&amp;")")&amp;H8&amp;(IF(K11="INLINE","P",IF(K11="OUT OF LINE","P",IF(K11="NONE",""))))&amp;C24&amp;C25</f>
        <v>CFR300(600)25</v>
      </c>
      <c r="C1" s="99"/>
      <c r="D1" s="100"/>
      <c r="E1" s="11" t="s">
        <v>55</v>
      </c>
      <c r="F1" s="46" t="s">
        <v>164</v>
      </c>
      <c r="G1" s="46"/>
      <c r="H1" s="47"/>
      <c r="I1" s="11" t="s">
        <v>148</v>
      </c>
      <c r="J1" s="110">
        <f ca="1">TODAY()</f>
        <v>45335</v>
      </c>
      <c r="K1" s="110"/>
      <c r="L1" s="111"/>
    </row>
    <row r="2" spans="1:14" ht="20.149999999999999" customHeight="1" x14ac:dyDescent="0.8">
      <c r="A2" s="11" t="s">
        <v>94</v>
      </c>
      <c r="B2" s="90" t="str">
        <f>IF(B7="Tube",(ROUNDUP(E11,0)&amp;"KG"),(ROUNDUP(H11,0)&amp;"M"))</f>
        <v>450M</v>
      </c>
      <c r="C2" s="90"/>
      <c r="D2" s="91"/>
      <c r="E2" s="11" t="s">
        <v>56</v>
      </c>
      <c r="F2" s="46">
        <v>941041</v>
      </c>
      <c r="G2" s="46"/>
      <c r="H2" s="47"/>
      <c r="I2" s="11" t="s">
        <v>57</v>
      </c>
      <c r="J2" s="112" t="s">
        <v>162</v>
      </c>
      <c r="K2" s="46"/>
      <c r="L2" s="47"/>
    </row>
    <row r="3" spans="1:14" ht="20.149999999999999" customHeight="1" x14ac:dyDescent="0.75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</row>
    <row r="4" spans="1:14" ht="20.149999999999999" customHeight="1" x14ac:dyDescent="0.7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</row>
    <row r="5" spans="1:14" ht="20.149999999999999" customHeight="1" x14ac:dyDescent="0.7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</row>
    <row r="6" spans="1:14" ht="20.149999999999999" customHeight="1" x14ac:dyDescent="0.75">
      <c r="A6" s="78" t="s">
        <v>1</v>
      </c>
      <c r="B6" s="79"/>
      <c r="C6" s="79"/>
      <c r="D6" s="79"/>
      <c r="E6" s="79"/>
      <c r="F6" s="79"/>
      <c r="G6" s="79"/>
      <c r="H6" s="79"/>
      <c r="I6" s="79"/>
      <c r="J6" s="80"/>
      <c r="K6" s="80"/>
      <c r="L6" s="81"/>
    </row>
    <row r="7" spans="1:14" ht="20.149999999999999" customHeight="1" x14ac:dyDescent="0.9">
      <c r="A7" s="11" t="s">
        <v>158</v>
      </c>
      <c r="B7" s="46" t="s">
        <v>161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4" t="s">
        <v>146</v>
      </c>
      <c r="K7" s="94"/>
      <c r="L7" s="75"/>
    </row>
    <row r="8" spans="1:14" ht="20.149999999999999" customHeight="1" x14ac:dyDescent="0.8">
      <c r="A8" s="12" t="s">
        <v>14</v>
      </c>
      <c r="B8" s="66">
        <v>300</v>
      </c>
      <c r="C8" s="67"/>
      <c r="D8" s="12" t="str">
        <f>IF(B7="Tube","Gusset","Centrefold")</f>
        <v>Centrefold</v>
      </c>
      <c r="E8" s="95">
        <f>IF(B7="Cont Centrefold",B8*2,"")</f>
        <v>600</v>
      </c>
      <c r="F8" s="96"/>
      <c r="G8" s="12" t="s">
        <v>50</v>
      </c>
      <c r="H8" s="66">
        <v>25</v>
      </c>
      <c r="I8" s="67"/>
      <c r="J8" s="11" t="s">
        <v>52</v>
      </c>
      <c r="K8" s="99" t="str">
        <f>IF(ISNUMBER(SEARCH("+",E8,1)),"Gusset Tube","Layflat Tube")</f>
        <v>Layflat Tube</v>
      </c>
      <c r="L8" s="100"/>
    </row>
    <row r="9" spans="1:14" ht="20.149999999999999" customHeight="1" x14ac:dyDescent="0.9">
      <c r="A9" s="13" t="s">
        <v>46</v>
      </c>
      <c r="B9" s="82" t="s">
        <v>163</v>
      </c>
      <c r="C9" s="83"/>
      <c r="D9" s="114" t="str">
        <f>IF(K10="Middle","RUN 2 UP",IF(AND(B7="Cont Centrefold",B8=380),"RUN 2 UP",""))</f>
        <v/>
      </c>
      <c r="E9" s="115"/>
      <c r="F9" s="116"/>
      <c r="G9" s="13" t="s">
        <v>46</v>
      </c>
      <c r="H9" s="82" t="s">
        <v>165</v>
      </c>
      <c r="I9" s="83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30</v>
      </c>
      <c r="C10" s="47"/>
      <c r="D10" s="36" t="s">
        <v>104</v>
      </c>
      <c r="E10" s="86">
        <f>E11*B10</f>
        <v>187.5</v>
      </c>
      <c r="F10" s="87"/>
      <c r="G10" s="11" t="s">
        <v>51</v>
      </c>
      <c r="H10" s="90">
        <f>H11*B10</f>
        <v>13500</v>
      </c>
      <c r="I10" s="91"/>
      <c r="J10" s="11" t="s">
        <v>39</v>
      </c>
      <c r="K10" s="46" t="s">
        <v>40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>CF Rolls</v>
      </c>
      <c r="B11" s="84">
        <f>IF(AND(B7="Cont Centrefold",D9="RUN 2 UP"),B10*2,IF(B7="Cont Centrefold",B10,IF(B7="Cont Sheet Roll",B10*2,"")))</f>
        <v>30</v>
      </c>
      <c r="C11" s="85"/>
      <c r="D11" s="42" t="s">
        <v>105</v>
      </c>
      <c r="E11" s="88">
        <f>IF(D9="RUN 2 UP",(B8*H8*H11/540000)*2,(B8*H8*H11/540000))</f>
        <v>6.25</v>
      </c>
      <c r="F11" s="89"/>
      <c r="G11" s="42" t="s">
        <v>13</v>
      </c>
      <c r="H11" s="92">
        <v>450</v>
      </c>
      <c r="I11" s="93"/>
      <c r="J11" s="42" t="s">
        <v>48</v>
      </c>
      <c r="K11" s="97" t="s">
        <v>42</v>
      </c>
      <c r="L11" s="98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68"/>
      <c r="F12" s="68"/>
      <c r="G12" s="68"/>
      <c r="H12" s="68"/>
      <c r="I12" s="68"/>
      <c r="J12" s="68"/>
      <c r="K12" s="68"/>
      <c r="L12" s="69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0"/>
    </row>
    <row r="15" spans="1:14" ht="20.149999999999999" customHeight="1" x14ac:dyDescent="0.75">
      <c r="A15" s="78" t="s">
        <v>70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118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99">
        <f>B10</f>
        <v>30</v>
      </c>
      <c r="G16" s="99"/>
      <c r="H16" s="100"/>
      <c r="I16" s="11" t="s">
        <v>74</v>
      </c>
      <c r="J16" s="46"/>
      <c r="K16" s="46"/>
      <c r="L16" s="47"/>
    </row>
    <row r="17" spans="1:12" ht="20.149999999999999" customHeight="1" x14ac:dyDescent="0.75">
      <c r="A17" s="71" t="s">
        <v>149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ht="20.149999999999999" customHeight="1" x14ac:dyDescent="0.75">
      <c r="A18" s="74" t="s">
        <v>2</v>
      </c>
      <c r="B18" s="75"/>
      <c r="C18" s="74" t="s">
        <v>111</v>
      </c>
      <c r="D18" s="75"/>
      <c r="E18" s="74" t="s">
        <v>3</v>
      </c>
      <c r="F18" s="75"/>
      <c r="G18" s="74" t="s">
        <v>4</v>
      </c>
      <c r="H18" s="75"/>
      <c r="I18" s="74" t="s">
        <v>9</v>
      </c>
      <c r="J18" s="75"/>
      <c r="K18" s="74" t="s">
        <v>10</v>
      </c>
      <c r="L18" s="75"/>
    </row>
    <row r="19" spans="1:12" ht="20.149999999999999" customHeight="1" x14ac:dyDescent="0.75">
      <c r="A19" s="76" t="s">
        <v>5</v>
      </c>
      <c r="B19" s="76"/>
      <c r="C19" s="57" t="s">
        <v>115</v>
      </c>
      <c r="D19" s="58"/>
      <c r="E19" s="59"/>
      <c r="F19" s="60"/>
      <c r="G19" s="10" t="s">
        <v>76</v>
      </c>
      <c r="H19" s="31"/>
      <c r="I19" s="64"/>
      <c r="J19" s="65"/>
      <c r="K19" s="64"/>
      <c r="L19" s="65"/>
    </row>
    <row r="20" spans="1:12" ht="20.149999999999999" customHeight="1" x14ac:dyDescent="0.75">
      <c r="A20" s="76" t="s">
        <v>6</v>
      </c>
      <c r="B20" s="76"/>
      <c r="C20" s="57" t="s">
        <v>114</v>
      </c>
      <c r="D20" s="58"/>
      <c r="E20" s="59"/>
      <c r="F20" s="60"/>
      <c r="G20" s="10" t="s">
        <v>77</v>
      </c>
      <c r="H20" s="31"/>
      <c r="I20" s="64"/>
      <c r="J20" s="65"/>
      <c r="K20" s="64"/>
      <c r="L20" s="65"/>
    </row>
    <row r="21" spans="1:12" ht="20.149999999999999" customHeight="1" x14ac:dyDescent="0.75">
      <c r="A21" s="76" t="s">
        <v>7</v>
      </c>
      <c r="B21" s="76"/>
      <c r="C21" s="57" t="s">
        <v>113</v>
      </c>
      <c r="D21" s="58"/>
      <c r="E21" s="59"/>
      <c r="F21" s="60"/>
      <c r="G21" s="10" t="s">
        <v>78</v>
      </c>
      <c r="H21" s="31"/>
      <c r="I21" s="64"/>
      <c r="J21" s="65"/>
      <c r="K21" s="64"/>
      <c r="L21" s="65"/>
    </row>
    <row r="22" spans="1:12" ht="20.149999999999999" customHeight="1" x14ac:dyDescent="0.75">
      <c r="A22" s="76" t="s">
        <v>8</v>
      </c>
      <c r="B22" s="76"/>
      <c r="C22" s="57" t="s">
        <v>112</v>
      </c>
      <c r="D22" s="58"/>
      <c r="E22" s="59"/>
      <c r="F22" s="60"/>
      <c r="G22" s="10" t="s">
        <v>79</v>
      </c>
      <c r="H22" s="31"/>
      <c r="I22" s="64"/>
      <c r="J22" s="65"/>
      <c r="K22" s="64"/>
      <c r="L22" s="65"/>
    </row>
    <row r="23" spans="1:12" ht="20.149999999999999" customHeight="1" x14ac:dyDescent="0.75">
      <c r="A23" s="76" t="s">
        <v>150</v>
      </c>
      <c r="B23" s="76"/>
      <c r="C23" s="57" t="s">
        <v>151</v>
      </c>
      <c r="D23" s="58"/>
      <c r="E23" s="59"/>
      <c r="F23" s="60"/>
      <c r="G23" s="10" t="s">
        <v>80</v>
      </c>
      <c r="H23" s="31"/>
      <c r="I23" s="64"/>
      <c r="J23" s="65"/>
      <c r="K23" s="64"/>
      <c r="L23" s="65"/>
    </row>
    <row r="24" spans="1:12" ht="20.149999999999999" customHeight="1" x14ac:dyDescent="0.75">
      <c r="A24" s="76" t="str">
        <f>(IF(E7="NATURAL","",E7))</f>
        <v/>
      </c>
      <c r="B24" s="76"/>
      <c r="C24" s="5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58"/>
      <c r="E24" s="59"/>
      <c r="F24" s="60"/>
      <c r="G24" s="10" t="s">
        <v>81</v>
      </c>
      <c r="H24" s="31"/>
      <c r="I24" s="64"/>
      <c r="J24" s="65"/>
      <c r="K24" s="64"/>
      <c r="L24" s="65"/>
    </row>
    <row r="25" spans="1:12" ht="20.149999999999999" customHeight="1" x14ac:dyDescent="0.75">
      <c r="A25" s="76"/>
      <c r="B25" s="76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58"/>
      <c r="E25" s="59"/>
      <c r="F25" s="60"/>
      <c r="G25" s="10" t="s">
        <v>82</v>
      </c>
      <c r="H25" s="31"/>
      <c r="I25" s="64"/>
      <c r="J25" s="65"/>
      <c r="K25" s="64"/>
      <c r="L25" s="65"/>
    </row>
    <row r="26" spans="1:12" ht="20.149999999999999" customHeight="1" x14ac:dyDescent="0.75">
      <c r="A26" s="77" t="s">
        <v>0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7" t="s">
        <v>103</v>
      </c>
      <c r="H27" s="117"/>
      <c r="I27" s="117" t="s">
        <v>102</v>
      </c>
      <c r="J27" s="117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3"/>
      <c r="H28" s="113"/>
      <c r="I28" s="113"/>
      <c r="J28" s="113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3"/>
      <c r="H29" s="113"/>
      <c r="I29" s="113"/>
      <c r="J29" s="113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1" t="s">
        <v>106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7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45364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45356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136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144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137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138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139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140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141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142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145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143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143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FCEA7D2-BDAC-4FAE-89F4-D6B72919A9D0}"/>
</file>

<file path=customXml/itemProps2.xml><?xml version="1.0" encoding="utf-8"?>
<ds:datastoreItem xmlns:ds="http://schemas.openxmlformats.org/officeDocument/2006/customXml" ds:itemID="{48E64B2B-45EB-4BD5-9F69-2BD3FBF5B7D9}"/>
</file>

<file path=customXml/itemProps3.xml><?xml version="1.0" encoding="utf-8"?>
<ds:datastoreItem xmlns:ds="http://schemas.openxmlformats.org/officeDocument/2006/customXml" ds:itemID="{EC919F12-4BB5-4691-A290-0A20968061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2021-08-06T00:13:21Z</cp:lastPrinted>
  <dcterms:created xsi:type="dcterms:W3CDTF">2019-11-27T23:28:06Z</dcterms:created>
  <dcterms:modified xsi:type="dcterms:W3CDTF">2024-02-13T04:13:54Z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