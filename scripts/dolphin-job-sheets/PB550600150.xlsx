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E479707-2BD0-41BB-9D07-42499549EF9E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<sst xmlns="http://schemas.openxmlformats.org/spreadsheetml/2006/main" count="302" uniqueCount="199">
  <si>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</si>
  <si>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</si>
  <si>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</si>
  <si>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</si>
  <si>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</si>
  <si>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</si>
  <si>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</si>
  <si>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</si>
  <si>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</si>
  <si>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</si>
  <si>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</si>
  <si>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</si>
  <si>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</si>
  <si>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</si>
  <si>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</si>
  <si>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</si>
  <si>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</si>
  <si>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</si>
  <si>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</si>
  <si>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</si>
  <si>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</si>
  <si>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</si>
  <si>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</si>
  <si>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</si>
  <si>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</si>
  <si>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</si>
  <si>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</si>
  <si>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</si>
  <si>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</si>
  <si>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</si>
  <si>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</si>
  <si>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</si>
  <si>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</si>
  <si>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</si>
  <si>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</si>
  <si>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</si>
  <si>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</si>
  <si>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</si>
  <si>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</si>
  <si>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</si>
  <si>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</si>
  <si>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</si>
  <si>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</si>
  <si>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</si>
  <si>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</si>
  <si>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</si>
  <si>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</si>
  <si>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</si>
  <si>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</si>
  <si>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</si>
  <si>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</si>
  <si>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</si>
  <si>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</si>
  <si>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</si>
  <si>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</si>
  <si>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</si>
  <si>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</si>
  <si>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</si>
  <si>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</si>
  <si>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</si>
  <si>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</si>
  <si>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</si>
  <si>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</si>
  <si>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</si>
  <si>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</si>
  <si>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</si>
  <si>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</si>
  <si>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</si>
  <si>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</si>
  <si>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</si>
  <si>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</si>
  <si>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</si>
  <si>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</si>
  <si>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</si>
  <si>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</si>
  <si>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</si>
  <si>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</si>
  <si>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</si>
  <si>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</si>
  <si>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</si>
  <si>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</si>
  <si>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</si>
  <si>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</si>
  <si>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</si>
  <si>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</si>
  <si>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</si>
  <si>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</si>
  <si>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</si>
  <si>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</si>
  <si>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</si>
  <si>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</si>
  <si>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</si>
  <si>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</si>
  <si>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</si>
  <si>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</si>
  <si>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</si>
  <si>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</si>
  <si>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</si>
  <si>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</si>
  <si>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</si>
  <si>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</si>
  <si>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</si>
  <si>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</si>
  <si>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</si>
  <si>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</si>
  <si>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</si>
  <si>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</si>
  <si>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</si>
  <si>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</si>
  <si>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</si>
  <si>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</si>
  <si>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</si>
  <si>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</si>
  <si>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</si>
  <si>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</si>
  <si>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</si>
  <si>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</si>
  <si>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</si>
  <si>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</si>
  <si>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</si>
  <si>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</si>
  <si>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</si>
  <si>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</si>
  <si>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</si>
  <si>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</si>
  <si>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</si>
  <si>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</si>
  <si>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</si>
  <si>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</si>
  <si>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</si>
  <si>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</si>
  <si>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</si>
  <si>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</si>
  <si>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</si>
  <si>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</si>
  <si>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</si>
  <si>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</si>
  <si>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</si>
  <si>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</si>
  <si>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</si>
  <si>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</si>
  <si>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</si>
  <si>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</si>
  <si>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</si>
  <si>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</si>
  <si>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</si>
  <si>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</si>
  <si>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</si>
  <si>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</si>
  <si>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</si>
  <si>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</si>
  <si>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</si>
  <si>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</si>
  <si>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</si>
  <si>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</si>
  <si>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</si>
  <si>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</si>
  <si>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</si>
  <si>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</si>
  <si>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</si>
  <si>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</si>
  <si>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</si>
  <si>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</si>
  <si>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</si>
  <si>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</si>
  <si>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</si>
  <si>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</si>
  <si>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</si>
  <si>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</si>
  <si>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</si>
  <si>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</si>
  <si>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</si>
  <si>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</si>
  <si>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</si>
  <si>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</si>
  <si>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</si>
  <si>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</si>
  <si>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</si>
  <si>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</si>
  <si>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</si>
  <si>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</si>
  <si>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</si>
  <si>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</si>
  <si>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</si>
  <si>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</si>
  <si>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</si>
  <si>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</si>
  <si>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</si>
  <si>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</si>
  <si>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</si>
  <si>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</si>
  <si>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</si>
  <si>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</si>
  <si>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</si>
  <si>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</si>
  <si>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PINK</t>
  </si>
  <si>
    <t>X</t>
  </si>
  <si>
    <t>WHITE CROSS FIRST AID</t>
  </si>
  <si>
    <t>NOT OVER 140UM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</si>
</sst>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  <protection locked="0"/>
    </xf>
    <xf numFmtId="0" fontId="19" fillId="8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20" fillId="5" borderId="2" xfId="0" applyFont="1" applyFill="1" applyBorder="1" applyAlignment="1" applyProtection="1">
      <alignment horizont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F24" sqref="AF24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PB550600150</v>
      </c>
      <c r="C1" s="112"/>
      <c r="D1" s="113"/>
      <c r="E1" s="11" t="s">
        <v>57</v>
      </c>
      <c r="F1" s="123" t="s">
        <v>197</v>
      </c>
      <c r="G1" s="88"/>
      <c r="H1" s="89"/>
      <c r="I1" s="12" t="s">
        <v>181</v>
      </c>
      <c r="J1" s="84">
        <f ca="1">TODAY()</f>
        <v>45113</v>
      </c>
      <c r="K1" s="84"/>
      <c r="L1" s="85"/>
      <c r="M1" s="29"/>
      <c r="N1" s="11" t="s">
        <v>56</v>
      </c>
      <c r="O1" s="112" t="str">
        <f>B1</f>
        <v>PB550600150</v>
      </c>
      <c r="P1" s="112"/>
      <c r="Q1" s="113"/>
      <c r="R1" s="11" t="s">
        <v>57</v>
      </c>
      <c r="S1" s="112" t="str">
        <f>F1</f>
        <v>WHITE CROSS FIRST AID</v>
      </c>
      <c r="T1" s="112"/>
      <c r="U1" s="113"/>
      <c r="V1" s="11" t="s">
        <v>181</v>
      </c>
      <c r="W1" s="84">
        <f ca="1">J1</f>
        <v>45113</v>
      </c>
      <c r="X1" s="84"/>
      <c r="Y1" s="85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88">
        <v>946036</v>
      </c>
      <c r="G2" s="88"/>
      <c r="H2" s="89"/>
      <c r="I2" s="11" t="s">
        <v>59</v>
      </c>
      <c r="J2" s="86">
        <v>45132</v>
      </c>
      <c r="K2" s="86"/>
      <c r="L2" s="87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946036</v>
      </c>
      <c r="T2" s="112"/>
      <c r="U2" s="113"/>
      <c r="V2" s="11" t="s">
        <v>59</v>
      </c>
      <c r="W2" s="124">
        <f>J2</f>
        <v>45132</v>
      </c>
      <c r="X2" s="112"/>
      <c r="Y2" s="113"/>
    </row>
    <row r="3" spans="1:25" ht="20.149999999999999" customHeight="1" x14ac:dyDescent="0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>
        <f>A3</f>
        <v>0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9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163</v>
      </c>
      <c r="C7" s="109"/>
      <c r="D7" s="109"/>
      <c r="E7" s="109"/>
      <c r="F7" s="109"/>
      <c r="G7" s="109"/>
      <c r="H7" s="109"/>
      <c r="I7" s="110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8">
        <v>6</v>
      </c>
      <c r="P7" s="89"/>
      <c r="Q7" s="11" t="str">
        <f>IF(ISNUMBER(SEARCH("roll",O8,1)),"Per Roll","Per Carton")</f>
        <v>Per Carton</v>
      </c>
      <c r="R7" s="88">
        <v>100</v>
      </c>
      <c r="S7" s="89"/>
      <c r="T7" s="11" t="str">
        <f>IF(ISNUMBER(SEARCH("bag",O8,1)),"Total Bags","Total Sheets")</f>
        <v>Total Bags</v>
      </c>
      <c r="U7" s="112">
        <f>R7*O7</f>
        <v>600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550</v>
      </c>
      <c r="C8" s="91"/>
      <c r="D8" s="27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3" t="s">
        <v>52</v>
      </c>
      <c r="H8" s="90">
        <f>(IF(V9&lt;30,"30",V9))</f>
        <v>150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4" t="s">
        <v>54</v>
      </c>
      <c r="O8" s="127" t="s">
        <v>164</v>
      </c>
      <c r="P8" s="128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None</v>
      </c>
      <c r="Y8" s="126"/>
    </row>
    <row r="9" spans="1:25" ht="20.149999999999999" customHeight="1" x14ac:dyDescent="0.9">
      <c r="A9" s="16" t="s">
        <v>48</v>
      </c>
      <c r="B9" s="100" t="s">
        <v>194</v>
      </c>
      <c r="C9" s="101"/>
      <c r="D9" s="108" t="str">
        <f>IF(K10="Middle","RUN 2 UP",IF(AND(O8="Centrefold Roll",B8=380),"RUN 2 UP",""))</f>
        <v/>
      </c>
      <c r="E9" s="109"/>
      <c r="F9" s="110"/>
      <c r="G9" s="16" t="s">
        <v>48</v>
      </c>
      <c r="H9" s="158" t="s">
        <v>198</v>
      </c>
      <c r="I9" s="159"/>
      <c r="J9" s="11" t="s">
        <v>55</v>
      </c>
      <c r="K9" s="88" t="s">
        <v>30</v>
      </c>
      <c r="L9" s="89"/>
      <c r="M9" s="29"/>
      <c r="N9" s="17"/>
      <c r="O9" s="133" t="str">
        <f>IF(O8="Poly Bag","PB",IF(O8="Poly Bag Roll","PBR",IF(O8="Centrefold Roll","CFR",IF(O8="Sheet","S",IF(O8="Sheet Roll","SR")))))</f>
        <v>PB</v>
      </c>
      <c r="P9" s="134"/>
      <c r="Q9" s="17"/>
      <c r="R9" s="30">
        <v>550</v>
      </c>
      <c r="S9" s="18" t="s">
        <v>196</v>
      </c>
      <c r="T9" s="30">
        <v>600</v>
      </c>
      <c r="U9" s="18" t="s">
        <v>78</v>
      </c>
      <c r="V9" s="30">
        <v>150</v>
      </c>
      <c r="W9" s="17"/>
      <c r="X9" s="142"/>
      <c r="Y9" s="143"/>
    </row>
    <row r="10" spans="1:25" ht="20.149999999999999" customHeight="1" x14ac:dyDescent="0.8">
      <c r="A10" s="11" t="s">
        <v>51</v>
      </c>
      <c r="B10" s="88">
        <v>2</v>
      </c>
      <c r="C10" s="89"/>
      <c r="D10" s="47" t="s">
        <v>134</v>
      </c>
      <c r="E10" s="102">
        <f>IF(ISNUMBER(SEARCH("sheet",O8,1)),((R9*T9*H8/540000)*U7/2000*1.3),((R9*T9*H8/540000)*U7/1000*1.08))</f>
        <v>59.400000000000006</v>
      </c>
      <c r="F10" s="103"/>
      <c r="G10" s="11" t="s">
        <v>53</v>
      </c>
      <c r="H10" s="106">
        <f>IF(ISNUMBER(SEARCH("sheet",O8,1)),(U7*T9/2000*1.08),(U7*T9/1000*1.08))</f>
        <v>388.8</v>
      </c>
      <c r="I10" s="107"/>
      <c r="J10" s="11" t="s">
        <v>41</v>
      </c>
      <c r="K10" s="88" t="s">
        <v>44</v>
      </c>
      <c r="L10" s="89"/>
      <c r="M10" s="29"/>
      <c r="N10" s="14" t="s">
        <v>141</v>
      </c>
      <c r="O10" s="127" t="s">
        <v>44</v>
      </c>
      <c r="P10" s="128"/>
      <c r="Q10" s="14" t="s">
        <v>50</v>
      </c>
      <c r="R10" s="125" t="str">
        <f>IF(K11="NONE","None",IF(K11="INLINE","Yes",IF(K11="OUT OF LINE","Yes")))</f>
        <v>None</v>
      </c>
      <c r="S10" s="125"/>
      <c r="T10" s="14" t="s">
        <v>100</v>
      </c>
      <c r="U10" s="136"/>
      <c r="V10" s="136"/>
      <c r="W10" s="136"/>
      <c r="X10" s="136"/>
      <c r="Y10" s="13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29.700000000000003</v>
      </c>
      <c r="F11" s="105"/>
      <c r="G11" s="11" t="s">
        <v>15</v>
      </c>
      <c r="H11" s="104">
        <f>H10/B10</f>
        <v>194.4</v>
      </c>
      <c r="I11" s="105"/>
      <c r="J11" s="11" t="s">
        <v>50</v>
      </c>
      <c r="K11" s="88" t="s">
        <v>44</v>
      </c>
      <c r="L11" s="89"/>
      <c r="M11" s="29"/>
      <c r="N11" s="13"/>
      <c r="O11" s="90" t="str">
        <f>IF(O10="NONE","","V")</f>
        <v/>
      </c>
      <c r="P11" s="91"/>
      <c r="Q11" s="13"/>
      <c r="R11" s="90" t="str">
        <f>IF(R10="None","","P")</f>
        <v/>
      </c>
      <c r="S11" s="91"/>
      <c r="T11" s="13"/>
      <c r="U11" s="138"/>
      <c r="V11" s="138"/>
      <c r="W11" s="138"/>
      <c r="X11" s="138"/>
      <c r="Y11" s="139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9"/>
      <c r="N12" s="135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19" t="s">
        <v>61</v>
      </c>
      <c r="F13" s="88" t="s">
        <v>44</v>
      </c>
      <c r="G13" s="88"/>
      <c r="H13" s="89"/>
      <c r="I13" s="11" t="s">
        <v>62</v>
      </c>
      <c r="J13" s="129" t="s">
        <v>44</v>
      </c>
      <c r="K13" s="129"/>
      <c r="L13" s="130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2"/>
      <c r="M14" s="29"/>
      <c r="N14" s="135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8" t="s">
        <v>38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8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6"/>
      <c r="J17" s="147"/>
      <c r="K17" s="146"/>
      <c r="L17" s="147"/>
      <c r="M17" s="29"/>
      <c r="N17" s="11" t="s">
        <v>26</v>
      </c>
      <c r="O17" s="88" t="s">
        <v>35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8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6"/>
      <c r="J18" s="147"/>
      <c r="K18" s="146"/>
      <c r="L18" s="147"/>
      <c r="M18" s="29"/>
      <c r="N18" s="11" t="s">
        <v>101</v>
      </c>
      <c r="O18" s="88" t="s">
        <v>38</v>
      </c>
      <c r="P18" s="89"/>
      <c r="Q18" s="11" t="s">
        <v>106</v>
      </c>
      <c r="R18" s="88" t="s">
        <v>31</v>
      </c>
      <c r="S18" s="89"/>
      <c r="T18" s="21" t="s">
        <v>27</v>
      </c>
      <c r="U18" s="88" t="s">
        <v>36</v>
      </c>
      <c r="V18" s="89"/>
      <c r="W18" s="11" t="s">
        <v>109</v>
      </c>
      <c r="X18" s="148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6"/>
      <c r="J19" s="147"/>
      <c r="K19" s="146"/>
      <c r="L19" s="147"/>
      <c r="M19" s="29"/>
      <c r="N19" s="149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1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6"/>
      <c r="J20" s="147"/>
      <c r="K20" s="146"/>
      <c r="L20" s="147"/>
      <c r="M20" s="29"/>
      <c r="N20" s="152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4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6"/>
      <c r="J21" s="147"/>
      <c r="K21" s="146"/>
      <c r="L21" s="147"/>
      <c r="M21" s="29"/>
      <c r="N21" s="152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4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45"/>
      <c r="F22" s="83"/>
      <c r="G22" s="48" t="s">
        <v>86</v>
      </c>
      <c r="H22" s="32"/>
      <c r="I22" s="146"/>
      <c r="J22" s="147"/>
      <c r="K22" s="146"/>
      <c r="L22" s="147"/>
      <c r="M22" s="29"/>
      <c r="N22" s="155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7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146"/>
      <c r="J23" s="147"/>
      <c r="K23" s="146"/>
      <c r="L23" s="147"/>
      <c r="M23" s="29"/>
      <c r="N23" s="135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6"/>
      <c r="J24" s="147"/>
      <c r="K24" s="146"/>
      <c r="L24" s="147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4" t="s">
        <v>132</v>
      </c>
      <c r="H26" s="144"/>
      <c r="I26" s="144" t="s">
        <v>131</v>
      </c>
      <c r="J26" s="144"/>
      <c r="K26" s="24" t="s">
        <v>94</v>
      </c>
      <c r="L26" s="24" t="s">
        <v>95</v>
      </c>
      <c r="M26" s="29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40"/>
      <c r="G29" s="140"/>
      <c r="H29" s="140"/>
      <c r="I29" s="140"/>
      <c r="J29" s="140"/>
      <c r="K29" s="93"/>
      <c r="L29" s="141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1" zoomScaleNormal="100" workbookViewId="0">
      <selection activeCell="D68" sqref="D68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45144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45134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195</v>
      </c>
      <c r="O61" s="1"/>
      <c r="Q61" s="1"/>
      <c r="R61" s="3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153</v>
      </c>
      <c r="O65" s="1"/>
      <c r="Q65" s="1"/>
      <c r="R65" s="1"/>
      <c r="S65" s="1"/>
      <c r="T65" s="1"/>
    </row>
    <row r="66" spans="1:20" x14ac:dyDescent="0.75">
      <c r="A66" s="55" t="s">
        <v>174</v>
      </c>
      <c r="N66" s="3"/>
      <c r="O66" s="1"/>
      <c r="P66" s="1"/>
      <c r="Q66" s="1"/>
      <c r="R66" s="1"/>
      <c r="S66" s="1"/>
      <c r="T66" s="1"/>
    </row>
    <row r="67" spans="1:20" x14ac:dyDescent="0.7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590AA37-FD3D-4797-A088-2D99D839CA4A}"/>
</file>

<file path=customXml/itemProps2.xml><?xml version="1.0" encoding="utf-8"?>
<ds:datastoreItem xmlns:ds="http://schemas.openxmlformats.org/officeDocument/2006/customXml" ds:itemID="{81C25E70-20B9-4C5E-95CE-FFB1B92A2F84}"/>
</file>

<file path=customXml/itemProps3.xml><?xml version="1.0" encoding="utf-8"?>
<ds:datastoreItem xmlns:ds="http://schemas.openxmlformats.org/officeDocument/2006/customXml" ds:itemID="{DD3360E9-DDC7-4C1C-B311-7DB669C0B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2023-07-04T00:40:15Z</cp:lastPrinted>
  <dcterms:created xsi:type="dcterms:W3CDTF">2019-11-27T23:28:06Z</dcterms:created>
  <dcterms:modified xsi:type="dcterms:W3CDTF">2023-07-06T00:12:08Z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