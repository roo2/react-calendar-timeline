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D2098B0-F351-4B52-8CBF-A313B9DDD8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<sst xmlns="http://schemas.openxmlformats.org/spreadsheetml/2006/main" count="301" uniqueCount="199">
  <si>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</si>
  <si>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</si>
  <si>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</si>
  <si>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</si>
  <si>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</si>
  <si>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</si>
  <si>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</si>
  <si>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</si>
  <si>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</si>
  <si>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</si>
  <si>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</si>
  <si>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</si>
  <si>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</si>
  <si>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</si>
  <si>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</si>
  <si>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</si>
  <si>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</si>
  <si>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</si>
  <si>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</si>
  <si>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</si>
  <si>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</si>
  <si>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</si>
  <si>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</si>
  <si>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</si>
  <si>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</si>
  <si>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</si>
  <si>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</si>
  <si>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</si>
  <si>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</si>
  <si>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</si>
  <si>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</si>
  <si>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</si>
  <si>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</si>
  <si>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</si>
  <si>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</si>
  <si>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</si>
  <si>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</si>
  <si>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</si>
  <si>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</si>
  <si>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</si>
  <si>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</si>
  <si>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</si>
  <si>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</si>
  <si>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</si>
  <si>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</si>
  <si>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</si>
  <si>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</si>
  <si>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</si>
  <si>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</si>
  <si>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</si>
  <si>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</si>
  <si>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</si>
  <si>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</si>
  <si>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</si>
  <si>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</si>
  <si>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</si>
  <si>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</si>
  <si>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</si>
  <si>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</si>
  <si>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</si>
  <si>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</si>
  <si>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</si>
  <si>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</si>
  <si>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</si>
  <si>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</si>
  <si>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</si>
  <si>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</si>
  <si>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</si>
  <si>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</si>
  <si>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</si>
  <si>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</si>
  <si>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</si>
  <si>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</si>
  <si>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</si>
  <si>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</si>
  <si>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</si>
  <si>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</si>
  <si>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</si>
  <si>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</si>
  <si>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</si>
  <si>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</si>
  <si>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</si>
  <si>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</si>
  <si>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</si>
  <si>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</si>
  <si>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</si>
  <si>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</si>
  <si>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</si>
  <si>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</si>
  <si>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</si>
  <si>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</si>
  <si>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</si>
  <si>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</si>
  <si>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</si>
  <si>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</si>
  <si>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</si>
  <si>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</si>
  <si>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</si>
  <si>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</si>
  <si>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</si>
  <si>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</si>
  <si>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</si>
  <si>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</si>
  <si>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</si>
  <si>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</si>
  <si>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</si>
  <si>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</si>
  <si>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</si>
  <si>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</si>
  <si>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</si>
  <si>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</si>
  <si>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</si>
  <si>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</si>
  <si>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</si>
  <si>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</si>
  <si>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</si>
  <si>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</si>
  <si>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</si>
  <si>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</si>
  <si>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</si>
  <si>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</si>
  <si>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</si>
  <si>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</si>
  <si>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</si>
  <si>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</si>
  <si>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</si>
  <si>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</si>
  <si>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</si>
  <si>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</si>
  <si>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</si>
  <si>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</si>
  <si>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</si>
  <si>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</si>
  <si>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</si>
  <si>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</si>
  <si>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</si>
  <si>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</si>
  <si>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</si>
  <si>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</si>
  <si>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</si>
  <si>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</si>
  <si>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</si>
  <si>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</si>
  <si>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</si>
  <si>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</si>
  <si>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</si>
  <si>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</si>
  <si>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</si>
  <si>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</si>
  <si>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</si>
  <si>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</si>
  <si>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</si>
  <si>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</si>
  <si>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</si>
  <si>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</si>
  <si>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</si>
  <si>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</si>
  <si>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</si>
  <si>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</si>
  <si>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</si>
  <si>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</si>
  <si>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</si>
  <si>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</si>
  <si>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</si>
  <si>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</si>
  <si>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</si>
  <si>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</si>
  <si>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</si>
  <si>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</si>
  <si>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</si>
  <si>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</si>
  <si>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</si>
  <si>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</si>
  <si>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</si>
  <si>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</si>
  <si>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</si>
  <si>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</si>
  <si>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</si>
  <si>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</si>
  <si>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</si>
  <si>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</si>
  <si>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</si>
  <si>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</si>
  <si>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</si>
  <si>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</si>
  <si>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</si>
  <si>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</si>
  <si>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</si>
  <si>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</si>
  <si>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</si>
  <si>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</si>
  <si>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</si>
  <si>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</si>
  <si>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</si>
  <si>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</si>
  <si>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</si>
  <si>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(430+380)</t>
  </si>
  <si>
    <t>RUN AT 25 - 30um</t>
  </si>
  <si>
    <t>THE SUPPLY GUYS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</si>
</sst>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PBR810G99025WH</v>
      </c>
      <c r="C1" s="125"/>
      <c r="D1" s="126"/>
      <c r="E1" s="18" t="s">
        <v>56</v>
      </c>
      <c r="F1" s="149" t="s">
        <v>198</v>
      </c>
      <c r="G1" s="149"/>
      <c r="H1" s="150"/>
      <c r="I1" s="18" t="s">
        <v>180</v>
      </c>
      <c r="J1" s="146">
        <f ca="1">TODAY()</f>
        <v>44523</v>
      </c>
      <c r="K1" s="146"/>
      <c r="L1" s="147"/>
      <c r="M1" s="35"/>
      <c r="N1" s="18" t="s">
        <v>55</v>
      </c>
      <c r="O1" s="125" t="str">
        <f>B1</f>
        <v>PBR810G99025WH</v>
      </c>
      <c r="P1" s="125"/>
      <c r="Q1" s="126"/>
      <c r="R1" s="18" t="s">
        <v>56</v>
      </c>
      <c r="S1" s="125" t="str">
        <f>F1</f>
        <v>THE SUPPLY GUYS</v>
      </c>
      <c r="T1" s="125"/>
      <c r="U1" s="126"/>
      <c r="V1" s="18" t="s">
        <v>180</v>
      </c>
      <c r="W1" s="146">
        <f ca="1">J1</f>
        <v>44523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941997</v>
      </c>
      <c r="G2" s="104"/>
      <c r="H2" s="105"/>
      <c r="I2" s="18" t="s">
        <v>58</v>
      </c>
      <c r="J2" s="103">
        <v>44553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941997</v>
      </c>
      <c r="T2" s="125"/>
      <c r="U2" s="126"/>
      <c r="V2" s="18" t="s">
        <v>58</v>
      </c>
      <c r="W2" s="148">
        <f>J2</f>
        <v>44553</v>
      </c>
      <c r="X2" s="125"/>
      <c r="Y2" s="126"/>
    </row>
    <row r="3" spans="1:25" ht="20.100000000000001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7"/>
      <c r="M3" s="35"/>
      <c r="N3" s="137">
        <f>A3</f>
        <v>0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60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154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20</v>
      </c>
      <c r="P7" s="105"/>
      <c r="Q7" s="18" t="str">
        <f>IF(ISNUMBER(SEARCH("roll",O8,1)),"Per Roll","Per Carton")</f>
        <v>Per Roll</v>
      </c>
      <c r="R7" s="104">
        <v>250</v>
      </c>
      <c r="S7" s="105"/>
      <c r="T7" s="18" t="str">
        <f>IF(ISNUMBER(SEARCH("bag",O8,1)),"Total Bags","Total Sheets")</f>
        <v>Total Bags</v>
      </c>
      <c r="U7" s="125">
        <f>R7*O7</f>
        <v>5000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810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(430+380)</v>
      </c>
      <c r="F8" s="116"/>
      <c r="G8" s="19" t="s">
        <v>51</v>
      </c>
      <c r="H8" s="113" t="str">
        <f>(IF(V9&lt;30,"30",V9))</f>
        <v>30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67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810</v>
      </c>
      <c r="S9" s="25" t="s">
        <v>77</v>
      </c>
      <c r="T9" s="36">
        <v>990</v>
      </c>
      <c r="U9" s="25" t="s">
        <v>77</v>
      </c>
      <c r="V9" s="36">
        <v>25</v>
      </c>
      <c r="W9" s="24"/>
      <c r="X9" s="110" t="s">
        <v>196</v>
      </c>
      <c r="Y9" s="111"/>
    </row>
    <row r="10" spans="1:25" ht="20.100000000000001" customHeight="1" x14ac:dyDescent="0.25">
      <c r="A10" s="18" t="s">
        <v>50</v>
      </c>
      <c r="B10" s="104">
        <v>20</v>
      </c>
      <c r="C10" s="105"/>
      <c r="D10" s="56" t="s">
        <v>133</v>
      </c>
      <c r="E10" s="127">
        <f>IF(ISNUMBER(SEARCH("sheet",O8,1)),((R9*T9*H8/540000)*U7/2000*1.3),((R9*T9*H8/540000)*U7/1000*1.08))</f>
        <v>240.57000000000002</v>
      </c>
      <c r="F10" s="128"/>
      <c r="G10" s="18" t="s">
        <v>52</v>
      </c>
      <c r="H10" s="131">
        <f>IF(ISNUMBER(SEARCH("sheet",O8,1)),(U7*T9/2000*1.08),(U7*T9/1000*1.08))</f>
        <v>5346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12.028500000000001</v>
      </c>
      <c r="F11" s="130"/>
      <c r="G11" s="18" t="s">
        <v>14</v>
      </c>
      <c r="H11" s="129">
        <f>H10/B10</f>
        <v>267.3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64" t="s">
        <v>70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6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73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68"/>
      <c r="Y16" s="169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68"/>
      <c r="Y17" s="169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68"/>
      <c r="Y18" s="169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WHITE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1"/>
      <c r="E22" s="95">
        <v>0.04</v>
      </c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73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74" t="s">
        <v>131</v>
      </c>
      <c r="H26" s="174"/>
      <c r="I26" s="174" t="s">
        <v>130</v>
      </c>
      <c r="J26" s="174"/>
      <c r="K26" s="12" t="s">
        <v>93</v>
      </c>
      <c r="L26" s="12" t="s">
        <v>94</v>
      </c>
      <c r="M26" s="35"/>
      <c r="N26" s="170" t="s">
        <v>136</v>
      </c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2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44553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44544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496952E-226A-4949-A8AF-6FB118FC24ED}"/>
</file>

<file path=customXml/itemProps2.xml><?xml version="1.0" encoding="utf-8"?>
<ds:datastoreItem xmlns:ds="http://schemas.openxmlformats.org/officeDocument/2006/customXml" ds:itemID="{BACC7DA1-81A7-4040-BE9C-7CC59F320188}"/>
</file>

<file path=customXml/itemProps3.xml><?xml version="1.0" encoding="utf-8"?>
<ds:datastoreItem xmlns:ds="http://schemas.openxmlformats.org/officeDocument/2006/customXml" ds:itemID="{AEDE868F-D567-4A8D-AEFE-FB997C3E3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2021-11-23T03:07:17Z</cp:lastPrinted>
  <dcterms:created xsi:type="dcterms:W3CDTF">2019-11-27T23:28:06Z</dcterms:created>
  <dcterms:modified xsi:type="dcterms:W3CDTF">2021-11-23T03:11:29Z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