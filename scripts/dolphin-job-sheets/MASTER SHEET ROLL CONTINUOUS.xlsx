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291159F-DCC3-4B2C-8F59-DBF342BF77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10" i="1"/>
  <c r="H10" i="1"/>
  <c r="E8" i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B2" i="1" l="1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<sst xmlns="http://schemas.openxmlformats.org/spreadsheetml/2006/main" count="224" uniqueCount="165">
  <si>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</si>
  <si>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</si>
  <si>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</si>
  <si>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</si>
  <si>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</si>
  <si>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</si>
  <si>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</si>
  <si>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</si>
  <si>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</si>
  <si>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</si>
  <si>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</si>
  <si>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</si>
  <si>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</si>
  <si>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</si>
  <si>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</si>
  <si>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</si>
  <si>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</si>
  <si>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</si>
  <si>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</si>
  <si>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</si>
  <si>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</si>
  <si>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</si>
  <si>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</si>
  <si>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</si>
  <si>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</si>
  <si>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</si>
  <si>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</si>
  <si>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</si>
  <si>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</si>
  <si>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</si>
  <si>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</si>
  <si>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</si>
  <si>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</si>
  <si>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</si>
  <si>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</si>
  <si>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</si>
  <si>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</si>
  <si>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</si>
  <si>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</si>
  <si>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</si>
  <si>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</si>
  <si>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</si>
  <si>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</si>
  <si>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</si>
  <si>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</si>
  <si>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</si>
  <si>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</si>
  <si>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</si>
  <si>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</si>
  <si>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</si>
  <si>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</si>
  <si>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</si>
  <si>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</si>
  <si>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</si>
  <si>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</si>
  <si>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</si>
  <si>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</si>
  <si>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</si>
  <si>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</si>
  <si>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</si>
  <si>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</si>
  <si>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</si>
  <si>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</si>
  <si>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</si>
  <si>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</si>
  <si>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</si>
  <si>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</si>
  <si>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</si>
  <si>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</si>
  <si>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</si>
  <si>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</si>
  <si>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</si>
  <si>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</si>
  <si>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</si>
  <si>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</si>
  <si>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</si>
  <si>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</si>
  <si>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</si>
  <si>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</si>
  <si>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</si>
  <si>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</si>
  <si>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</si>
  <si>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</si>
  <si>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</si>
  <si>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</si>
  <si>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</si>
  <si>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</si>
  <si>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</si>
  <si>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</si>
  <si>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</si>
  <si>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</si>
  <si>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</si>
  <si>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</si>
  <si>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</si>
  <si>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</si>
  <si>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</si>
  <si>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</si>
  <si>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</si>
  <si>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</si>
  <si>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</si>
  <si>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</si>
  <si>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</si>
  <si>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</si>
  <si>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</si>
  <si>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</si>
  <si>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</si>
  <si>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</si>
  <si>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</si>
  <si>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</si>
  <si>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</si>
  <si>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</si>
  <si>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</si>
  <si>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</si>
  <si>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</si>
  <si>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</si>
  <si>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</si>
  <si>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</si>
  <si>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</si>
  <si>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</si>
  <si>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</si>
  <si>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</si>
  <si>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</si>
  <si>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</si>
  <si>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</si>
  <si>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</si>
  <si>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</si>
  <si>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</si>
  <si>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</si>
  <si>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</si>
  <si>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</si>
  <si>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</si>
  <si>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</si>
  <si>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</si>
  <si>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</si>
  <si>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</si>
  <si>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</si>
  <si>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</si>
  <si>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</si>
  <si>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</si>
  <si>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</si>
  <si>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</si>
  <si>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</si>
  <si>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</si>
  <si>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</si>
  <si>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</si>
  <si>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</si>
  <si>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</si>
  <si>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</si>
  <si>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</si>
  <si>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</si>
  <si>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</si>
  <si>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</si>
  <si>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</si>
  <si>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</si>
  <si>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</si>
  <si>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</si>
  <si>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</si>
  <si>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</si>
  <si>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</si>
  <si>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</si>
  <si>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</si>
  <si>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</si>
  <si>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</si>
  <si>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</si>
  <si>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HYQUAL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</si>
</sst>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SR100031WH</v>
      </c>
      <c r="C1" s="110"/>
      <c r="D1" s="111"/>
      <c r="E1" s="12" t="s">
        <v>55</v>
      </c>
      <c r="F1" s="121" t="s">
        <v>164</v>
      </c>
      <c r="G1" s="121"/>
      <c r="H1" s="122"/>
      <c r="I1" s="12" t="s">
        <v>148</v>
      </c>
      <c r="J1" s="123">
        <f ca="1">TODAY()</f>
        <v>44372</v>
      </c>
      <c r="K1" s="123"/>
      <c r="L1" s="124"/>
    </row>
    <row r="2" spans="1:14" ht="20.100000000000001" customHeight="1" x14ac:dyDescent="0.25">
      <c r="A2" s="12" t="s">
        <v>94</v>
      </c>
      <c r="B2" s="101" t="str">
        <f>(ROUNDUP(E11,0)&amp;"KG")&amp;" "&amp;(ROUNDUP(H11,0)&amp;"M")</f>
        <v>6KG 200M</v>
      </c>
      <c r="C2" s="101"/>
      <c r="D2" s="102"/>
      <c r="E2" s="12" t="s">
        <v>56</v>
      </c>
      <c r="F2" s="55">
        <v>936757</v>
      </c>
      <c r="G2" s="55"/>
      <c r="H2" s="56"/>
      <c r="I2" s="12" t="s">
        <v>57</v>
      </c>
      <c r="J2" s="125">
        <v>43941</v>
      </c>
      <c r="K2" s="55"/>
      <c r="L2" s="56"/>
    </row>
    <row r="3" spans="1:14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160</v>
      </c>
      <c r="C7" s="56"/>
      <c r="D7" s="12" t="s">
        <v>47</v>
      </c>
      <c r="E7" s="54" t="s">
        <v>123</v>
      </c>
      <c r="F7" s="54"/>
      <c r="G7" s="54"/>
      <c r="H7" s="54"/>
      <c r="I7" s="54"/>
      <c r="J7" s="105" t="s">
        <v>145</v>
      </c>
      <c r="K7" s="105"/>
      <c r="L7" s="86"/>
    </row>
    <row r="8" spans="1:14" ht="20.100000000000001" customHeight="1" x14ac:dyDescent="0.25">
      <c r="A8" s="13" t="s">
        <v>14</v>
      </c>
      <c r="B8" s="75">
        <v>1000</v>
      </c>
      <c r="C8" s="76"/>
      <c r="D8" s="13" t="str">
        <f>IF(B7="Tube","Gusset","Centrefold")</f>
        <v>Centrefold</v>
      </c>
      <c r="E8" s="106" t="str">
        <f>IF(B7="Cont Centrefold",B8*2,"")</f>
        <v/>
      </c>
      <c r="F8" s="107"/>
      <c r="G8" s="13" t="s">
        <v>50</v>
      </c>
      <c r="H8" s="75">
        <v>31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146</v>
      </c>
      <c r="C9" s="94"/>
      <c r="D9" s="127" t="str">
        <f>IF(K10="Middle","RUN 2 UP",IF(AND(B7="Cont Centrefold",B8=380),"RUN 2 UP",""))</f>
        <v/>
      </c>
      <c r="E9" s="128"/>
      <c r="F9" s="129"/>
      <c r="G9" s="14" t="s">
        <v>46</v>
      </c>
      <c r="H9" s="93" t="s">
        <v>146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7">
        <f>E11*B10*2</f>
        <v>57.407407407407405</v>
      </c>
      <c r="F10" s="98"/>
      <c r="G10" s="12" t="s">
        <v>51</v>
      </c>
      <c r="H10" s="101">
        <f>H11*B10</f>
        <v>1000</v>
      </c>
      <c r="I10" s="102"/>
      <c r="J10" s="12" t="s">
        <v>39</v>
      </c>
      <c r="K10" s="55" t="s">
        <v>41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>Sheet Rolls</v>
      </c>
      <c r="B11" s="95">
        <f>IF(AND(B7="Cont Centrefold",D9="RUN 2 UP"),B10*2,IF(B7="Cont Centrefold",B10,IF(B7="Cont Sheet Roll",B10*2,"")))</f>
        <v>10</v>
      </c>
      <c r="C11" s="96"/>
      <c r="D11" s="51" t="s">
        <v>105</v>
      </c>
      <c r="E11" s="99">
        <f>IF(D9="RUN 2 UP",(B8*H8*H11/540000),(B8*H8*H11/540000)/2)</f>
        <v>5.7407407407407405</v>
      </c>
      <c r="F11" s="100"/>
      <c r="G11" s="51" t="s">
        <v>13</v>
      </c>
      <c r="H11" s="103">
        <v>200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34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5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31" t="s">
        <v>149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3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87" t="str">
        <f>(IF(E7="NATURAL","",E7))</f>
        <v>WHITE</v>
      </c>
      <c r="B24" s="87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67"/>
      <c r="E24" s="68">
        <v>0.05</v>
      </c>
      <c r="F24" s="6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0" t="s">
        <v>103</v>
      </c>
      <c r="H27" s="130"/>
      <c r="I27" s="130" t="s">
        <v>102</v>
      </c>
      <c r="J27" s="130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6"/>
      <c r="H28" s="126"/>
      <c r="I28" s="126"/>
      <c r="J28" s="126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6"/>
      <c r="H29" s="126"/>
      <c r="I29" s="126"/>
      <c r="J29" s="126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44402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44393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1F0E407-F082-4D47-BACE-F333DA00573F}"/>
</file>

<file path=customXml/itemProps2.xml><?xml version="1.0" encoding="utf-8"?>
<ds:datastoreItem xmlns:ds="http://schemas.openxmlformats.org/officeDocument/2006/customXml" ds:itemID="{A975A53D-2933-4BE1-ACB8-F04AC2A3FD49}"/>
</file>

<file path=customXml/itemProps3.xml><?xml version="1.0" encoding="utf-8"?>
<ds:datastoreItem xmlns:ds="http://schemas.openxmlformats.org/officeDocument/2006/customXml" ds:itemID="{0EBC53C8-FE8A-4E8A-B5CA-323AAA302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Molly</cp:lastModifiedBy>
  <cp:lastPrinted>2020-10-22T01:30:38Z</cp:lastPrinted>
  <dcterms:created xsi:type="dcterms:W3CDTF">2019-11-27T23:28:06Z</dcterms:created>
  <dcterms:modified xsi:type="dcterms:W3CDTF">2021-06-25T00:10:28Z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