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AE1C757-1307-44B7-AFEE-F6B4012514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<sst xmlns="http://schemas.openxmlformats.org/spreadsheetml/2006/main" count="310" uniqueCount="203">
  <si>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</si>
  <si>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</si>
  <si>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</si>
  <si>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</si>
  <si>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</si>
  <si>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</si>
  <si>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</si>
  <si>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</si>
  <si>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</si>
  <si>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</si>
  <si>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</si>
  <si>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</si>
  <si>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</si>
  <si>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</si>
  <si>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</si>
  <si>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</si>
  <si>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</si>
  <si>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</si>
  <si>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</si>
  <si>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</si>
  <si>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</si>
  <si>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</si>
  <si>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</si>
  <si>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</si>
  <si>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</si>
  <si>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</si>
  <si>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</si>
  <si>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</si>
  <si>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</si>
  <si>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</si>
  <si>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</si>
  <si>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</si>
  <si>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</si>
  <si>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</si>
  <si>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</si>
  <si>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</si>
  <si>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</si>
  <si>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</si>
  <si>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</si>
  <si>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</si>
  <si>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</si>
  <si>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</si>
  <si>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</si>
  <si>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</si>
  <si>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</si>
  <si>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</si>
  <si>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</si>
  <si>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</si>
  <si>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</si>
  <si>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</si>
  <si>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</si>
  <si>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</si>
  <si>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</si>
  <si>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</si>
  <si>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</si>
  <si>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</si>
  <si>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</si>
  <si>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</si>
  <si>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</si>
  <si>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</si>
  <si>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</si>
  <si>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</si>
  <si>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</si>
  <si>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</si>
  <si>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</si>
  <si>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</si>
  <si>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</si>
  <si>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</si>
  <si>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</si>
  <si>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</si>
  <si>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</si>
  <si>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</si>
  <si>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</si>
  <si>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</si>
  <si>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</si>
  <si>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</si>
  <si>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</si>
  <si>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</si>
  <si>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</si>
  <si>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</si>
  <si>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</si>
  <si>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</si>
  <si>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</si>
  <si>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</si>
  <si>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</si>
  <si>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</si>
  <si>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</si>
  <si>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</si>
  <si>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</si>
  <si>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</si>
  <si>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</si>
  <si>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</si>
  <si>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</si>
  <si>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</si>
  <si>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</si>
  <si>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</si>
  <si>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</si>
  <si>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</si>
  <si>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</si>
  <si>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</si>
  <si>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</si>
  <si>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</si>
  <si>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</si>
  <si>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</si>
  <si>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</si>
  <si>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</si>
  <si>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</si>
  <si>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</si>
  <si>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</si>
  <si>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</si>
  <si>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</si>
  <si>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</si>
  <si>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</si>
  <si>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</si>
  <si>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</si>
  <si>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</si>
  <si>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</si>
  <si>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</si>
  <si>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</si>
  <si>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</si>
  <si>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</si>
  <si>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</si>
  <si>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</si>
  <si>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</si>
  <si>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</si>
  <si>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</si>
  <si>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</si>
  <si>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</si>
  <si>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</si>
  <si>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</si>
  <si>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</si>
  <si>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</si>
  <si>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</si>
  <si>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</si>
  <si>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</si>
  <si>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</si>
  <si>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</si>
  <si>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</si>
  <si>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</si>
  <si>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</si>
  <si>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</si>
  <si>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</si>
  <si>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</si>
  <si>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</si>
  <si>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</si>
  <si>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</si>
  <si>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</si>
  <si>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</si>
  <si>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</si>
  <si>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</si>
  <si>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</si>
  <si>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</si>
  <si>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</si>
  <si>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</si>
  <si>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</si>
  <si>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</si>
  <si>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</si>
  <si>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</si>
  <si>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</si>
  <si>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</si>
  <si>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</si>
  <si>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</si>
  <si>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</si>
  <si>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</si>
  <si>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</si>
  <si>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</si>
  <si>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</si>
  <si>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</si>
  <si>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</si>
  <si>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</si>
  <si>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</si>
  <si>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</si>
  <si>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</si>
  <si>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</si>
  <si>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</si>
  <si>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</si>
  <si>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</si>
  <si>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</si>
  <si>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</si>
  <si>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</si>
  <si>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</si>
  <si>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</si>
  <si>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</si>
  <si>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</si>
  <si>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</si>
  <si>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</si>
  <si>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</si>
  <si>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</si>
  <si>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</si>
  <si>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</si>
  <si>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</si>
  <si>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</si>
  <si>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</si>
  <si>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</si>
  <si>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</si>
  <si>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MUST HAVE WATERPROOF SEALS</t>
  </si>
  <si>
    <t>PERF</t>
  </si>
  <si>
    <t>ANTI BLOCK</t>
  </si>
  <si>
    <t>%</t>
  </si>
  <si>
    <t>ANTISTATIC</t>
  </si>
  <si>
    <t xml:space="preserve">ROB BEN </t>
  </si>
  <si>
    <t>"KANIMBLA CHARTERS - TROUT"</t>
  </si>
  <si>
    <t>KANIMBLA - TROUT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</si>
</sst>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PB260310350ASP</v>
      </c>
      <c r="C1" s="111"/>
      <c r="D1" s="112"/>
      <c r="E1" s="11" t="s">
        <v>57</v>
      </c>
      <c r="F1" s="87" t="s">
        <v>200</v>
      </c>
      <c r="G1" s="87"/>
      <c r="H1" s="88"/>
      <c r="I1" s="12" t="s">
        <v>181</v>
      </c>
      <c r="J1" s="84">
        <f ca="1">TODAY()</f>
        <v>45994</v>
      </c>
      <c r="K1" s="84"/>
      <c r="L1" s="85"/>
      <c r="M1" s="29"/>
      <c r="N1" s="11" t="s">
        <v>56</v>
      </c>
      <c r="O1" s="111" t="str">
        <f>B1</f>
        <v>PB260310350ASP</v>
      </c>
      <c r="P1" s="111"/>
      <c r="Q1" s="112"/>
      <c r="R1" s="11" t="s">
        <v>57</v>
      </c>
      <c r="S1" s="111" t="str">
        <f>F1</f>
        <v xml:space="preserve">ROB BEN </v>
      </c>
      <c r="T1" s="111"/>
      <c r="U1" s="112"/>
      <c r="V1" s="11" t="s">
        <v>181</v>
      </c>
      <c r="W1" s="84">
        <f ca="1">J1</f>
        <v>45994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KANIMBLA - TROUT</v>
      </c>
      <c r="C2" s="111"/>
      <c r="D2" s="112"/>
      <c r="E2" s="11" t="s">
        <v>58</v>
      </c>
      <c r="F2" s="87">
        <v>950275</v>
      </c>
      <c r="G2" s="87"/>
      <c r="H2" s="88"/>
      <c r="I2" s="11" t="s">
        <v>59</v>
      </c>
      <c r="J2" s="86">
        <v>45875</v>
      </c>
      <c r="K2" s="87"/>
      <c r="L2" s="88"/>
      <c r="M2" s="29"/>
      <c r="N2" s="11" t="s">
        <v>100</v>
      </c>
      <c r="O2" s="111" t="str">
        <f>IF(B2="","",B2)</f>
        <v>KANIMBLA - TROUT</v>
      </c>
      <c r="P2" s="111"/>
      <c r="Q2" s="112"/>
      <c r="R2" s="11" t="s">
        <v>58</v>
      </c>
      <c r="S2" s="111">
        <f>IF(F2="","",F2)</f>
        <v>950275</v>
      </c>
      <c r="T2" s="111"/>
      <c r="U2" s="112"/>
      <c r="V2" s="11" t="s">
        <v>59</v>
      </c>
      <c r="W2" s="122">
        <f>J2</f>
        <v>45875</v>
      </c>
      <c r="X2" s="111"/>
      <c r="Y2" s="112"/>
    </row>
    <row r="3" spans="1:25" ht="20.100000000000001" customHeight="1" x14ac:dyDescent="0.25">
      <c r="A3" s="113" t="s">
        <v>195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HAVE WATERPROOF SEALS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29"/>
      <c r="N6" s="110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12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12000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91">
        <f>R9</f>
        <v>260</v>
      </c>
      <c r="C8" s="92"/>
      <c r="D8" s="27" t="str">
        <f>IF(ISNUMBER(SEARCH("bag",O8,1)),"Gusset","Centrefold")</f>
        <v>Gusset</v>
      </c>
      <c r="E8" s="91" t="str">
        <f>IF(O8="Centrefold Roll",B8*2,IF(X9="","None",X9))</f>
        <v>None</v>
      </c>
      <c r="F8" s="92"/>
      <c r="G8" s="13" t="s">
        <v>52</v>
      </c>
      <c r="H8" s="91">
        <f>(IF(V9&lt;30,"30",V9))</f>
        <v>35</v>
      </c>
      <c r="I8" s="92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89" t="s">
        <v>194</v>
      </c>
      <c r="C9" s="9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89" t="s">
        <v>194</v>
      </c>
      <c r="I9" s="90"/>
      <c r="J9" s="11" t="s">
        <v>55</v>
      </c>
      <c r="K9" s="87" t="s">
        <v>30</v>
      </c>
      <c r="L9" s="88"/>
      <c r="M9" s="29"/>
      <c r="N9" s="17"/>
      <c r="O9" s="129" t="str">
        <f>IF(O8="Poly Bag","PB",IF(O8="Poly Bag Roll","PBR",IF(O8="Centrefold Roll","CFR",IF(O8="Sheet","S",IF(O8="Sheet Roll","SR")))))</f>
        <v>PB</v>
      </c>
      <c r="P9" s="130"/>
      <c r="Q9" s="17"/>
      <c r="R9" s="30">
        <v>260</v>
      </c>
      <c r="S9" s="18" t="s">
        <v>78</v>
      </c>
      <c r="T9" s="30">
        <v>310</v>
      </c>
      <c r="U9" s="18" t="s">
        <v>78</v>
      </c>
      <c r="V9" s="30">
        <v>35</v>
      </c>
      <c r="W9" s="17"/>
      <c r="X9" s="138"/>
      <c r="Y9" s="139"/>
    </row>
    <row r="10" spans="1:25" ht="20.100000000000001" customHeight="1" x14ac:dyDescent="0.25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67.703999999999994</v>
      </c>
      <c r="F10" s="102"/>
      <c r="G10" s="11" t="s">
        <v>53</v>
      </c>
      <c r="H10" s="105">
        <f>IF(ISNUMBER(SEARCH("sheet",O8,1)),(U7*T9/2000*1.08),(U7*T9/1000*1.08))</f>
        <v>4017.6000000000004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Yes</v>
      </c>
      <c r="S10" s="123"/>
      <c r="T10" s="14" t="s">
        <v>100</v>
      </c>
      <c r="U10" s="132" t="s">
        <v>202</v>
      </c>
      <c r="V10" s="132"/>
      <c r="W10" s="132"/>
      <c r="X10" s="132"/>
      <c r="Y10" s="133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16.925999999999998</v>
      </c>
      <c r="F11" s="104"/>
      <c r="G11" s="11" t="s">
        <v>15</v>
      </c>
      <c r="H11" s="103">
        <f>H10/B10</f>
        <v>1004.4000000000001</v>
      </c>
      <c r="I11" s="104"/>
      <c r="J11" s="11" t="s">
        <v>50</v>
      </c>
      <c r="K11" s="87" t="s">
        <v>64</v>
      </c>
      <c r="L11" s="88"/>
      <c r="M11" s="29"/>
      <c r="N11" s="13"/>
      <c r="O11" s="91" t="str">
        <f>IF(O10="NONE","","V")</f>
        <v/>
      </c>
      <c r="P11" s="92"/>
      <c r="Q11" s="13"/>
      <c r="R11" s="91" t="str">
        <f>IF(R10="None","","P")</f>
        <v>P</v>
      </c>
      <c r="S11" s="92"/>
      <c r="T11" s="13"/>
      <c r="U11" s="134"/>
      <c r="V11" s="134"/>
      <c r="W11" s="134"/>
      <c r="X11" s="134"/>
      <c r="Y11" s="135"/>
    </row>
    <row r="12" spans="1:25" ht="20.100000000000001" customHeight="1" x14ac:dyDescent="0.2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29"/>
      <c r="N12" s="131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11" t="s">
        <v>68</v>
      </c>
      <c r="B13" s="87" t="s">
        <v>70</v>
      </c>
      <c r="C13" s="87"/>
      <c r="D13" s="88"/>
      <c r="E13" s="19" t="s">
        <v>61</v>
      </c>
      <c r="F13" s="89" t="s">
        <v>66</v>
      </c>
      <c r="G13" s="89"/>
      <c r="H13" s="90"/>
      <c r="I13" s="11" t="s">
        <v>62</v>
      </c>
      <c r="J13" s="87" t="s">
        <v>177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12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27" t="s">
        <v>201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8"/>
      <c r="M14" s="29"/>
      <c r="N14" s="131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110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168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1"/>
      <c r="Y16" s="142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1"/>
      <c r="Y17" s="142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1"/>
      <c r="Y18" s="142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197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 t="s">
        <v>198</v>
      </c>
      <c r="F23" s="83"/>
      <c r="G23" s="48" t="s">
        <v>87</v>
      </c>
      <c r="H23" s="32"/>
      <c r="I23" s="82"/>
      <c r="J23" s="83"/>
      <c r="K23" s="82"/>
      <c r="L23" s="83"/>
      <c r="M23" s="29"/>
      <c r="N23" s="131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80" t="s">
        <v>199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82" t="s">
        <v>198</v>
      </c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29"/>
      <c r="N25" s="22" t="s">
        <v>96</v>
      </c>
      <c r="O25" s="10" t="s">
        <v>196</v>
      </c>
      <c r="P25" s="34"/>
      <c r="Q25" s="10">
        <v>32</v>
      </c>
      <c r="R25" s="10">
        <v>6</v>
      </c>
      <c r="S25" s="10"/>
      <c r="T25" s="10">
        <v>6</v>
      </c>
      <c r="U25" s="10"/>
      <c r="V25" s="10"/>
      <c r="W25" s="10">
        <v>125</v>
      </c>
      <c r="X25" s="10">
        <v>125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0" t="s">
        <v>132</v>
      </c>
      <c r="H26" s="140"/>
      <c r="I26" s="140" t="s">
        <v>131</v>
      </c>
      <c r="J26" s="140"/>
      <c r="K26" s="24" t="s">
        <v>94</v>
      </c>
      <c r="L26" s="24" t="s">
        <v>95</v>
      </c>
      <c r="M26" s="29"/>
      <c r="N26" s="110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3" t="s">
        <v>99</v>
      </c>
      <c r="B29" s="94"/>
      <c r="C29" s="94"/>
      <c r="D29" s="94"/>
      <c r="E29" s="94"/>
      <c r="F29" s="136"/>
      <c r="G29" s="136"/>
      <c r="H29" s="136"/>
      <c r="I29" s="136"/>
      <c r="J29" s="136"/>
      <c r="K29" s="94"/>
      <c r="L29" s="13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46025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46015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DB58E73-8775-439B-AEE7-C5A07646764A}"/>
</file>

<file path=customXml/itemProps2.xml><?xml version="1.0" encoding="utf-8"?>
<ds:datastoreItem xmlns:ds="http://schemas.openxmlformats.org/officeDocument/2006/customXml" ds:itemID="{3CB6582C-2766-49C1-BE61-BA06039D9A6E}"/>
</file>

<file path=customXml/itemProps3.xml><?xml version="1.0" encoding="utf-8"?>
<ds:datastoreItem xmlns:ds="http://schemas.openxmlformats.org/officeDocument/2006/customXml" ds:itemID="{9FA9284A-77E2-41B6-B594-2EBC65B54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2025-07-16T00:47:56Z</cp:lastPrinted>
  <dcterms:created xsi:type="dcterms:W3CDTF">2019-11-27T23:28:06Z</dcterms:created>
  <dcterms:modified xsi:type="dcterms:W3CDTF">2025-12-02T21:53:33Z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