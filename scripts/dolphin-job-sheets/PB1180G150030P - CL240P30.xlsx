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053CB60-ABC2-48C4-8E97-270C80826908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<sst xmlns="http://schemas.openxmlformats.org/spreadsheetml/2006/main" count="307" uniqueCount="203">
  <si>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</si>
  <si>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</si>
  <si>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</si>
  <si>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</si>
  <si>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</si>
  <si>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</si>
  <si>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</si>
  <si>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</si>
  <si>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</si>
  <si>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</si>
  <si>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</si>
  <si>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</si>
  <si>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</si>
  <si>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</si>
  <si>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</si>
  <si>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</si>
  <si>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</si>
  <si>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</si>
  <si>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</si>
  <si>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</si>
  <si>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</si>
  <si>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</si>
  <si>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</si>
  <si>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</si>
  <si>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</si>
  <si>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</si>
  <si>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</si>
  <si>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</si>
  <si>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</si>
  <si>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</si>
  <si>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</si>
  <si>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</si>
  <si>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</si>
  <si>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</si>
  <si>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</si>
  <si>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</si>
  <si>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</si>
  <si>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</si>
  <si>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</si>
  <si>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</si>
  <si>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</si>
  <si>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</si>
  <si>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</si>
  <si>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</si>
  <si>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</si>
  <si>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</si>
  <si>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</si>
  <si>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</si>
  <si>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</si>
  <si>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</si>
  <si>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</si>
  <si>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</si>
  <si>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</si>
  <si>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</si>
  <si>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</si>
  <si>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</si>
  <si>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</si>
  <si>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</si>
  <si>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</si>
  <si>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</si>
  <si>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</si>
  <si>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</si>
  <si>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</si>
  <si>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</si>
  <si>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</si>
  <si>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</si>
  <si>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</si>
  <si>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</si>
  <si>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</si>
  <si>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</si>
  <si>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</si>
  <si>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</si>
  <si>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</si>
  <si>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</si>
  <si>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</si>
  <si>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</si>
  <si>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</si>
  <si>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</si>
  <si>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</si>
  <si>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</si>
  <si>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</si>
  <si>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</si>
  <si>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</si>
  <si>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</si>
  <si>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</si>
  <si>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</si>
  <si>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</si>
  <si>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</si>
  <si>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</si>
  <si>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</si>
  <si>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</si>
  <si>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</si>
  <si>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</si>
  <si>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</si>
  <si>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</si>
  <si>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</si>
  <si>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</si>
  <si>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</si>
  <si>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</si>
  <si>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</si>
  <si>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</si>
  <si>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</si>
  <si>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</si>
  <si>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</si>
  <si>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</si>
  <si>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</si>
  <si>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</si>
  <si>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</si>
  <si>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</si>
  <si>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</si>
  <si>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</si>
  <si>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</si>
  <si>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</si>
  <si>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</si>
  <si>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</si>
  <si>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</si>
  <si>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</si>
  <si>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</si>
  <si>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</si>
  <si>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</si>
  <si>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</si>
  <si>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</si>
  <si>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</si>
  <si>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</si>
  <si>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</si>
  <si>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</si>
  <si>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</si>
  <si>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</si>
  <si>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</si>
  <si>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</si>
  <si>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</si>
  <si>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</si>
  <si>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</si>
  <si>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</si>
  <si>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</si>
  <si>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</si>
  <si>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</si>
  <si>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</si>
  <si>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</si>
  <si>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</si>
  <si>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</si>
  <si>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</si>
  <si>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</si>
  <si>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</si>
  <si>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</si>
  <si>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</si>
  <si>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</si>
  <si>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</si>
  <si>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</si>
  <si>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</si>
  <si>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</si>
  <si>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</si>
  <si>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</si>
  <si>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</si>
  <si>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</si>
  <si>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</si>
  <si>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</si>
  <si>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</si>
  <si>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</si>
  <si>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</si>
  <si>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</si>
  <si>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</si>
  <si>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</si>
  <si>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</si>
  <si>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</si>
  <si>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</si>
  <si>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</si>
  <si>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</si>
  <si>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</si>
  <si>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</si>
  <si>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</si>
  <si>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</si>
  <si>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</si>
  <si>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</si>
  <si>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</si>
  <si>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</si>
  <si>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</si>
  <si>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</si>
  <si>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</si>
  <si>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</si>
  <si>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</si>
  <si>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</si>
  <si>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</si>
  <si>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</si>
  <si>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</si>
  <si>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</si>
  <si>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</si>
  <si>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</si>
  <si>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</si>
  <si>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</si>
  <si>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</si>
  <si>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</si>
  <si>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</si>
  <si>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</si>
  <si>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(750+430)</t>
  </si>
  <si>
    <t>CL240P30</t>
  </si>
  <si>
    <t>RUN AT 30um</t>
  </si>
  <si>
    <t>"GENERAL WASTE"</t>
  </si>
  <si>
    <t xml:space="preserve"> +/- 10mm</t>
  </si>
  <si>
    <t xml:space="preserve">QLD HEALTH </t>
  </si>
  <si>
    <t>LIMAX</t>
  </si>
  <si>
    <t>ANTIBLOCK</t>
  </si>
  <si>
    <t>ANTISTASTIC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</si>
</sst>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PB1180G15003000P</v>
      </c>
      <c r="C1" s="110"/>
      <c r="D1" s="111"/>
      <c r="E1" s="11" t="s">
        <v>57</v>
      </c>
      <c r="F1" s="62" t="s">
        <v>199</v>
      </c>
      <c r="G1" s="62"/>
      <c r="H1" s="63"/>
      <c r="I1" s="12" t="s">
        <v>181</v>
      </c>
      <c r="J1" s="121">
        <f ca="1">TODAY()</f>
        <v>45324</v>
      </c>
      <c r="K1" s="121"/>
      <c r="L1" s="122"/>
      <c r="M1" s="29"/>
      <c r="N1" s="11" t="s">
        <v>56</v>
      </c>
      <c r="O1" s="110" t="str">
        <f>B1</f>
        <v>PB1180G15003000P</v>
      </c>
      <c r="P1" s="110"/>
      <c r="Q1" s="111"/>
      <c r="R1" s="11" t="s">
        <v>57</v>
      </c>
      <c r="S1" s="110" t="str">
        <f>F1</f>
        <v xml:space="preserve">QLD HEALTH </v>
      </c>
      <c r="T1" s="110"/>
      <c r="U1" s="111"/>
      <c r="V1" s="11" t="s">
        <v>181</v>
      </c>
      <c r="W1" s="121">
        <f ca="1">J1</f>
        <v>45324</v>
      </c>
      <c r="X1" s="121"/>
      <c r="Y1" s="122"/>
    </row>
    <row r="2" spans="1:25" ht="20.149999999999999" customHeight="1" x14ac:dyDescent="0.8">
      <c r="A2" s="11" t="s">
        <v>100</v>
      </c>
      <c r="B2" s="110" t="str">
        <f>IF(U10="","",U10)</f>
        <v>CL240P30</v>
      </c>
      <c r="C2" s="110"/>
      <c r="D2" s="111"/>
      <c r="E2" s="11" t="s">
        <v>58</v>
      </c>
      <c r="F2" s="62">
        <v>57846</v>
      </c>
      <c r="G2" s="62"/>
      <c r="H2" s="63"/>
      <c r="I2" s="11" t="s">
        <v>59</v>
      </c>
      <c r="J2" s="124">
        <v>45345</v>
      </c>
      <c r="K2" s="62"/>
      <c r="L2" s="63"/>
      <c r="M2" s="29"/>
      <c r="N2" s="11" t="s">
        <v>100</v>
      </c>
      <c r="O2" s="110" t="str">
        <f>IF(B2="","",B2)</f>
        <v>CL240P30</v>
      </c>
      <c r="P2" s="110"/>
      <c r="Q2" s="111"/>
      <c r="R2" s="11" t="s">
        <v>58</v>
      </c>
      <c r="S2" s="110">
        <f>IF(F2="","",F2)</f>
        <v>57846</v>
      </c>
      <c r="T2" s="110"/>
      <c r="U2" s="111"/>
      <c r="V2" s="11" t="s">
        <v>59</v>
      </c>
      <c r="W2" s="123">
        <f>J2</f>
        <v>45345</v>
      </c>
      <c r="X2" s="110"/>
      <c r="Y2" s="111"/>
    </row>
    <row r="3" spans="1:25" ht="20.149999999999999" customHeight="1" x14ac:dyDescent="0.7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150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10">
        <f>R7*O7</f>
        <v>15000</v>
      </c>
      <c r="V7" s="111"/>
      <c r="W7" s="11" t="s">
        <v>102</v>
      </c>
      <c r="X7" s="62" t="s">
        <v>31</v>
      </c>
      <c r="Y7" s="63"/>
    </row>
    <row r="8" spans="1:25" ht="20.149999999999999" customHeight="1" x14ac:dyDescent="0.8">
      <c r="A8" s="13" t="s">
        <v>16</v>
      </c>
      <c r="B8" s="98">
        <f>R9</f>
        <v>1180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(750+430)</v>
      </c>
      <c r="F8" s="99"/>
      <c r="G8" s="13" t="s">
        <v>52</v>
      </c>
      <c r="H8" s="98">
        <f>(IF(V9&lt;30,"30",V9))</f>
        <v>30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49999999999999" customHeight="1" x14ac:dyDescent="0.9">
      <c r="A9" s="16" t="s">
        <v>48</v>
      </c>
      <c r="B9" s="127" t="s">
        <v>198</v>
      </c>
      <c r="C9" s="128"/>
      <c r="D9" s="135" t="str">
        <f>IF(K10="Middle","RUN 2 UP",IF(AND(O8="Centrefold Roll",B8=380),"RUN 2 UP",""))</f>
        <v/>
      </c>
      <c r="E9" s="102"/>
      <c r="F9" s="103"/>
      <c r="G9" s="16" t="s">
        <v>48</v>
      </c>
      <c r="H9" s="127" t="s">
        <v>196</v>
      </c>
      <c r="I9" s="128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1180</v>
      </c>
      <c r="S9" s="18" t="s">
        <v>78</v>
      </c>
      <c r="T9" s="30">
        <v>1500</v>
      </c>
      <c r="U9" s="18" t="s">
        <v>78</v>
      </c>
      <c r="V9" s="30">
        <v>30</v>
      </c>
      <c r="W9" s="17"/>
      <c r="X9" s="88" t="s">
        <v>194</v>
      </c>
      <c r="Y9" s="89"/>
    </row>
    <row r="10" spans="1:25" ht="20.149999999999999" customHeight="1" x14ac:dyDescent="0.8">
      <c r="A10" s="11" t="s">
        <v>51</v>
      </c>
      <c r="B10" s="62">
        <v>38</v>
      </c>
      <c r="C10" s="63"/>
      <c r="D10" s="47" t="s">
        <v>134</v>
      </c>
      <c r="E10" s="129">
        <f>IF(ISNUMBER(SEARCH("sheet",O8,1)),((R9*T9*H8/540000)*U7/2000*1.3),((R9*T9*H8/540000)*U7/1000*1.08))</f>
        <v>1593</v>
      </c>
      <c r="F10" s="130"/>
      <c r="G10" s="11" t="s">
        <v>53</v>
      </c>
      <c r="H10" s="133">
        <f>IF(ISNUMBER(SEARCH("sheet",O8,1)),(U7*T9/2000*1.08),(U7*T9/1000*1.08))</f>
        <v>24300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Yes</v>
      </c>
      <c r="S10" s="96"/>
      <c r="T10" s="14" t="s">
        <v>100</v>
      </c>
      <c r="U10" s="106" t="s">
        <v>195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/>
      <c r="C11" s="111"/>
      <c r="D11" s="11" t="s">
        <v>135</v>
      </c>
      <c r="E11" s="131">
        <f>E10/B10</f>
        <v>41.921052631578945</v>
      </c>
      <c r="F11" s="132"/>
      <c r="G11" s="11" t="s">
        <v>15</v>
      </c>
      <c r="H11" s="131">
        <f>H10/B10</f>
        <v>639.47368421052636</v>
      </c>
      <c r="I11" s="132"/>
      <c r="J11" s="11" t="s">
        <v>50</v>
      </c>
      <c r="K11" s="62" t="s">
        <v>65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>P</v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150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13</v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 t="s">
        <v>197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9" t="s">
        <v>4</v>
      </c>
      <c r="F16" s="139"/>
      <c r="G16" s="139" t="s">
        <v>5</v>
      </c>
      <c r="H16" s="13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150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0" t="s">
        <v>201</v>
      </c>
      <c r="B23" s="140"/>
      <c r="C23" s="94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5"/>
      <c r="E23" s="90">
        <v>0.02</v>
      </c>
      <c r="F23" s="91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1" t="s">
        <v>202</v>
      </c>
      <c r="B24" s="142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90">
        <v>0.01</v>
      </c>
      <c r="F24" s="91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200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6" t="s">
        <v>136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45353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45345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515D4FC-401D-4B10-BBBE-9FFC2DC86238}"/>
</file>

<file path=customXml/itemProps2.xml><?xml version="1.0" encoding="utf-8"?>
<ds:datastoreItem xmlns:ds="http://schemas.openxmlformats.org/officeDocument/2006/customXml" ds:itemID="{A93D8BC1-F2FC-4B72-8AFC-BADE707BB2B9}"/>
</file>

<file path=customXml/itemProps3.xml><?xml version="1.0" encoding="utf-8"?>
<ds:datastoreItem xmlns:ds="http://schemas.openxmlformats.org/officeDocument/2006/customXml" ds:itemID="{8087502E-C095-4237-9179-722F5EAFB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2024-02-02T00:26:33Z</cp:lastPrinted>
  <dcterms:created xsi:type="dcterms:W3CDTF">2019-11-27T23:28:06Z</dcterms:created>
  <dcterms:modified xsi:type="dcterms:W3CDTF">2024-02-05T00:22:57Z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