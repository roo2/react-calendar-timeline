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B0D6FF2-DFC9-4D64-916A-3D15D3C9F7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<sst xmlns="http://schemas.openxmlformats.org/spreadsheetml/2006/main" count="304" uniqueCount="199">
  <si>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</si>
  <si>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</si>
  <si>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</si>
  <si>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</si>
  <si>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</si>
  <si>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</si>
  <si>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</si>
  <si>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</si>
  <si>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</si>
  <si>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</si>
  <si>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</si>
  <si>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</si>
  <si>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</si>
  <si>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</si>
  <si>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</si>
  <si>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</si>
  <si>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</si>
  <si>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</si>
  <si>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</si>
  <si>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</si>
  <si>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</si>
  <si>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</si>
  <si>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</si>
  <si>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</si>
  <si>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</si>
  <si>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</si>
  <si>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</si>
  <si>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</si>
  <si>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</si>
  <si>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</si>
  <si>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</si>
  <si>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</si>
  <si>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</si>
  <si>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</si>
  <si>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</si>
  <si>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</si>
  <si>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</si>
  <si>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</si>
  <si>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</si>
  <si>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</si>
  <si>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</si>
  <si>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</si>
  <si>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</si>
  <si>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</si>
  <si>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</si>
  <si>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</si>
  <si>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</si>
  <si>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</si>
  <si>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</si>
  <si>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</si>
  <si>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</si>
  <si>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</si>
  <si>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</si>
  <si>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</si>
  <si>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</si>
  <si>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</si>
  <si>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</si>
  <si>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</si>
  <si>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</si>
  <si>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</si>
  <si>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</si>
  <si>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</si>
  <si>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</si>
  <si>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</si>
  <si>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</si>
  <si>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</si>
  <si>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</si>
  <si>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</si>
  <si>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</si>
  <si>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</si>
  <si>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</si>
  <si>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</si>
  <si>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</si>
  <si>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</si>
  <si>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</si>
  <si>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</si>
  <si>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</si>
  <si>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</si>
  <si>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</si>
  <si>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</si>
  <si>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</si>
  <si>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</si>
  <si>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</si>
  <si>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</si>
  <si>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</si>
  <si>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</si>
  <si>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</si>
  <si>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</si>
  <si>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</si>
  <si>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</si>
  <si>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</si>
  <si>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</si>
  <si>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</si>
  <si>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</si>
  <si>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</si>
  <si>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</si>
  <si>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</si>
  <si>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</si>
  <si>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</si>
  <si>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</si>
  <si>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</si>
  <si>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</si>
  <si>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</si>
  <si>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</si>
  <si>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</si>
  <si>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</si>
  <si>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</si>
  <si>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</si>
  <si>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</si>
  <si>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</si>
  <si>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</si>
  <si>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</si>
  <si>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</si>
  <si>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</si>
  <si>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</si>
  <si>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</si>
  <si>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</si>
  <si>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</si>
  <si>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</si>
  <si>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</si>
  <si>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</si>
  <si>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</si>
  <si>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</si>
  <si>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</si>
  <si>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</si>
  <si>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</si>
  <si>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</si>
  <si>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</si>
  <si>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</si>
  <si>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</si>
  <si>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</si>
  <si>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</si>
  <si>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</si>
  <si>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</si>
  <si>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</si>
  <si>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</si>
  <si>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</si>
  <si>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</si>
  <si>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</si>
  <si>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</si>
  <si>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</si>
  <si>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</si>
  <si>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</si>
  <si>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</si>
  <si>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</si>
  <si>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</si>
  <si>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</si>
  <si>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</si>
  <si>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</si>
  <si>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</si>
  <si>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</si>
  <si>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</si>
  <si>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</si>
  <si>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</si>
  <si>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</si>
  <si>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</si>
  <si>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</si>
  <si>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</si>
  <si>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</si>
  <si>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</si>
  <si>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</si>
  <si>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</si>
  <si>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</si>
  <si>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</si>
  <si>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</si>
  <si>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</si>
  <si>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</si>
  <si>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</si>
  <si>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</si>
  <si>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</si>
  <si>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</si>
  <si>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</si>
  <si>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</si>
  <si>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</si>
  <si>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</si>
  <si>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</si>
  <si>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</si>
  <si>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</si>
  <si>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</si>
  <si>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</si>
  <si>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</si>
  <si>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</si>
  <si>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</si>
  <si>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</si>
  <si>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</si>
  <si>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</si>
  <si>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</si>
  <si>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</si>
  <si>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</si>
  <si>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</si>
  <si>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</si>
  <si>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</si>
  <si>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</si>
  <si>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</si>
  <si>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</si>
  <si>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</si>
  <si>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+0mm/-5mm</t>
  </si>
  <si>
    <t>ULTRA CORAL AUSTRALIA</t>
  </si>
  <si>
    <t>#6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</si>
</sst>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PB196190150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44146</v>
      </c>
      <c r="K1" s="136"/>
      <c r="L1" s="137"/>
      <c r="M1" s="34"/>
      <c r="N1" s="12" t="s">
        <v>56</v>
      </c>
      <c r="O1" s="123" t="str">
        <f>B1</f>
        <v>PB196190150</v>
      </c>
      <c r="P1" s="123"/>
      <c r="Q1" s="124"/>
      <c r="R1" s="12" t="s">
        <v>57</v>
      </c>
      <c r="S1" s="123" t="str">
        <f>F1</f>
        <v>ULTRA CORAL AUSTRALIA</v>
      </c>
      <c r="T1" s="123"/>
      <c r="U1" s="124"/>
      <c r="V1" s="12" t="s">
        <v>181</v>
      </c>
      <c r="W1" s="136">
        <f ca="1">J1</f>
        <v>44146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#6 POUCH</v>
      </c>
      <c r="C2" s="123"/>
      <c r="D2" s="124"/>
      <c r="E2" s="12" t="s">
        <v>58</v>
      </c>
      <c r="F2" s="73">
        <v>938889</v>
      </c>
      <c r="G2" s="73"/>
      <c r="H2" s="74"/>
      <c r="I2" s="12" t="s">
        <v>59</v>
      </c>
      <c r="J2" s="139">
        <v>44172</v>
      </c>
      <c r="K2" s="73"/>
      <c r="L2" s="74"/>
      <c r="M2" s="34"/>
      <c r="N2" s="12" t="s">
        <v>100</v>
      </c>
      <c r="O2" s="123" t="str">
        <f>IF(B2="","",B2)</f>
        <v>#6 POUCH</v>
      </c>
      <c r="P2" s="123"/>
      <c r="Q2" s="124"/>
      <c r="R2" s="12" t="s">
        <v>58</v>
      </c>
      <c r="S2" s="123">
        <f>IF(F2="","",F2)</f>
        <v>938889</v>
      </c>
      <c r="T2" s="123"/>
      <c r="U2" s="124"/>
      <c r="V2" s="12" t="s">
        <v>59</v>
      </c>
      <c r="W2" s="138">
        <f>J2</f>
        <v>44172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WITHIN TOLERANCE - MUST HAVE WATER TIGHT SEALS - PLEASE CHECK SEALS FREQUENTLY.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5000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196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196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196</v>
      </c>
      <c r="S9" s="20" t="s">
        <v>78</v>
      </c>
      <c r="T9" s="35">
        <v>190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55.860000000000014</v>
      </c>
      <c r="F10" s="146"/>
      <c r="G10" s="12" t="s">
        <v>53</v>
      </c>
      <c r="H10" s="149">
        <f>IF(ISNUMBER(SEARCH("sheet",O8,1)),(U7*T9/2000*1.08),(U7*T9/1000*1.08))</f>
        <v>1026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11.172000000000002</v>
      </c>
      <c r="F11" s="148"/>
      <c r="G11" s="12" t="s">
        <v>15</v>
      </c>
      <c r="H11" s="147">
        <f>H10/B10</f>
        <v>205.2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44176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3662511-6D01-4EE1-94B6-01F121241138}"/>
</file>

<file path=customXml/itemProps2.xml><?xml version="1.0" encoding="utf-8"?>
<ds:datastoreItem xmlns:ds="http://schemas.openxmlformats.org/officeDocument/2006/customXml" ds:itemID="{7B6815C5-84F2-4581-A3ED-D48E7E64C80B}"/>
</file>

<file path=customXml/itemProps3.xml><?xml version="1.0" encoding="utf-8"?>
<ds:datastoreItem xmlns:ds="http://schemas.openxmlformats.org/officeDocument/2006/customXml" ds:itemID="{5A2D7818-A845-4A8F-8473-D1704BA7E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2020-11-11T03:31:31Z</cp:lastPrinted>
  <dcterms:created xsi:type="dcterms:W3CDTF">2019-11-27T23:28:06Z</dcterms:created>
  <dcterms:modified xsi:type="dcterms:W3CDTF">2020-11-11T03:31:58Z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