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AE8EC00-1FE8-46B5-AD5D-CD68C363F98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<sst xmlns="http://schemas.openxmlformats.org/spreadsheetml/2006/main" count="304" uniqueCount="199">
  <si>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</si>
  <si>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</si>
  <si>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</si>
  <si>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</si>
  <si>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</si>
  <si>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</si>
  <si>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</si>
  <si>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</si>
  <si>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</si>
  <si>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</si>
  <si>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</si>
  <si>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</si>
  <si>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</si>
  <si>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</si>
  <si>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</si>
  <si>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</si>
  <si>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</si>
  <si>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</si>
  <si>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</si>
  <si>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</si>
  <si>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</si>
  <si>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</si>
  <si>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</si>
  <si>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</si>
  <si>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</si>
  <si>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</si>
  <si>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</si>
  <si>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</si>
  <si>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</si>
  <si>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</si>
  <si>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</si>
  <si>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</si>
  <si>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</si>
  <si>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</si>
  <si>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</si>
  <si>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</si>
  <si>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</si>
  <si>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</si>
  <si>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</si>
  <si>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</si>
  <si>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</si>
  <si>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</si>
  <si>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</si>
  <si>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</si>
  <si>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</si>
  <si>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</si>
  <si>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</si>
  <si>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</si>
  <si>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</si>
  <si>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</si>
  <si>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</si>
  <si>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</si>
  <si>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</si>
  <si>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</si>
  <si>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</si>
  <si>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</si>
  <si>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</si>
  <si>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</si>
  <si>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</si>
  <si>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</si>
  <si>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</si>
  <si>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</si>
  <si>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</si>
  <si>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</si>
  <si>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</si>
  <si>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</si>
  <si>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</si>
  <si>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</si>
  <si>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</si>
  <si>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</si>
  <si>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</si>
  <si>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</si>
  <si>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</si>
  <si>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</si>
  <si>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</si>
  <si>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</si>
  <si>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</si>
  <si>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</si>
  <si>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</si>
  <si>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</si>
  <si>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</si>
  <si>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</si>
  <si>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</si>
  <si>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</si>
  <si>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</si>
  <si>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</si>
  <si>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</si>
  <si>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</si>
  <si>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</si>
  <si>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</si>
  <si>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</si>
  <si>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</si>
  <si>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</si>
  <si>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</si>
  <si>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</si>
  <si>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</si>
  <si>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</si>
  <si>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</si>
  <si>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</si>
  <si>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</si>
  <si>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</si>
  <si>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</si>
  <si>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</si>
  <si>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</si>
  <si>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</si>
  <si>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</si>
  <si>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</si>
  <si>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</si>
  <si>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</si>
  <si>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</si>
  <si>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</si>
  <si>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</si>
  <si>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</si>
  <si>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</si>
  <si>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</si>
  <si>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</si>
  <si>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</si>
  <si>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</si>
  <si>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</si>
  <si>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</si>
  <si>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</si>
  <si>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</si>
  <si>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</si>
  <si>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</si>
  <si>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</si>
  <si>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</si>
  <si>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</si>
  <si>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</si>
  <si>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</si>
  <si>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</si>
  <si>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</si>
  <si>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</si>
  <si>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</si>
  <si>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</si>
  <si>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</si>
  <si>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</si>
  <si>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</si>
  <si>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</si>
  <si>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</si>
  <si>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</si>
  <si>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</si>
  <si>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</si>
  <si>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</si>
  <si>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</si>
  <si>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</si>
  <si>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</si>
  <si>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</si>
  <si>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</si>
  <si>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</si>
  <si>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</si>
  <si>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</si>
  <si>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</si>
  <si>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</si>
  <si>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</si>
  <si>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</si>
  <si>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</si>
  <si>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</si>
  <si>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</si>
  <si>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</si>
  <si>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</si>
  <si>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</si>
  <si>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</si>
  <si>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</si>
  <si>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</si>
  <si>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</si>
  <si>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</si>
  <si>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</si>
  <si>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</si>
  <si>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</si>
  <si>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</si>
  <si>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</si>
  <si>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</si>
  <si>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</si>
  <si>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</si>
  <si>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</si>
  <si>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</si>
  <si>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</si>
  <si>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</si>
  <si>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</si>
  <si>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</si>
  <si>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</si>
  <si>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</si>
  <si>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</si>
  <si>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</si>
  <si>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</si>
  <si>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</si>
  <si>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</si>
  <si>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</si>
  <si>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</si>
  <si>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</si>
  <si>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</si>
  <si>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</si>
  <si>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</si>
  <si>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</si>
  <si>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</si>
  <si>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PA HOSPITAL (METRO SOUTH)</t>
  </si>
  <si>
    <t>NOT UNDER</t>
  </si>
  <si>
    <t>LIMAX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</si>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</sst>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8" fillId="0" borderId="2" xfId="0" applyNumberFormat="1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PB800110030GTAS</v>
      </c>
      <c r="C1" s="110"/>
      <c r="D1" s="111"/>
      <c r="E1" s="11" t="s">
        <v>57</v>
      </c>
      <c r="F1" s="121" t="s">
        <v>195</v>
      </c>
      <c r="G1" s="122"/>
      <c r="H1" s="123"/>
      <c r="I1" s="12" t="s">
        <v>181</v>
      </c>
      <c r="J1" s="124">
        <f ca="1">TODAY()</f>
        <v>44957</v>
      </c>
      <c r="K1" s="124"/>
      <c r="L1" s="125"/>
      <c r="M1" s="29"/>
      <c r="N1" s="11" t="s">
        <v>56</v>
      </c>
      <c r="O1" s="110" t="str">
        <f>B1</f>
        <v>PB800110030GTAS</v>
      </c>
      <c r="P1" s="110"/>
      <c r="Q1" s="111"/>
      <c r="R1" s="11" t="s">
        <v>57</v>
      </c>
      <c r="S1" s="110" t="str">
        <f>F1</f>
        <v>PA HOSPITAL (METRO SOUTH)</v>
      </c>
      <c r="T1" s="110"/>
      <c r="U1" s="111"/>
      <c r="V1" s="11" t="s">
        <v>181</v>
      </c>
      <c r="W1" s="124">
        <f ca="1">J1</f>
        <v>44957</v>
      </c>
      <c r="X1" s="124"/>
      <c r="Y1" s="125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945005</v>
      </c>
      <c r="G2" s="62"/>
      <c r="H2" s="63"/>
      <c r="I2" s="11" t="s">
        <v>59</v>
      </c>
      <c r="J2" s="127" t="s">
        <v>192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945005</v>
      </c>
      <c r="T2" s="110"/>
      <c r="U2" s="111"/>
      <c r="V2" s="11" t="s">
        <v>59</v>
      </c>
      <c r="W2" s="126" t="str">
        <f>J2</f>
        <v>ASAP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161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10">
        <f>R7*O7</f>
        <v>10000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800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90" t="s">
        <v>194</v>
      </c>
      <c r="C9" s="91"/>
      <c r="D9" s="136" t="str">
        <f>IF(K10="Middle","RUN 2 UP",IF(AND(O8="Centrefold Roll",B8=380),"RUN 2 UP",""))</f>
        <v/>
      </c>
      <c r="E9" s="102"/>
      <c r="F9" s="103"/>
      <c r="G9" s="16" t="s">
        <v>48</v>
      </c>
      <c r="H9" s="90" t="s">
        <v>196</v>
      </c>
      <c r="I9" s="91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800</v>
      </c>
      <c r="S9" s="18" t="s">
        <v>78</v>
      </c>
      <c r="T9" s="30">
        <v>1100</v>
      </c>
      <c r="U9" s="18" t="s">
        <v>78</v>
      </c>
      <c r="V9" s="30">
        <v>30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15</v>
      </c>
      <c r="C10" s="63"/>
      <c r="D10" s="47" t="s">
        <v>134</v>
      </c>
      <c r="E10" s="130">
        <f>IF(ISNUMBER(SEARCH("sheet",O8,1)),((R9*T9*H8/540000)*U7/2000*1.3),((R9*T9*H8/540000)*U7/1000*1.08))</f>
        <v>528</v>
      </c>
      <c r="F10" s="131"/>
      <c r="G10" s="11" t="s">
        <v>53</v>
      </c>
      <c r="H10" s="134">
        <f>IF(ISNUMBER(SEARCH("sheet",O8,1)),(U7*T9/2000*1.08),(U7*T9/1000*1.08))</f>
        <v>11880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2">
        <f>E10/B10</f>
        <v>35.200000000000003</v>
      </c>
      <c r="F11" s="133"/>
      <c r="G11" s="11" t="s">
        <v>15</v>
      </c>
      <c r="H11" s="132">
        <f>H10/B10</f>
        <v>792</v>
      </c>
      <c r="I11" s="13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90" t="s">
        <v>23</v>
      </c>
      <c r="V16" s="91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90" t="s">
        <v>23</v>
      </c>
      <c r="V17" s="91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GREEN TINT</v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GT</v>
      </c>
      <c r="D22" s="95"/>
      <c r="E22" s="59">
        <v>2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0" t="s">
        <v>198</v>
      </c>
      <c r="B23" s="15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59">
        <v>1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1"/>
      <c r="B24" s="15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0C8AF12-48BC-4501-980F-2C9285018E13}"/>
</file>

<file path=customXml/itemProps2.xml><?xml version="1.0" encoding="utf-8"?>
<ds:datastoreItem xmlns:ds="http://schemas.openxmlformats.org/officeDocument/2006/customXml" ds:itemID="{976A8E20-22A2-4560-83AD-942082D03D04}"/>
</file>

<file path=customXml/itemProps3.xml><?xml version="1.0" encoding="utf-8"?>
<ds:datastoreItem xmlns:ds="http://schemas.openxmlformats.org/officeDocument/2006/customXml" ds:itemID="{954F87F2-237A-41E9-B07C-BE1A7D1CA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2023-01-31T04:54:24Z</cp:lastPrinted>
  <dcterms:created xsi:type="dcterms:W3CDTF">2019-11-27T23:28:06Z</dcterms:created>
  <dcterms:modified xsi:type="dcterms:W3CDTF">2023-01-31T04:58:29Z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