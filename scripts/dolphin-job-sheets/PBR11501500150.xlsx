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4A68CBD-CB1B-4DB6-A01D-0DEAE17112C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<sst xmlns="http://schemas.openxmlformats.org/spreadsheetml/2006/main" count="303" uniqueCount="201">
  <si>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</si>
  <si>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</si>
  <si>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</si>
  <si>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</si>
  <si>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</si>
  <si>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</si>
  <si>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</si>
  <si>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</si>
  <si>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</si>
  <si>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</si>
  <si>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</si>
  <si>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</si>
  <si>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</si>
  <si>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</si>
  <si>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</si>
  <si>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</si>
  <si>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</si>
  <si>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</si>
  <si>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</si>
  <si>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</si>
  <si>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</si>
  <si>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</si>
  <si>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</si>
  <si>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</si>
  <si>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</si>
  <si>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</si>
  <si>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</si>
  <si>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</si>
  <si>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</si>
  <si>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</si>
  <si>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</si>
  <si>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</si>
  <si>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</si>
  <si>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</si>
  <si>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</si>
  <si>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</si>
  <si>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</si>
  <si>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</si>
  <si>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</si>
  <si>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</si>
  <si>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</si>
  <si>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</si>
  <si>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</si>
  <si>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</si>
  <si>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</si>
  <si>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</si>
  <si>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</si>
  <si>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</si>
  <si>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</si>
  <si>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</si>
  <si>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</si>
  <si>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</si>
  <si>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</si>
  <si>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</si>
  <si>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</si>
  <si>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</si>
  <si>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</si>
  <si>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</si>
  <si>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</si>
  <si>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</si>
  <si>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</si>
  <si>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</si>
  <si>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</si>
  <si>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</si>
  <si>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</si>
  <si>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</si>
  <si>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</si>
  <si>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</si>
  <si>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</si>
  <si>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</si>
  <si>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</si>
  <si>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</si>
  <si>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</si>
  <si>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</si>
  <si>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</si>
  <si>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</si>
  <si>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</si>
  <si>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</si>
  <si>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</si>
  <si>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</si>
  <si>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</si>
  <si>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</si>
  <si>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</si>
  <si>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</si>
  <si>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</si>
  <si>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</si>
  <si>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</si>
  <si>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</si>
  <si>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</si>
  <si>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</si>
  <si>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</si>
  <si>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</si>
  <si>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</si>
  <si>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</si>
  <si>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</si>
  <si>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</si>
  <si>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</si>
  <si>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</si>
  <si>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</si>
  <si>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</si>
  <si>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</si>
  <si>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</si>
  <si>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</si>
  <si>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</si>
  <si>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</si>
  <si>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</si>
  <si>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</si>
  <si>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</si>
  <si>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</si>
  <si>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</si>
  <si>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</si>
  <si>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</si>
  <si>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</si>
  <si>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</si>
  <si>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</si>
  <si>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</si>
  <si>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</si>
  <si>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</si>
  <si>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</si>
  <si>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</si>
  <si>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</si>
  <si>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</si>
  <si>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</si>
  <si>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</si>
  <si>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</si>
  <si>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</si>
  <si>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</si>
  <si>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</si>
  <si>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</si>
  <si>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</si>
  <si>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</si>
  <si>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</si>
  <si>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</si>
  <si>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</si>
  <si>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</si>
  <si>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</si>
  <si>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</si>
  <si>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</si>
  <si>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</si>
  <si>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</si>
  <si>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</si>
  <si>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</si>
  <si>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</si>
  <si>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</si>
  <si>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</si>
  <si>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</si>
  <si>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</si>
  <si>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</si>
  <si>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</si>
  <si>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</si>
  <si>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</si>
  <si>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</si>
  <si>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</si>
  <si>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</si>
  <si>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</si>
  <si>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</si>
  <si>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</si>
  <si>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</si>
  <si>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</si>
  <si>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</si>
  <si>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</si>
  <si>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</si>
  <si>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</si>
  <si>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</si>
  <si>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</si>
  <si>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</si>
  <si>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</si>
  <si>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</si>
  <si>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</si>
  <si>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</si>
  <si>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</si>
  <si>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</si>
  <si>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</si>
  <si>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</si>
  <si>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</si>
  <si>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</si>
  <si>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</si>
  <si>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</si>
  <si>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</si>
  <si>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</si>
  <si>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</si>
  <si>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</si>
  <si>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</si>
  <si>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</si>
  <si>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</si>
  <si>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</si>
  <si>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</si>
  <si>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</si>
  <si>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</si>
  <si>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</si>
  <si>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</si>
  <si>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</si>
  <si>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</si>
  <si>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</si>
  <si>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</si>
  <si>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</si>
  <si>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BLACKWOODS</t>
  </si>
  <si>
    <t>RUN AT 140um</t>
  </si>
  <si>
    <t>PERF INLINE</t>
  </si>
  <si>
    <t>ANTIBLOCK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</si>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</sst>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PBR115015001500</v>
      </c>
      <c r="C1" s="113"/>
      <c r="D1" s="114"/>
      <c r="E1" s="15" t="s">
        <v>56</v>
      </c>
      <c r="F1" s="94" t="s">
        <v>196</v>
      </c>
      <c r="G1" s="94"/>
      <c r="H1" s="95"/>
      <c r="I1" s="15" t="s">
        <v>180</v>
      </c>
      <c r="J1" s="134">
        <f ca="1">TODAY()</f>
        <v>46093</v>
      </c>
      <c r="K1" s="134"/>
      <c r="L1" s="135"/>
      <c r="M1" s="29"/>
      <c r="N1" s="15" t="s">
        <v>55</v>
      </c>
      <c r="O1" s="113" t="str">
        <f>B1</f>
        <v>PBR115015001500</v>
      </c>
      <c r="P1" s="113"/>
      <c r="Q1" s="114"/>
      <c r="R1" s="15" t="s">
        <v>56</v>
      </c>
      <c r="S1" s="113" t="str">
        <f>F1</f>
        <v>BLACKWOODS</v>
      </c>
      <c r="T1" s="113"/>
      <c r="U1" s="114"/>
      <c r="V1" s="15" t="s">
        <v>180</v>
      </c>
      <c r="W1" s="134">
        <f ca="1">J1</f>
        <v>46093</v>
      </c>
      <c r="X1" s="134"/>
      <c r="Y1" s="135"/>
    </row>
    <row r="2" spans="1:25" ht="20.100000000000001" customHeight="1" x14ac:dyDescent="0.25">
      <c r="A2" s="15" t="s">
        <v>99</v>
      </c>
      <c r="B2" s="113" t="str">
        <f>IF(U10="","",U10)</f>
        <v/>
      </c>
      <c r="C2" s="113"/>
      <c r="D2" s="114"/>
      <c r="E2" s="15" t="s">
        <v>57</v>
      </c>
      <c r="F2" s="94">
        <v>951659</v>
      </c>
      <c r="G2" s="94"/>
      <c r="H2" s="95"/>
      <c r="I2" s="15" t="s">
        <v>58</v>
      </c>
      <c r="J2" s="93">
        <v>46141</v>
      </c>
      <c r="K2" s="94"/>
      <c r="L2" s="95"/>
      <c r="M2" s="29"/>
      <c r="N2" s="15" t="s">
        <v>99</v>
      </c>
      <c r="O2" s="113" t="str">
        <f>IF(B2="","",B2)</f>
        <v/>
      </c>
      <c r="P2" s="113"/>
      <c r="Q2" s="114"/>
      <c r="R2" s="15" t="s">
        <v>57</v>
      </c>
      <c r="S2" s="113">
        <f>IF(F2="","",F2)</f>
        <v>951659</v>
      </c>
      <c r="T2" s="113"/>
      <c r="U2" s="114"/>
      <c r="V2" s="15" t="s">
        <v>58</v>
      </c>
      <c r="W2" s="136">
        <f>J2</f>
        <v>46141</v>
      </c>
      <c r="X2" s="113"/>
      <c r="Y2" s="114"/>
    </row>
    <row r="3" spans="1:25" ht="20.100000000000001" customHeight="1" x14ac:dyDescent="0.25">
      <c r="A3" s="138" t="s">
        <v>198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0"/>
      <c r="M3" s="29"/>
      <c r="N3" s="125" t="str">
        <f>A3</f>
        <v>PERF INLINE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00000000000001" customHeight="1" x14ac:dyDescent="0.2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3"/>
      <c r="M4" s="29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00000000000001" customHeight="1" x14ac:dyDescent="0.25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6"/>
      <c r="M5" s="29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20</v>
      </c>
      <c r="P7" s="95"/>
      <c r="Q7" s="15" t="str">
        <f>IF(ISNUMBER(SEARCH("roll",O8,1)),"Per Roll","Per Carton")</f>
        <v>Per Roll</v>
      </c>
      <c r="R7" s="94">
        <v>50</v>
      </c>
      <c r="S7" s="95"/>
      <c r="T7" s="15" t="str">
        <f>IF(ISNUMBER(SEARCH("bag",O8,1)),"Total Bags","Total Sheets")</f>
        <v>Total Bags</v>
      </c>
      <c r="U7" s="113">
        <f>R7*O7</f>
        <v>1000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1150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6" t="s">
        <v>51</v>
      </c>
      <c r="H8" s="103">
        <f>(IF(V9&lt;30,"30",V9))</f>
        <v>150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00000000000001" customHeight="1" x14ac:dyDescent="0.3">
      <c r="A9" s="20" t="s">
        <v>47</v>
      </c>
      <c r="B9" s="111" t="s">
        <v>194</v>
      </c>
      <c r="C9" s="112"/>
      <c r="D9" s="150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197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1150</v>
      </c>
      <c r="S9" s="22" t="s">
        <v>77</v>
      </c>
      <c r="T9" s="30">
        <v>1500</v>
      </c>
      <c r="U9" s="22" t="s">
        <v>77</v>
      </c>
      <c r="V9" s="30">
        <v>150</v>
      </c>
      <c r="W9" s="21"/>
      <c r="X9" s="100"/>
      <c r="Y9" s="101"/>
    </row>
    <row r="10" spans="1:25" ht="20.100000000000001" customHeight="1" x14ac:dyDescent="0.25">
      <c r="A10" s="15" t="s">
        <v>50</v>
      </c>
      <c r="B10" s="94">
        <v>20</v>
      </c>
      <c r="C10" s="95"/>
      <c r="D10" s="48" t="s">
        <v>133</v>
      </c>
      <c r="E10" s="115">
        <f>IF(ISNUMBER(SEARCH("sheet",O8,1)),((R9*T9*H8/540000)*U7/2000*1.3),((R9*T9*H8/540000)*U7/1000*1.08))</f>
        <v>517.5</v>
      </c>
      <c r="F10" s="116"/>
      <c r="G10" s="15" t="s">
        <v>52</v>
      </c>
      <c r="H10" s="119">
        <f>IF(ISNUMBER(SEARCH("sheet",O8,1)),(U7*T9/2000*1.08),(U7*T9/1000*1.08))</f>
        <v>1620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25.875</v>
      </c>
      <c r="F11" s="118"/>
      <c r="G11" s="15" t="s">
        <v>14</v>
      </c>
      <c r="H11" s="117">
        <f>H10/B10</f>
        <v>81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47" t="s">
        <v>70</v>
      </c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9"/>
    </row>
    <row r="13" spans="1:25" ht="20.100000000000001" customHeight="1" x14ac:dyDescent="0.25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53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22</v>
      </c>
      <c r="S16" s="95"/>
      <c r="T16" s="15" t="s">
        <v>102</v>
      </c>
      <c r="U16" s="94" t="s">
        <v>22</v>
      </c>
      <c r="V16" s="95"/>
      <c r="W16" s="15" t="str">
        <f>IF(ISNUMBER(SEARCH("bag",O8,1)),"Total Bags","Total Sheets")</f>
        <v>Total Bags</v>
      </c>
      <c r="X16" s="151"/>
      <c r="Y16" s="152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22</v>
      </c>
      <c r="V17" s="95"/>
      <c r="W17" s="15" t="str">
        <f>IF(ISNUMBER(SEARCH("roll",O8,1)),"Total Rolls","Total Ctns")</f>
        <v>Total Rolls</v>
      </c>
      <c r="X17" s="151"/>
      <c r="Y17" s="152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5" t="s">
        <v>108</v>
      </c>
      <c r="X18" s="151"/>
      <c r="Y18" s="152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199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/>
      <c r="F23" s="86"/>
      <c r="G23" s="33" t="s">
        <v>86</v>
      </c>
      <c r="H23" s="34"/>
      <c r="I23" s="62"/>
      <c r="J23" s="63"/>
      <c r="K23" s="62"/>
      <c r="L23" s="63"/>
      <c r="M23" s="29"/>
      <c r="N23" s="153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54" t="s">
        <v>131</v>
      </c>
      <c r="H26" s="154"/>
      <c r="I26" s="154" t="s">
        <v>130</v>
      </c>
      <c r="J26" s="154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 t="s">
        <v>200</v>
      </c>
      <c r="C27" s="7"/>
      <c r="D27" s="9">
        <v>98</v>
      </c>
      <c r="E27" s="60">
        <v>2.5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46124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46114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195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156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157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158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159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161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174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8" t="s">
        <v>183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6" t="s">
        <v>45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29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 t="s">
        <v>33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6" t="s">
        <v>46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" t="s">
        <v>44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4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6" t="s">
        <v>62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43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64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" t="s">
        <v>63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6" t="s">
        <v>67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43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" t="s">
        <v>68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4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6" t="s">
        <v>60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43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65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" t="s">
        <v>66</v>
      </c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4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5" t="s">
        <v>61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4" t="s">
        <v>43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176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154</v>
      </c>
    </row>
    <row r="60" spans="1:20" x14ac:dyDescent="0.25">
      <c r="A60" s="58" t="s">
        <v>147</v>
      </c>
      <c r="O60" s="1"/>
      <c r="Q60" s="1"/>
      <c r="R60" s="3"/>
      <c r="S60" s="1"/>
    </row>
    <row r="61" spans="1:20" x14ac:dyDescent="0.25">
      <c r="A61" s="58" t="s">
        <v>148</v>
      </c>
      <c r="O61" s="1"/>
      <c r="Q61" s="1"/>
      <c r="R61" s="1"/>
      <c r="S61" s="1"/>
    </row>
    <row r="62" spans="1:20" x14ac:dyDescent="0.25">
      <c r="A62" s="58" t="s">
        <v>149</v>
      </c>
      <c r="O62" s="1"/>
      <c r="Q62" s="1"/>
      <c r="R62" s="1"/>
      <c r="S62" s="1"/>
    </row>
    <row r="63" spans="1:20" x14ac:dyDescent="0.25">
      <c r="A63" s="58" t="s">
        <v>150</v>
      </c>
      <c r="O63" s="1"/>
      <c r="Q63" s="1"/>
      <c r="R63" s="1"/>
      <c r="S63" s="1"/>
      <c r="T63" s="1"/>
    </row>
    <row r="64" spans="1:20" x14ac:dyDescent="0.25">
      <c r="A64" s="58" t="s">
        <v>151</v>
      </c>
      <c r="O64" s="1"/>
      <c r="Q64" s="1"/>
      <c r="R64" s="1"/>
      <c r="S64" s="1"/>
      <c r="T64" s="1"/>
    </row>
    <row r="65" spans="1:20" x14ac:dyDescent="0.25">
      <c r="A65" s="58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5096601-D626-4CF5-B19D-E66CFC0328CC}"/>
</file>

<file path=customXml/itemProps2.xml><?xml version="1.0" encoding="utf-8"?>
<ds:datastoreItem xmlns:ds="http://schemas.openxmlformats.org/officeDocument/2006/customXml" ds:itemID="{9E2CF874-33A5-4329-839E-76F533B264E9}"/>
</file>

<file path=customXml/itemProps3.xml><?xml version="1.0" encoding="utf-8"?>
<ds:datastoreItem xmlns:ds="http://schemas.openxmlformats.org/officeDocument/2006/customXml" ds:itemID="{8C2A6DF4-42A0-4195-9C4F-C55835E03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2025-02-03T01:49:48Z</cp:lastPrinted>
  <dcterms:created xsi:type="dcterms:W3CDTF">2019-11-27T23:28:06Z</dcterms:created>
  <dcterms:modified xsi:type="dcterms:W3CDTF">2026-03-12T00:59:24Z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