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5DE7B3F-9E40-4257-A529-515144A44C3D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<sst xmlns="http://schemas.openxmlformats.org/spreadsheetml/2006/main" count="224" uniqueCount="165">
  <si>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</si>
  <si>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</si>
  <si>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</si>
  <si>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</si>
  <si>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</si>
  <si>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</si>
  <si>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</si>
  <si>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</si>
  <si>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</si>
  <si>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</si>
  <si>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</si>
  <si>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</si>
  <si>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</si>
  <si>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</si>
  <si>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</si>
  <si>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</si>
  <si>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</si>
  <si>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</si>
  <si>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</si>
  <si>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</si>
  <si>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</si>
  <si>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</si>
  <si>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</si>
  <si>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</si>
  <si>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</si>
  <si>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</si>
  <si>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</si>
  <si>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</si>
  <si>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</si>
  <si>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</si>
  <si>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</si>
  <si>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</si>
  <si>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</si>
  <si>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</si>
  <si>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</si>
  <si>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</si>
  <si>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</si>
  <si>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</si>
  <si>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</si>
  <si>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</si>
  <si>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</si>
  <si>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</si>
  <si>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</si>
  <si>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</si>
  <si>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</si>
  <si>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</si>
  <si>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</si>
  <si>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</si>
  <si>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</si>
  <si>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</si>
  <si>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</si>
  <si>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</si>
  <si>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</si>
  <si>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</si>
  <si>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</si>
  <si>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</si>
  <si>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</si>
  <si>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</si>
  <si>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</si>
  <si>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</si>
  <si>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</si>
  <si>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</si>
  <si>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</si>
  <si>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</si>
  <si>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</si>
  <si>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</si>
  <si>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</si>
  <si>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</si>
  <si>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</si>
  <si>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</si>
  <si>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</si>
  <si>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</si>
  <si>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</si>
  <si>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</si>
  <si>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</si>
  <si>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</si>
  <si>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</si>
  <si>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</si>
  <si>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</si>
  <si>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</si>
  <si>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</si>
  <si>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</si>
  <si>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</si>
  <si>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</si>
  <si>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</si>
  <si>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</si>
  <si>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</si>
  <si>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</si>
  <si>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</si>
  <si>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</si>
  <si>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</si>
  <si>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</si>
  <si>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</si>
  <si>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</si>
  <si>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</si>
  <si>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</si>
  <si>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</si>
  <si>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</si>
  <si>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</si>
  <si>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</si>
  <si>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</si>
  <si>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</si>
  <si>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</si>
  <si>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</si>
  <si>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</si>
  <si>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</si>
  <si>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</si>
  <si>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</si>
  <si>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</si>
  <si>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</si>
  <si>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</si>
  <si>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</si>
  <si>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</si>
  <si>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</si>
  <si>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</si>
  <si>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</si>
  <si>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</si>
  <si>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</si>
  <si>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</si>
  <si>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</si>
  <si>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</si>
  <si>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</si>
  <si>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</si>
  <si>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</si>
  <si>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</si>
  <si>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</si>
  <si>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</si>
  <si>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</si>
  <si>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</si>
  <si>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</si>
  <si>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</si>
  <si>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</si>
  <si>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</si>
  <si>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</si>
  <si>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</si>
  <si>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</si>
  <si>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</si>
  <si>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</si>
  <si>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</si>
  <si>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</si>
  <si>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</si>
  <si>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</si>
  <si>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</si>
  <si>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</si>
  <si>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</si>
  <si>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</si>
  <si>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</si>
  <si>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</si>
  <si>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</si>
  <si>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</si>
  <si>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</si>
  <si>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</si>
  <si>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</si>
  <si>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</si>
  <si>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</si>
  <si>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</si>
  <si>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</si>
  <si>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</si>
  <si>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</si>
  <si>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</si>
  <si>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</si>
  <si>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</si>
  <si>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</si>
  <si>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</si>
  <si>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PROPAC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</si>
</sst>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T11" sqref="T11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T60032</v>
      </c>
      <c r="C1" s="61"/>
      <c r="D1" s="62"/>
      <c r="E1" s="11" t="s">
        <v>55</v>
      </c>
      <c r="F1" s="51" t="s">
        <v>164</v>
      </c>
      <c r="G1" s="51"/>
      <c r="H1" s="52"/>
      <c r="I1" s="11" t="s">
        <v>148</v>
      </c>
      <c r="J1" s="76">
        <f ca="1">TODAY()</f>
        <v>45014</v>
      </c>
      <c r="K1" s="76"/>
      <c r="L1" s="77"/>
    </row>
    <row r="2" spans="1:14" ht="20.149999999999999" customHeight="1" x14ac:dyDescent="0.8">
      <c r="A2" s="11" t="s">
        <v>94</v>
      </c>
      <c r="B2" s="65" t="str">
        <f>IF(B7="Tube",(ROUNDUP(E11,0)&amp;"KG"),(ROUNDUP(H11,0)&amp;"M"))</f>
        <v>10KG</v>
      </c>
      <c r="C2" s="65"/>
      <c r="D2" s="66"/>
      <c r="E2" s="11" t="s">
        <v>56</v>
      </c>
      <c r="F2" s="51">
        <v>945342</v>
      </c>
      <c r="G2" s="51"/>
      <c r="H2" s="52"/>
      <c r="I2" s="11" t="s">
        <v>57</v>
      </c>
      <c r="J2" s="78">
        <v>45045</v>
      </c>
      <c r="K2" s="51"/>
      <c r="L2" s="52"/>
    </row>
    <row r="3" spans="1:14" ht="20.149999999999999" customHeight="1" x14ac:dyDescent="0.7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49999999999999" customHeight="1" x14ac:dyDescent="0.7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49999999999999" customHeight="1" x14ac:dyDescent="0.7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49999999999999" customHeight="1" x14ac:dyDescent="0.7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49999999999999" customHeight="1" x14ac:dyDescent="0.9">
      <c r="A7" s="11" t="s">
        <v>158</v>
      </c>
      <c r="B7" s="51" t="s">
        <v>159</v>
      </c>
      <c r="C7" s="52"/>
      <c r="D7" s="11" t="s">
        <v>47</v>
      </c>
      <c r="E7" s="107" t="s">
        <v>131</v>
      </c>
      <c r="F7" s="107"/>
      <c r="G7" s="107"/>
      <c r="H7" s="107"/>
      <c r="I7" s="107"/>
      <c r="J7" s="91" t="s">
        <v>145</v>
      </c>
      <c r="K7" s="91"/>
      <c r="L7" s="92"/>
    </row>
    <row r="8" spans="1:14" ht="20.149999999999999" customHeight="1" x14ac:dyDescent="0.8">
      <c r="A8" s="12" t="s">
        <v>14</v>
      </c>
      <c r="B8" s="97">
        <v>600</v>
      </c>
      <c r="C8" s="98"/>
      <c r="D8" s="12" t="str">
        <f>IF(B7="Tube","Gusset","Centrefold")</f>
        <v>Gusset</v>
      </c>
      <c r="E8" s="93" t="str">
        <f>IF(B7="Cont Centrefold",B8*2,"")</f>
        <v/>
      </c>
      <c r="F8" s="94"/>
      <c r="G8" s="12" t="s">
        <v>50</v>
      </c>
      <c r="H8" s="97">
        <v>32</v>
      </c>
      <c r="I8" s="98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49999999999999" customHeight="1" x14ac:dyDescent="0.9">
      <c r="A9" s="13" t="s">
        <v>46</v>
      </c>
      <c r="B9" s="81" t="s">
        <v>146</v>
      </c>
      <c r="C9" s="82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1" t="s">
        <v>146</v>
      </c>
      <c r="I9" s="82"/>
      <c r="J9" s="11" t="s">
        <v>53</v>
      </c>
      <c r="K9" s="51" t="s">
        <v>28</v>
      </c>
      <c r="L9" s="52"/>
    </row>
    <row r="10" spans="1:14" ht="20.149999999999999" customHeight="1" x14ac:dyDescent="0.8">
      <c r="A10" s="11" t="s">
        <v>49</v>
      </c>
      <c r="B10" s="51">
        <v>25</v>
      </c>
      <c r="C10" s="52"/>
      <c r="D10" s="36" t="s">
        <v>104</v>
      </c>
      <c r="E10" s="85">
        <f>E11*B10</f>
        <v>250</v>
      </c>
      <c r="F10" s="86"/>
      <c r="G10" s="11" t="s">
        <v>51</v>
      </c>
      <c r="H10" s="65">
        <f>H11*B10</f>
        <v>7031.25</v>
      </c>
      <c r="I10" s="66"/>
      <c r="J10" s="11" t="s">
        <v>39</v>
      </c>
      <c r="K10" s="51" t="s">
        <v>42</v>
      </c>
      <c r="L10" s="52"/>
    </row>
    <row r="11" spans="1:14" s="43" customFormat="1" ht="20.149999999999999" customHeight="1" x14ac:dyDescent="0.8">
      <c r="A11" s="42" t="str">
        <f>IF(B7="Cont Sheet Roll","Sheet Rolls",IF(B7="Cont Centrefold","CF Rolls",""))</f>
        <v/>
      </c>
      <c r="B11" s="83" t="str">
        <f>IF(AND(B7="Cont Centrefold",D9="RUN 2 UP"),B10*2,IF(B7="Cont Centrefold",B10,IF(B7="Cont Sheet Roll",B10*2,"")))</f>
        <v/>
      </c>
      <c r="C11" s="84"/>
      <c r="D11" s="42" t="s">
        <v>105</v>
      </c>
      <c r="E11" s="87">
        <v>10</v>
      </c>
      <c r="F11" s="88"/>
      <c r="G11" s="42" t="s">
        <v>13</v>
      </c>
      <c r="H11" s="89">
        <f>E11*540000/B8/H8</f>
        <v>281.25</v>
      </c>
      <c r="I11" s="90"/>
      <c r="J11" s="42" t="s">
        <v>48</v>
      </c>
      <c r="K11" s="95" t="s">
        <v>42</v>
      </c>
      <c r="L11" s="96"/>
      <c r="N11"/>
    </row>
    <row r="12" spans="1:14" ht="20.149999999999999" customHeight="1" x14ac:dyDescent="0.7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49999999999999" customHeight="1" x14ac:dyDescent="0.8">
      <c r="A13" s="11" t="s">
        <v>59</v>
      </c>
      <c r="B13" s="51" t="s">
        <v>42</v>
      </c>
      <c r="C13" s="51"/>
      <c r="D13" s="52"/>
      <c r="E13" s="14" t="s">
        <v>60</v>
      </c>
      <c r="F13" s="51" t="s">
        <v>42</v>
      </c>
      <c r="G13" s="51"/>
      <c r="H13" s="52"/>
      <c r="I13" s="11" t="s">
        <v>61</v>
      </c>
      <c r="J13" s="51" t="s">
        <v>42</v>
      </c>
      <c r="K13" s="51"/>
      <c r="L13" s="52"/>
    </row>
    <row r="14" spans="1:14" ht="20.149999999999999" customHeight="1" x14ac:dyDescent="0.9">
      <c r="A14" s="12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49999999999999" customHeight="1" x14ac:dyDescent="0.7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49999999999999" customHeight="1" x14ac:dyDescent="0.8">
      <c r="A16" s="11" t="s">
        <v>71</v>
      </c>
      <c r="B16" s="51" t="s">
        <v>75</v>
      </c>
      <c r="C16" s="51"/>
      <c r="D16" s="52"/>
      <c r="E16" s="11" t="s">
        <v>72</v>
      </c>
      <c r="F16" s="61">
        <f>B10</f>
        <v>25</v>
      </c>
      <c r="G16" s="61"/>
      <c r="H16" s="62"/>
      <c r="I16" s="11" t="s">
        <v>74</v>
      </c>
      <c r="J16" s="51"/>
      <c r="K16" s="51"/>
      <c r="L16" s="52"/>
    </row>
    <row r="17" spans="1:12" ht="20.149999999999999" customHeight="1" x14ac:dyDescent="0.75">
      <c r="A17" s="53" t="s">
        <v>149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49999999999999" customHeight="1" x14ac:dyDescent="0.7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49999999999999" customHeight="1" x14ac:dyDescent="0.75">
      <c r="A19" s="49" t="s">
        <v>5</v>
      </c>
      <c r="B19" s="49"/>
      <c r="C19" s="63" t="s">
        <v>115</v>
      </c>
      <c r="D19" s="64"/>
      <c r="E19" s="103"/>
      <c r="F19" s="104"/>
      <c r="G19" s="10" t="s">
        <v>76</v>
      </c>
      <c r="H19" s="31"/>
      <c r="I19" s="56"/>
      <c r="J19" s="57"/>
      <c r="K19" s="56"/>
      <c r="L19" s="57"/>
    </row>
    <row r="20" spans="1:12" ht="20.149999999999999" customHeight="1" x14ac:dyDescent="0.75">
      <c r="A20" s="49" t="s">
        <v>6</v>
      </c>
      <c r="B20" s="49"/>
      <c r="C20" s="63" t="s">
        <v>114</v>
      </c>
      <c r="D20" s="64"/>
      <c r="E20" s="103"/>
      <c r="F20" s="104"/>
      <c r="G20" s="10" t="s">
        <v>77</v>
      </c>
      <c r="H20" s="31"/>
      <c r="I20" s="56"/>
      <c r="J20" s="57"/>
      <c r="K20" s="56"/>
      <c r="L20" s="57"/>
    </row>
    <row r="21" spans="1:12" ht="20.149999999999999" customHeight="1" x14ac:dyDescent="0.75">
      <c r="A21" s="49" t="s">
        <v>7</v>
      </c>
      <c r="B21" s="49"/>
      <c r="C21" s="63" t="s">
        <v>113</v>
      </c>
      <c r="D21" s="64"/>
      <c r="E21" s="103"/>
      <c r="F21" s="104"/>
      <c r="G21" s="10" t="s">
        <v>78</v>
      </c>
      <c r="H21" s="31"/>
      <c r="I21" s="56"/>
      <c r="J21" s="57"/>
      <c r="K21" s="56"/>
      <c r="L21" s="57"/>
    </row>
    <row r="22" spans="1:12" ht="20.149999999999999" customHeight="1" x14ac:dyDescent="0.75">
      <c r="A22" s="49" t="s">
        <v>8</v>
      </c>
      <c r="B22" s="49"/>
      <c r="C22" s="63" t="s">
        <v>112</v>
      </c>
      <c r="D22" s="64"/>
      <c r="E22" s="103"/>
      <c r="F22" s="104"/>
      <c r="G22" s="10" t="s">
        <v>79</v>
      </c>
      <c r="H22" s="31"/>
      <c r="I22" s="56"/>
      <c r="J22" s="57"/>
      <c r="K22" s="56"/>
      <c r="L22" s="57"/>
    </row>
    <row r="23" spans="1:12" ht="20.149999999999999" customHeight="1" x14ac:dyDescent="0.75">
      <c r="A23" s="49" t="s">
        <v>150</v>
      </c>
      <c r="B23" s="49"/>
      <c r="C23" s="63" t="s">
        <v>151</v>
      </c>
      <c r="D23" s="64"/>
      <c r="E23" s="103"/>
      <c r="F23" s="104"/>
      <c r="G23" s="10" t="s">
        <v>80</v>
      </c>
      <c r="H23" s="31"/>
      <c r="I23" s="56"/>
      <c r="J23" s="57"/>
      <c r="K23" s="56"/>
      <c r="L23" s="57"/>
    </row>
    <row r="24" spans="1:12" ht="20.149999999999999" customHeight="1" x14ac:dyDescent="0.75">
      <c r="A24" s="49" t="str">
        <f>(IF(E7="NATURAL","",E7))</f>
        <v/>
      </c>
      <c r="B24" s="49"/>
      <c r="C24" s="11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20"/>
      <c r="E24" s="103"/>
      <c r="F24" s="104"/>
      <c r="G24" s="10" t="s">
        <v>81</v>
      </c>
      <c r="H24" s="31"/>
      <c r="I24" s="56"/>
      <c r="J24" s="57"/>
      <c r="K24" s="56"/>
      <c r="L24" s="57"/>
    </row>
    <row r="25" spans="1:12" ht="20.149999999999999" customHeight="1" x14ac:dyDescent="0.7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4"/>
      <c r="E25" s="103"/>
      <c r="F25" s="104"/>
      <c r="G25" s="10" t="s">
        <v>82</v>
      </c>
      <c r="H25" s="31"/>
      <c r="I25" s="56"/>
      <c r="J25" s="57"/>
      <c r="K25" s="56"/>
      <c r="L25" s="57"/>
    </row>
    <row r="26" spans="1:12" ht="20.149999999999999" customHeight="1" x14ac:dyDescent="0.7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49999999999999" customHeight="1" x14ac:dyDescent="0.7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49999999999999" customHeight="1" x14ac:dyDescent="0.7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49999999999999" customHeight="1" x14ac:dyDescent="0.7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49999999999999" customHeight="1" x14ac:dyDescent="0.7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49999999999999" customHeight="1" x14ac:dyDescent="0.7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E7">
    <cfRule type="containsText" dxfId="2" priority="2" operator="containsText" text="BLACK">
      <formula>NOT(ISERROR(SEARCH("BLACK",E7)))</formula>
    </cfRule>
  </conditionalFormatting>
  <conditionalFormatting sqref="J2">
    <cfRule type="containsText" dxfId="1" priority="1" operator="containsText" text="ASAP">
      <formula>NOT(ISERROR(SEARCH("ASAP",J2)))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45045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45035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80B19D0-143F-45D6-A328-5DA3F75A61C0}"/>
</file>

<file path=customXml/itemProps2.xml><?xml version="1.0" encoding="utf-8"?>
<ds:datastoreItem xmlns:ds="http://schemas.openxmlformats.org/officeDocument/2006/customXml" ds:itemID="{757878C2-47FE-48B3-8049-2B54FD4BBB0C}"/>
</file>

<file path=customXml/itemProps3.xml><?xml version="1.0" encoding="utf-8"?>
<ds:datastoreItem xmlns:ds="http://schemas.openxmlformats.org/officeDocument/2006/customXml" ds:itemID="{8D08F963-3DAD-4A60-9B28-694E7D3F54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2023-03-28T23:24:51Z</cp:lastPrinted>
  <dcterms:created xsi:type="dcterms:W3CDTF">2019-11-27T23:28:06Z</dcterms:created>
  <dcterms:modified xsi:type="dcterms:W3CDTF">2023-03-28T23:25:53Z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