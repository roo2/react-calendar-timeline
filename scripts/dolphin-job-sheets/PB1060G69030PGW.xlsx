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3AECA4F-27C2-42E6-960B-232656373E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<sst xmlns="http://schemas.openxmlformats.org/spreadsheetml/2006/main" count="305" uniqueCount="201">
  <si>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</si>
  <si>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</si>
  <si>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</si>
  <si>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</si>
  <si>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</si>
  <si>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</si>
  <si>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</si>
  <si>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</si>
  <si>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</si>
  <si>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</si>
  <si>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</si>
  <si>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</si>
  <si>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</si>
  <si>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</si>
  <si>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</si>
  <si>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</si>
  <si>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</si>
  <si>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</si>
  <si>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</si>
  <si>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</si>
  <si>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</si>
  <si>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</si>
  <si>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</si>
  <si>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</si>
  <si>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</si>
  <si>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</si>
  <si>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</si>
  <si>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</si>
  <si>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</si>
  <si>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</si>
  <si>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</si>
  <si>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</si>
  <si>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</si>
  <si>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</si>
  <si>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</si>
  <si>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</si>
  <si>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</si>
  <si>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</si>
  <si>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</si>
  <si>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</si>
  <si>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</si>
  <si>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</si>
  <si>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</si>
  <si>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</si>
  <si>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</si>
  <si>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</si>
  <si>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</si>
  <si>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</si>
  <si>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</si>
  <si>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</si>
  <si>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</si>
  <si>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</si>
  <si>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</si>
  <si>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</si>
  <si>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</si>
  <si>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</si>
  <si>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</si>
  <si>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</si>
  <si>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</si>
  <si>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</si>
  <si>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</si>
  <si>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</si>
  <si>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</si>
  <si>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</si>
  <si>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</si>
  <si>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</si>
  <si>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</si>
  <si>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</si>
  <si>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</si>
  <si>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</si>
  <si>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</si>
  <si>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</si>
  <si>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</si>
  <si>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</si>
  <si>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</si>
  <si>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</si>
  <si>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</si>
  <si>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</si>
  <si>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</si>
  <si>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</si>
  <si>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</si>
  <si>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</si>
  <si>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</si>
  <si>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</si>
  <si>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</si>
  <si>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</si>
  <si>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</si>
  <si>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</si>
  <si>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</si>
  <si>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</si>
  <si>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</si>
  <si>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</si>
  <si>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</si>
  <si>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</si>
  <si>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</si>
  <si>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</si>
  <si>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</si>
  <si>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</si>
  <si>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</si>
  <si>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</si>
  <si>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</si>
  <si>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</si>
  <si>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</si>
  <si>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</si>
  <si>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</si>
  <si>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</si>
  <si>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</si>
  <si>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</si>
  <si>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</si>
  <si>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</si>
  <si>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</si>
  <si>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</si>
  <si>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</si>
  <si>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</si>
  <si>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</si>
  <si>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</si>
  <si>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</si>
  <si>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</si>
  <si>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</si>
  <si>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</si>
  <si>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</si>
  <si>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</si>
  <si>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</si>
  <si>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</si>
  <si>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</si>
  <si>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</si>
  <si>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</si>
  <si>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</si>
  <si>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</si>
  <si>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</si>
  <si>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</si>
  <si>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</si>
  <si>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</si>
  <si>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</si>
  <si>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</si>
  <si>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</si>
  <si>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</si>
  <si>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</si>
  <si>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</si>
  <si>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</si>
  <si>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</si>
  <si>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</si>
  <si>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</si>
  <si>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</si>
  <si>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</si>
  <si>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</si>
  <si>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</si>
  <si>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</si>
  <si>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</si>
  <si>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</si>
  <si>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</si>
  <si>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</si>
  <si>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</si>
  <si>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</si>
  <si>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</si>
  <si>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</si>
  <si>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</si>
  <si>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</si>
  <si>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</si>
  <si>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</si>
  <si>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</si>
  <si>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</si>
  <si>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</si>
  <si>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</si>
  <si>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</si>
  <si>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</si>
  <si>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</si>
  <si>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</si>
  <si>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</si>
  <si>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</si>
  <si>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</si>
  <si>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</si>
  <si>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</si>
  <si>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</si>
  <si>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</si>
  <si>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</si>
  <si>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</si>
  <si>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</si>
  <si>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</si>
  <si>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</si>
  <si>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</si>
  <si>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</si>
  <si>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</si>
  <si>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</si>
  <si>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</si>
  <si>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</si>
  <si>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</si>
  <si>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</si>
  <si>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</si>
  <si>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</si>
  <si>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</si>
  <si>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</si>
  <si>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</si>
  <si>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</si>
  <si>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</si>
  <si>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(650+410)</t>
  </si>
  <si>
    <t>NOT OVER</t>
  </si>
  <si>
    <t>"GENERAL WASTE"</t>
  </si>
  <si>
    <t>METRO NORTH</t>
  </si>
  <si>
    <t>LIMAX</t>
  </si>
  <si>
    <t>8 PRINTED CARTONS ON BACKORDER 01.01.2022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</si>
</sst>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F9" sqref="AF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PB1060G69030P</v>
      </c>
      <c r="C1" s="122"/>
      <c r="D1" s="123"/>
      <c r="E1" s="12" t="s">
        <v>57</v>
      </c>
      <c r="F1" s="133" t="s">
        <v>198</v>
      </c>
      <c r="G1" s="133"/>
      <c r="H1" s="134"/>
      <c r="I1" s="13" t="s">
        <v>181</v>
      </c>
      <c r="J1" s="95">
        <f ca="1">TODAY()</f>
        <v>44574</v>
      </c>
      <c r="K1" s="95"/>
      <c r="L1" s="96"/>
      <c r="M1" s="34"/>
      <c r="N1" s="12" t="s">
        <v>56</v>
      </c>
      <c r="O1" s="122" t="str">
        <f>B1</f>
        <v>PB1060G69030P</v>
      </c>
      <c r="P1" s="122"/>
      <c r="Q1" s="123"/>
      <c r="R1" s="12" t="s">
        <v>57</v>
      </c>
      <c r="S1" s="122" t="str">
        <f>F1</f>
        <v>METRO NORTH</v>
      </c>
      <c r="T1" s="122"/>
      <c r="U1" s="123"/>
      <c r="V1" s="12" t="s">
        <v>181</v>
      </c>
      <c r="W1" s="95">
        <f ca="1">J1</f>
        <v>44574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942245</v>
      </c>
      <c r="G2" s="98"/>
      <c r="H2" s="99"/>
      <c r="I2" s="12" t="s">
        <v>59</v>
      </c>
      <c r="J2" s="97">
        <v>44605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942245</v>
      </c>
      <c r="T2" s="122"/>
      <c r="U2" s="123"/>
      <c r="V2" s="12" t="s">
        <v>59</v>
      </c>
      <c r="W2" s="135">
        <f>J2</f>
        <v>44605</v>
      </c>
      <c r="X2" s="122"/>
      <c r="Y2" s="123"/>
    </row>
    <row r="3" spans="1:28" ht="20.100000000000001" customHeight="1" x14ac:dyDescent="0.2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8 PRINTED CARTONS ON BACKORDER 01.01.2022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30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7500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1060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(650+410)</v>
      </c>
      <c r="F8" s="101"/>
      <c r="G8" s="15" t="s">
        <v>52</v>
      </c>
      <c r="H8" s="100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1060</v>
      </c>
      <c r="S9" s="20" t="s">
        <v>78</v>
      </c>
      <c r="T9" s="35">
        <v>690</v>
      </c>
      <c r="U9" s="20" t="s">
        <v>78</v>
      </c>
      <c r="V9" s="35">
        <v>30</v>
      </c>
      <c r="W9" s="19"/>
      <c r="X9" s="151" t="s">
        <v>195</v>
      </c>
      <c r="Y9" s="152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329.13</v>
      </c>
      <c r="F10" s="113"/>
      <c r="G10" s="12" t="s">
        <v>53</v>
      </c>
      <c r="H10" s="116">
        <f>IF(ISNUMBER(SEARCH("sheet",O8,1)),(U7*T9/2000*1.08),(U7*T9/1000*1.08))</f>
        <v>5589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41.141249999999999</v>
      </c>
      <c r="F11" s="115"/>
      <c r="G11" s="12" t="s">
        <v>15</v>
      </c>
      <c r="H11" s="114">
        <f>H10/B10</f>
        <v>698.625</v>
      </c>
      <c r="I11" s="115"/>
      <c r="J11" s="12" t="s">
        <v>50</v>
      </c>
      <c r="K11" s="98" t="s">
        <v>65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30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7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197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26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44605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44595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E836C99-3CF3-4480-8F17-4EC236A543BC}"/>
</file>

<file path=customXml/itemProps2.xml><?xml version="1.0" encoding="utf-8"?>
<ds:datastoreItem xmlns:ds="http://schemas.openxmlformats.org/officeDocument/2006/customXml" ds:itemID="{7BCFE612-554F-47C1-861B-4559939DFB91}"/>
</file>

<file path=customXml/itemProps3.xml><?xml version="1.0" encoding="utf-8"?>
<ds:datastoreItem xmlns:ds="http://schemas.openxmlformats.org/officeDocument/2006/customXml" ds:itemID="{EEB2DA8C-A98B-4240-983E-553D3D07C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2022-01-13T03:27:51Z</cp:lastPrinted>
  <dcterms:created xsi:type="dcterms:W3CDTF">2019-11-27T23:28:06Z</dcterms:created>
  <dcterms:modified xsi:type="dcterms:W3CDTF">2022-01-13T04:03:06Z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