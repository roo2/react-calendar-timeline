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A23A42B1-CD7C-4193-A93D-5083865F2E6A}" xr6:coauthVersionLast="44" xr6:coauthVersionMax="44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<sst xmlns="http://schemas.openxmlformats.org/spreadsheetml/2006/main" count="303" uniqueCount="200">
  <si>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</si>
  <si>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</si>
  <si>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</si>
  <si>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</si>
  <si>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</si>
  <si>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</si>
  <si>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</si>
  <si>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</si>
  <si>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</si>
  <si>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</si>
  <si>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</si>
  <si>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</si>
  <si>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</si>
  <si>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</si>
  <si>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</si>
  <si>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</si>
  <si>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</si>
  <si>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</si>
  <si>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</si>
  <si>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</si>
  <si>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</si>
  <si>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</si>
  <si>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</si>
  <si>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</si>
  <si>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</si>
  <si>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</si>
  <si>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</si>
  <si>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</si>
  <si>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</si>
  <si>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</si>
  <si>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</si>
  <si>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</si>
  <si>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</si>
  <si>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</si>
  <si>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</si>
  <si>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</si>
  <si>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</si>
  <si>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</si>
  <si>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</si>
  <si>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</si>
  <si>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</si>
  <si>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</si>
  <si>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</si>
  <si>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</si>
  <si>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</si>
  <si>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</si>
  <si>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</si>
  <si>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</si>
  <si>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</si>
  <si>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</si>
  <si>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</si>
  <si>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</si>
  <si>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</si>
  <si>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</si>
  <si>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</si>
  <si>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</si>
  <si>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</si>
  <si>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</si>
  <si>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</si>
  <si>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</si>
  <si>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</si>
  <si>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</si>
  <si>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</si>
  <si>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</si>
  <si>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</si>
  <si>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</si>
  <si>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</si>
  <si>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</si>
  <si>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</si>
  <si>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</si>
  <si>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</si>
  <si>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</si>
  <si>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</si>
  <si>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</si>
  <si>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</si>
  <si>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</si>
  <si>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</si>
  <si>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</si>
  <si>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</si>
  <si>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</si>
  <si>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</si>
  <si>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</si>
  <si>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</si>
  <si>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</si>
  <si>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</si>
  <si>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</si>
  <si>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</si>
  <si>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</si>
  <si>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</si>
  <si>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</si>
  <si>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</si>
  <si>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</si>
  <si>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</si>
  <si>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</si>
  <si>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</si>
  <si>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</si>
  <si>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</si>
  <si>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</si>
  <si>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</si>
  <si>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</si>
  <si>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</si>
  <si>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</si>
  <si>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</si>
  <si>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</si>
  <si>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</si>
  <si>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</si>
  <si>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</si>
  <si>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</si>
  <si>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</si>
  <si>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</si>
  <si>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</si>
  <si>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</si>
  <si>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</si>
  <si>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</si>
  <si>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</si>
  <si>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</si>
  <si>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</si>
  <si>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</si>
  <si>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</si>
  <si>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</si>
  <si>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</si>
  <si>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</si>
  <si>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</si>
  <si>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</si>
  <si>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</si>
  <si>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</si>
  <si>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</si>
  <si>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</si>
  <si>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</si>
  <si>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</si>
  <si>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</si>
  <si>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</si>
  <si>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</si>
  <si>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</si>
  <si>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</si>
  <si>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</si>
  <si>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</si>
  <si>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</si>
  <si>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</si>
  <si>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</si>
  <si>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</si>
  <si>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</si>
  <si>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</si>
  <si>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</si>
  <si>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</si>
  <si>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</si>
  <si>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</si>
  <si>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</si>
  <si>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</si>
  <si>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</si>
  <si>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</si>
  <si>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</si>
  <si>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</si>
  <si>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</si>
  <si>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</si>
  <si>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</si>
  <si>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</si>
  <si>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</si>
  <si>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</si>
  <si>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</si>
  <si>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</si>
  <si>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</si>
  <si>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</si>
  <si>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</si>
  <si>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</si>
  <si>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</si>
  <si>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</si>
  <si>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</si>
  <si>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</si>
  <si>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</si>
  <si>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</si>
  <si>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</si>
  <si>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</si>
  <si>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</si>
  <si>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</si>
  <si>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</si>
  <si>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</si>
  <si>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</si>
  <si>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</si>
  <si>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</si>
  <si>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</si>
  <si>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</si>
  <si>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</si>
  <si>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</si>
  <si>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</si>
  <si>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</si>
  <si>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</si>
  <si>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</si>
  <si>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</si>
  <si>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</si>
  <si>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</si>
  <si>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</si>
  <si>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</si>
  <si>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</si>
  <si>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</si>
  <si>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90UM</t>
  </si>
  <si>
    <t>DENOOZE</t>
  </si>
  <si>
    <t>QPB06 - DENOOZE</t>
  </si>
  <si>
    <t>MUST BE VIRGIN MIX - MUST HAVE WATERPROOF SEALS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</si>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</sst>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PB205305100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43965</v>
      </c>
      <c r="K1" s="95"/>
      <c r="L1" s="96"/>
      <c r="M1" s="34"/>
      <c r="N1" s="12" t="s">
        <v>56</v>
      </c>
      <c r="O1" s="122" t="str">
        <f>B1</f>
        <v>PB205305100</v>
      </c>
      <c r="P1" s="122"/>
      <c r="Q1" s="123"/>
      <c r="R1" s="12" t="s">
        <v>57</v>
      </c>
      <c r="S1" s="122" t="str">
        <f>F1</f>
        <v>DENOOZE</v>
      </c>
      <c r="T1" s="122"/>
      <c r="U1" s="123"/>
      <c r="V1" s="12" t="s">
        <v>181</v>
      </c>
      <c r="W1" s="95">
        <f ca="1">J1</f>
        <v>43965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QPB06 - DENOOZE</v>
      </c>
      <c r="C2" s="122"/>
      <c r="D2" s="123"/>
      <c r="E2" s="12" t="s">
        <v>58</v>
      </c>
      <c r="F2" s="98">
        <v>54946</v>
      </c>
      <c r="G2" s="98"/>
      <c r="H2" s="99"/>
      <c r="I2" s="12" t="s">
        <v>59</v>
      </c>
      <c r="J2" s="97">
        <v>43989</v>
      </c>
      <c r="K2" s="98"/>
      <c r="L2" s="99"/>
      <c r="M2" s="34"/>
      <c r="N2" s="12" t="s">
        <v>100</v>
      </c>
      <c r="O2" s="122" t="str">
        <f>IF(B2="","",B2)</f>
        <v>QPB06 - DENOOZE</v>
      </c>
      <c r="P2" s="122"/>
      <c r="Q2" s="123"/>
      <c r="R2" s="12" t="s">
        <v>58</v>
      </c>
      <c r="S2" s="122">
        <f>IF(F2="","",F2)</f>
        <v>54946</v>
      </c>
      <c r="T2" s="122"/>
      <c r="U2" s="123"/>
      <c r="V2" s="12" t="s">
        <v>59</v>
      </c>
      <c r="W2" s="135">
        <f>J2</f>
        <v>43989</v>
      </c>
      <c r="X2" s="122"/>
      <c r="Y2" s="123"/>
    </row>
    <row r="3" spans="1:28" ht="20.100000000000001" customHeight="1" x14ac:dyDescent="0.25">
      <c r="A3" s="124" t="s">
        <v>198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BE VIRGIN MIX - MUST HAVE WATERPROOF SEALS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10000</v>
      </c>
      <c r="V7" s="123"/>
      <c r="W7" s="12" t="s">
        <v>102</v>
      </c>
      <c r="X7" s="98" t="s">
        <v>31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205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205</v>
      </c>
      <c r="S9" s="20" t="s">
        <v>78</v>
      </c>
      <c r="T9" s="35">
        <v>305</v>
      </c>
      <c r="U9" s="20" t="s">
        <v>78</v>
      </c>
      <c r="V9" s="35">
        <v>100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8</v>
      </c>
      <c r="C10" s="99"/>
      <c r="D10" s="54" t="s">
        <v>134</v>
      </c>
      <c r="E10" s="112">
        <f>IF(ISNUMBER(SEARCH("sheet",O8,1)),((R9*T9*H8/540000)*U7/2000*1.3),((R9*T9*H8/540000)*U7/1000*1.08))</f>
        <v>125.05000000000001</v>
      </c>
      <c r="F10" s="113"/>
      <c r="G10" s="12" t="s">
        <v>53</v>
      </c>
      <c r="H10" s="116">
        <f>IF(ISNUMBER(SEARCH("sheet",O8,1)),(U7*T9/2000*1.08),(U7*T9/1000*1.08))</f>
        <v>3294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197</v>
      </c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15.631250000000001</v>
      </c>
      <c r="F11" s="115"/>
      <c r="G11" s="12" t="s">
        <v>15</v>
      </c>
      <c r="H11" s="114">
        <f>H10/B10</f>
        <v>411.75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59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1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2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4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2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4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5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7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199</v>
      </c>
      <c r="P25" s="39"/>
      <c r="Q25" s="10">
        <v>22</v>
      </c>
      <c r="R25" s="10"/>
      <c r="S25" s="10"/>
      <c r="T25" s="10"/>
      <c r="U25" s="10"/>
      <c r="V25" s="10"/>
      <c r="W25" s="10">
        <v>18</v>
      </c>
      <c r="X25" s="10">
        <v>14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43996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43986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DFD520D-9118-4529-B69E-B1ED61A2CCAE}"/>
</file>

<file path=customXml/itemProps2.xml><?xml version="1.0" encoding="utf-8"?>
<ds:datastoreItem xmlns:ds="http://schemas.openxmlformats.org/officeDocument/2006/customXml" ds:itemID="{7739C101-34E0-4CE2-A660-6F23676CE980}"/>
</file>

<file path=customXml/itemProps3.xml><?xml version="1.0" encoding="utf-8"?>
<ds:datastoreItem xmlns:ds="http://schemas.openxmlformats.org/officeDocument/2006/customXml" ds:itemID="{93D97530-AE5D-4C2A-96D7-44C38F2E1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2020-05-07T04:48:31Z</cp:lastPrinted>
  <dcterms:created xsi:type="dcterms:W3CDTF">2019-11-27T23:28:06Z</dcterms:created>
  <dcterms:modified xsi:type="dcterms:W3CDTF">2020-05-13T22:48:15Z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