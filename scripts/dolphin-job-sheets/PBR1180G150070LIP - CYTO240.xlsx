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9A3E98A-619F-4DAA-92FF-CBF20EE76F2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<sst xmlns="http://schemas.openxmlformats.org/spreadsheetml/2006/main" count="308" uniqueCount="201">
  <si>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</si>
  <si>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</si>
  <si>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</si>
  <si>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</si>
  <si>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</si>
  <si>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</si>
  <si>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</si>
  <si>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</si>
  <si>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</si>
  <si>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</si>
  <si>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</si>
  <si>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</si>
  <si>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</si>
  <si>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</si>
  <si>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</si>
  <si>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</si>
  <si>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</si>
  <si>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</si>
  <si>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</si>
  <si>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</si>
  <si>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</si>
  <si>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</si>
  <si>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</si>
  <si>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</si>
  <si>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</si>
  <si>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</si>
  <si>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</si>
  <si>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</si>
  <si>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</si>
  <si>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</si>
  <si>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</si>
  <si>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</si>
  <si>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</si>
  <si>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</si>
  <si>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</si>
  <si>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</si>
  <si>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</si>
  <si>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</si>
  <si>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</si>
  <si>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</si>
  <si>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</si>
  <si>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</si>
  <si>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</si>
  <si>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</si>
  <si>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</si>
  <si>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</si>
  <si>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</si>
  <si>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</si>
  <si>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</si>
  <si>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</si>
  <si>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</si>
  <si>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</si>
  <si>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</si>
  <si>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</si>
  <si>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</si>
  <si>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</si>
  <si>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</si>
  <si>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</si>
  <si>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</si>
  <si>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</si>
  <si>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</si>
  <si>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</si>
  <si>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</si>
  <si>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</si>
  <si>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</si>
  <si>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</si>
  <si>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</si>
  <si>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</si>
  <si>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</si>
  <si>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</si>
  <si>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</si>
  <si>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</si>
  <si>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</si>
  <si>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</si>
  <si>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</si>
  <si>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</si>
  <si>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</si>
  <si>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</si>
  <si>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</si>
  <si>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</si>
  <si>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</si>
  <si>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</si>
  <si>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</si>
  <si>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</si>
  <si>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</si>
  <si>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</si>
  <si>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</si>
  <si>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</si>
  <si>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</si>
  <si>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</si>
  <si>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</si>
  <si>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</si>
  <si>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</si>
  <si>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</si>
  <si>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</si>
  <si>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</si>
  <si>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</si>
  <si>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</si>
  <si>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</si>
  <si>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</si>
  <si>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</si>
  <si>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</si>
  <si>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</si>
  <si>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</si>
  <si>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</si>
  <si>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</si>
  <si>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</si>
  <si>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</si>
  <si>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</si>
  <si>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</si>
  <si>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</si>
  <si>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</si>
  <si>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</si>
  <si>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</si>
  <si>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</si>
  <si>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</si>
  <si>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</si>
  <si>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</si>
  <si>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</si>
  <si>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</si>
  <si>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</si>
  <si>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</si>
  <si>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</si>
  <si>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</si>
  <si>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</si>
  <si>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</si>
  <si>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</si>
  <si>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</si>
  <si>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</si>
  <si>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</si>
  <si>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</si>
  <si>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</si>
  <si>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</si>
  <si>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</si>
  <si>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</si>
  <si>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</si>
  <si>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</si>
  <si>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</si>
  <si>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</si>
  <si>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</si>
  <si>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</si>
  <si>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</si>
  <si>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</si>
  <si>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</si>
  <si>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</si>
  <si>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</si>
  <si>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</si>
  <si>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</si>
  <si>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</si>
  <si>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</si>
  <si>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</si>
  <si>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</si>
  <si>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</si>
  <si>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</si>
  <si>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</si>
  <si>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</si>
  <si>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</si>
  <si>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</si>
  <si>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</si>
  <si>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</si>
  <si>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</si>
  <si>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</si>
  <si>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</si>
  <si>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</si>
  <si>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</si>
  <si>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</si>
  <si>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</si>
  <si>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</si>
  <si>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</si>
  <si>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</si>
  <si>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</si>
  <si>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</si>
  <si>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</si>
  <si>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</si>
  <si>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</si>
  <si>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</si>
  <si>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</si>
  <si>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</si>
  <si>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</si>
  <si>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</si>
  <si>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</si>
  <si>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</si>
  <si>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</si>
  <si>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</si>
  <si>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</si>
  <si>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</si>
  <si>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</si>
  <si>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</si>
  <si>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</si>
  <si>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</si>
  <si>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</si>
  <si>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</si>
  <si>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</si>
  <si>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</si>
  <si>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(750+430)</t>
  </si>
  <si>
    <t>"CYTOTOXIC WASTE"</t>
  </si>
  <si>
    <t>CYTO240</t>
  </si>
  <si>
    <t xml:space="preserve"> +/- 10mm</t>
  </si>
  <si>
    <t xml:space="preserve">LIMAX </t>
  </si>
  <si>
    <t>NOT OVER 60UM</t>
  </si>
  <si>
    <t>GREENSLOPES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</si>
</sst>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PBR1180G150060LIWHP</v>
      </c>
      <c r="C1" s="108"/>
      <c r="D1" s="109"/>
      <c r="E1" s="11" t="s">
        <v>57</v>
      </c>
      <c r="F1" s="119" t="s">
        <v>200</v>
      </c>
      <c r="G1" s="119"/>
      <c r="H1" s="120"/>
      <c r="I1" s="12" t="s">
        <v>181</v>
      </c>
      <c r="J1" s="121">
        <f ca="1">TODAY()</f>
        <v>45601</v>
      </c>
      <c r="K1" s="121"/>
      <c r="L1" s="122"/>
      <c r="M1" s="29"/>
      <c r="N1" s="11" t="s">
        <v>56</v>
      </c>
      <c r="O1" s="108" t="str">
        <f>B1</f>
        <v>PBR1180G150060LIWHP</v>
      </c>
      <c r="P1" s="108"/>
      <c r="Q1" s="109"/>
      <c r="R1" s="11" t="s">
        <v>57</v>
      </c>
      <c r="S1" s="108" t="str">
        <f>F1</f>
        <v>GREENSLOPES</v>
      </c>
      <c r="T1" s="108"/>
      <c r="U1" s="109"/>
      <c r="V1" s="11" t="s">
        <v>181</v>
      </c>
      <c r="W1" s="121">
        <f ca="1">J1</f>
        <v>45601</v>
      </c>
      <c r="X1" s="121"/>
      <c r="Y1" s="122"/>
    </row>
    <row r="2" spans="1:25" ht="20.149999999999999" customHeight="1" x14ac:dyDescent="0.8">
      <c r="A2" s="11" t="s">
        <v>100</v>
      </c>
      <c r="B2" s="108" t="str">
        <f>IF(U10="","",U10)</f>
        <v>CYTO240</v>
      </c>
      <c r="C2" s="108"/>
      <c r="D2" s="109"/>
      <c r="E2" s="11" t="s">
        <v>58</v>
      </c>
      <c r="F2" s="62">
        <v>946885</v>
      </c>
      <c r="G2" s="62"/>
      <c r="H2" s="63"/>
      <c r="I2" s="11" t="s">
        <v>59</v>
      </c>
      <c r="J2" s="124" t="s">
        <v>192</v>
      </c>
      <c r="K2" s="62"/>
      <c r="L2" s="63"/>
      <c r="M2" s="29"/>
      <c r="N2" s="11" t="s">
        <v>100</v>
      </c>
      <c r="O2" s="108" t="str">
        <f>IF(B2="","",B2)</f>
        <v>CYTO240</v>
      </c>
      <c r="P2" s="108"/>
      <c r="Q2" s="109"/>
      <c r="R2" s="11" t="s">
        <v>58</v>
      </c>
      <c r="S2" s="108">
        <f>IF(F2="","",F2)</f>
        <v>946885</v>
      </c>
      <c r="T2" s="108"/>
      <c r="U2" s="109"/>
      <c r="V2" s="11" t="s">
        <v>59</v>
      </c>
      <c r="W2" s="123" t="str">
        <f>J2</f>
        <v>ASAP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174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Rolls</v>
      </c>
      <c r="O7" s="62">
        <v>40</v>
      </c>
      <c r="P7" s="63"/>
      <c r="Q7" s="11" t="str">
        <f>IF(ISNUMBER(SEARCH("roll",O8,1)),"Per Roll","Per Carton")</f>
        <v>Per Roll</v>
      </c>
      <c r="R7" s="62">
        <v>100</v>
      </c>
      <c r="S7" s="63"/>
      <c r="T7" s="11" t="str">
        <f>IF(ISNUMBER(SEARCH("bag",O8,1)),"Total Bags","Total Sheets")</f>
        <v>Total Bags</v>
      </c>
      <c r="U7" s="108">
        <f>R7*O7</f>
        <v>4000</v>
      </c>
      <c r="V7" s="109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6">
        <f>R9</f>
        <v>1180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(750+430)</v>
      </c>
      <c r="F8" s="97"/>
      <c r="G8" s="13" t="s">
        <v>52</v>
      </c>
      <c r="H8" s="96">
        <f>(IF(V9&lt;30,"30",V9))</f>
        <v>60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4" t="s">
        <v>54</v>
      </c>
      <c r="O8" s="98" t="s">
        <v>165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49999999999999" customHeight="1" x14ac:dyDescent="0.9">
      <c r="A9" s="16" t="s">
        <v>48</v>
      </c>
      <c r="B9" s="127" t="s">
        <v>197</v>
      </c>
      <c r="C9" s="128"/>
      <c r="D9" s="135" t="str">
        <f>IF(K10="Middle","RUN 2 UP",IF(AND(O8="Centrefold Roll",B8=380),"RUN 2 UP",""))</f>
        <v/>
      </c>
      <c r="E9" s="100"/>
      <c r="F9" s="101"/>
      <c r="G9" s="16" t="s">
        <v>48</v>
      </c>
      <c r="H9" s="127" t="s">
        <v>199</v>
      </c>
      <c r="I9" s="128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PBR</v>
      </c>
      <c r="P9" s="103"/>
      <c r="Q9" s="17"/>
      <c r="R9" s="30">
        <v>1180</v>
      </c>
      <c r="S9" s="18" t="s">
        <v>78</v>
      </c>
      <c r="T9" s="30">
        <v>1500</v>
      </c>
      <c r="U9" s="18" t="s">
        <v>78</v>
      </c>
      <c r="V9" s="30">
        <v>60</v>
      </c>
      <c r="W9" s="17"/>
      <c r="X9" s="88" t="s">
        <v>194</v>
      </c>
      <c r="Y9" s="89"/>
    </row>
    <row r="10" spans="1:25" ht="20.149999999999999" customHeight="1" x14ac:dyDescent="0.8">
      <c r="A10" s="11" t="s">
        <v>51</v>
      </c>
      <c r="B10" s="62">
        <v>20</v>
      </c>
      <c r="C10" s="63"/>
      <c r="D10" s="47" t="s">
        <v>134</v>
      </c>
      <c r="E10" s="129">
        <f>IF(ISNUMBER(SEARCH("sheet",O8,1)),((R9*T9*H8/540000)*U7/2000*1.3),((R9*T9*H8/540000)*U7/1000*1.08))</f>
        <v>849.6</v>
      </c>
      <c r="F10" s="130"/>
      <c r="G10" s="11" t="s">
        <v>53</v>
      </c>
      <c r="H10" s="133">
        <f>IF(ISNUMBER(SEARCH("sheet",O8,1)),(U7*T9/2000*1.08),(U7*T9/1000*1.08))</f>
        <v>6480</v>
      </c>
      <c r="I10" s="134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 t="s">
        <v>196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1">
        <f>E10/B10</f>
        <v>42.480000000000004</v>
      </c>
      <c r="F11" s="132"/>
      <c r="G11" s="11" t="s">
        <v>15</v>
      </c>
      <c r="H11" s="131">
        <f>H10/B10</f>
        <v>324</v>
      </c>
      <c r="I11" s="132"/>
      <c r="J11" s="11" t="s">
        <v>50</v>
      </c>
      <c r="K11" s="62" t="s">
        <v>64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70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155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40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 t="s">
        <v>195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9" t="s">
        <v>4</v>
      </c>
      <c r="F16" s="139"/>
      <c r="G16" s="139" t="s">
        <v>5</v>
      </c>
      <c r="H16" s="13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170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Rolls</v>
      </c>
      <c r="U17" s="62" t="s">
        <v>23</v>
      </c>
      <c r="V17" s="63"/>
      <c r="W17" s="11" t="str">
        <f>IF(ISNUMBER(SEARCH("roll",O8,1)),"Total Rolls","Total Ctns")</f>
        <v>Total Rolls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LILAC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LI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0" t="s">
        <v>155</v>
      </c>
      <c r="B23" s="140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WH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1"/>
      <c r="B24" s="142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198</v>
      </c>
      <c r="P25" s="34"/>
      <c r="Q25" s="10">
        <v>24</v>
      </c>
      <c r="R25" s="10"/>
      <c r="S25" s="10"/>
      <c r="T25" s="10"/>
      <c r="U25" s="10"/>
      <c r="V25" s="10"/>
      <c r="W25" s="10">
        <v>17</v>
      </c>
      <c r="X25" s="10">
        <v>13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45631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45622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B65E22F-5BF0-4FDD-85DE-2C54FE1D2298}"/>
</file>

<file path=customXml/itemProps2.xml><?xml version="1.0" encoding="utf-8"?>
<ds:datastoreItem xmlns:ds="http://schemas.openxmlformats.org/officeDocument/2006/customXml" ds:itemID="{6BB56AFD-088D-45CE-B453-09A31613D050}"/>
</file>

<file path=customXml/itemProps3.xml><?xml version="1.0" encoding="utf-8"?>
<ds:datastoreItem xmlns:ds="http://schemas.openxmlformats.org/officeDocument/2006/customXml" ds:itemID="{5AAF398C-0F78-4F06-AD0A-D8CC17AFB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2024-11-04T23:06:25Z</cp:lastPrinted>
  <dcterms:created xsi:type="dcterms:W3CDTF">2019-11-27T23:28:06Z</dcterms:created>
  <dcterms:modified xsi:type="dcterms:W3CDTF">2024-11-04T23:47:07Z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