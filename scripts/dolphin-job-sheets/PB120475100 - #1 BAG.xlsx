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C9804A8-C368-499F-AC5E-38B65357E7DD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<sst xmlns="http://schemas.openxmlformats.org/spreadsheetml/2006/main" count="305" uniqueCount="200">
  <si>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</si>
  <si>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</si>
  <si>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</si>
  <si>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</si>
  <si>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</si>
  <si>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</si>
  <si>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</si>
  <si>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</si>
  <si>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</si>
  <si>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</si>
  <si>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</si>
  <si>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</si>
  <si>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</si>
  <si>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</si>
  <si>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</si>
  <si>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</si>
  <si>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</si>
  <si>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</si>
  <si>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</si>
  <si>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</si>
  <si>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</si>
  <si>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</si>
  <si>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</si>
  <si>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</si>
  <si>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</si>
  <si>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</si>
  <si>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</si>
  <si>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</si>
  <si>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</si>
  <si>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</si>
  <si>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</si>
  <si>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</si>
  <si>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</si>
  <si>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</si>
  <si>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</si>
  <si>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</si>
  <si>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</si>
  <si>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</si>
  <si>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</si>
  <si>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</si>
  <si>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</si>
  <si>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</si>
  <si>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</si>
  <si>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</si>
  <si>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</si>
  <si>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</si>
  <si>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</si>
  <si>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</si>
  <si>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</si>
  <si>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</si>
  <si>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</si>
  <si>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</si>
  <si>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</si>
  <si>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</si>
  <si>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</si>
  <si>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</si>
  <si>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</si>
  <si>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</si>
  <si>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</si>
  <si>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</si>
  <si>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</si>
  <si>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</si>
  <si>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</si>
  <si>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</si>
  <si>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</si>
  <si>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</si>
  <si>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</si>
  <si>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</si>
  <si>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</si>
  <si>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</si>
  <si>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</si>
  <si>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</si>
  <si>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</si>
  <si>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</si>
  <si>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</si>
  <si>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</si>
  <si>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</si>
  <si>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</si>
  <si>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</si>
  <si>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</si>
  <si>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</si>
  <si>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</si>
  <si>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</si>
  <si>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</si>
  <si>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</si>
  <si>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</si>
  <si>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</si>
  <si>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</si>
  <si>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</si>
  <si>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</si>
  <si>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</si>
  <si>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</si>
  <si>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</si>
  <si>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</si>
  <si>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</si>
  <si>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</si>
  <si>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</si>
  <si>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</si>
  <si>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</si>
  <si>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</si>
  <si>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</si>
  <si>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</si>
  <si>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</si>
  <si>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</si>
  <si>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</si>
  <si>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</si>
  <si>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</si>
  <si>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</si>
  <si>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</si>
  <si>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</si>
  <si>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</si>
  <si>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</si>
  <si>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</si>
  <si>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</si>
  <si>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</si>
  <si>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</si>
  <si>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</si>
  <si>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</si>
  <si>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</si>
  <si>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</si>
  <si>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</si>
  <si>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</si>
  <si>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</si>
  <si>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</si>
  <si>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</si>
  <si>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</si>
  <si>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</si>
  <si>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</si>
  <si>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</si>
  <si>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</si>
  <si>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</si>
  <si>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</si>
  <si>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</si>
  <si>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</si>
  <si>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</si>
  <si>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</si>
  <si>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</si>
  <si>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</si>
  <si>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</si>
  <si>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</si>
  <si>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</si>
  <si>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</si>
  <si>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</si>
  <si>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</si>
  <si>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</si>
  <si>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</si>
  <si>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</si>
  <si>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</si>
  <si>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</si>
  <si>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</si>
  <si>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</si>
  <si>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</si>
  <si>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</si>
  <si>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</si>
  <si>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</si>
  <si>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</si>
  <si>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</si>
  <si>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</si>
  <si>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</si>
  <si>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</si>
  <si>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</si>
  <si>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</si>
  <si>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</si>
  <si>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</si>
  <si>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</si>
  <si>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</si>
  <si>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</si>
  <si>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</si>
  <si>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</si>
  <si>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</si>
  <si>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</si>
  <si>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</si>
  <si>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</si>
  <si>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</si>
  <si>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</si>
  <si>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</si>
  <si>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</si>
  <si>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</si>
  <si>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</si>
  <si>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</si>
  <si>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</si>
  <si>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</si>
  <si>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</si>
  <si>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</si>
  <si>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</si>
  <si>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</si>
  <si>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</si>
  <si>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</si>
  <si>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</si>
  <si>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</si>
  <si>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</si>
  <si>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</si>
  <si>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</si>
  <si>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</si>
  <si>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</si>
  <si>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</si>
  <si>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+/-5mm</t>
  </si>
  <si>
    <t>#1 BAG</t>
  </si>
  <si>
    <t xml:space="preserve">LIMAX </t>
  </si>
  <si>
    <t>ULTRA CORAL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</si>
</sst>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PB120475100</v>
      </c>
      <c r="C1" s="111"/>
      <c r="D1" s="112"/>
      <c r="E1" s="11" t="s">
        <v>57</v>
      </c>
      <c r="F1" s="87" t="s">
        <v>199</v>
      </c>
      <c r="G1" s="87"/>
      <c r="H1" s="88"/>
      <c r="I1" s="12" t="s">
        <v>181</v>
      </c>
      <c r="J1" s="84">
        <f ca="1">TODAY()</f>
        <v>45076</v>
      </c>
      <c r="K1" s="84"/>
      <c r="L1" s="85"/>
      <c r="M1" s="29"/>
      <c r="N1" s="11" t="s">
        <v>56</v>
      </c>
      <c r="O1" s="111" t="str">
        <f>B1</f>
        <v>PB120475100</v>
      </c>
      <c r="P1" s="111"/>
      <c r="Q1" s="112"/>
      <c r="R1" s="11" t="s">
        <v>57</v>
      </c>
      <c r="S1" s="111" t="str">
        <f>F1</f>
        <v>ULTRA CORAL AUSTRALIA</v>
      </c>
      <c r="T1" s="111"/>
      <c r="U1" s="112"/>
      <c r="V1" s="11" t="s">
        <v>181</v>
      </c>
      <c r="W1" s="84">
        <f ca="1">J1</f>
        <v>45076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#1 BAG</v>
      </c>
      <c r="C2" s="111"/>
      <c r="D2" s="112"/>
      <c r="E2" s="11" t="s">
        <v>58</v>
      </c>
      <c r="F2" s="87">
        <v>945773</v>
      </c>
      <c r="G2" s="87"/>
      <c r="H2" s="88"/>
      <c r="I2" s="11" t="s">
        <v>59</v>
      </c>
      <c r="J2" s="86">
        <v>45103</v>
      </c>
      <c r="K2" s="87"/>
      <c r="L2" s="88"/>
      <c r="M2" s="29"/>
      <c r="N2" s="11" t="s">
        <v>100</v>
      </c>
      <c r="O2" s="111" t="str">
        <f>IF(B2="","",B2)</f>
        <v>#1 BAG</v>
      </c>
      <c r="P2" s="111"/>
      <c r="Q2" s="112"/>
      <c r="R2" s="11" t="s">
        <v>58</v>
      </c>
      <c r="S2" s="111">
        <f>IF(F2="","",F2)</f>
        <v>945773</v>
      </c>
      <c r="T2" s="111"/>
      <c r="U2" s="112"/>
      <c r="V2" s="11" t="s">
        <v>59</v>
      </c>
      <c r="W2" s="122">
        <f>J2</f>
        <v>45103</v>
      </c>
      <c r="X2" s="111"/>
      <c r="Y2" s="112"/>
    </row>
    <row r="3" spans="1:25" ht="20.149999999999999" customHeight="1" x14ac:dyDescent="0.7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BE WITHIN TOLERANCE - MUST HAVE WATER TIGHT SEALS - PLEASE CHECK SEALS FREQUENTLY.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8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8000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120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120</v>
      </c>
      <c r="S9" s="18" t="s">
        <v>78</v>
      </c>
      <c r="T9" s="30">
        <v>475</v>
      </c>
      <c r="U9" s="18" t="s">
        <v>78</v>
      </c>
      <c r="V9" s="30">
        <v>100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8</v>
      </c>
      <c r="C10" s="88"/>
      <c r="D10" s="47" t="s">
        <v>134</v>
      </c>
      <c r="E10" s="101">
        <f>IF(ISNUMBER(SEARCH("sheet",O8,1)),((R9*T9*H8/540000)*U7/2000*1.3),((R9*T9*H8/540000)*U7/1000*1.08))</f>
        <v>91.2</v>
      </c>
      <c r="F10" s="102"/>
      <c r="G10" s="11" t="s">
        <v>53</v>
      </c>
      <c r="H10" s="105">
        <f>IF(ISNUMBER(SEARCH("sheet",O8,1)),(U7*T9/2000*1.08),(U7*T9/1000*1.08))</f>
        <v>4104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197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11.4</v>
      </c>
      <c r="F11" s="104"/>
      <c r="G11" s="11" t="s">
        <v>15</v>
      </c>
      <c r="H11" s="103">
        <f>H10/B10</f>
        <v>513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45107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45097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63C9A8D-9239-4808-957E-0163DC6FF297}"/>
</file>

<file path=customXml/itemProps2.xml><?xml version="1.0" encoding="utf-8"?>
<ds:datastoreItem xmlns:ds="http://schemas.openxmlformats.org/officeDocument/2006/customXml" ds:itemID="{409B158E-139F-470D-B1CA-74DE486E7981}"/>
</file>

<file path=customXml/itemProps3.xml><?xml version="1.0" encoding="utf-8"?>
<ds:datastoreItem xmlns:ds="http://schemas.openxmlformats.org/officeDocument/2006/customXml" ds:itemID="{18BBF112-AAF6-4E4E-873B-9687B48EA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2023-05-26T00:52:52Z</cp:lastPrinted>
  <dcterms:created xsi:type="dcterms:W3CDTF">2019-11-27T23:28:06Z</dcterms:created>
  <dcterms:modified xsi:type="dcterms:W3CDTF">2023-05-30T23:25:00Z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