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5881814-2C62-45ED-871D-C1D82634818F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<sst xmlns="http://schemas.openxmlformats.org/spreadsheetml/2006/main" count="305" uniqueCount="199">
  <si>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</si>
  <si>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</si>
  <si>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</si>
  <si>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</si>
  <si>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</si>
  <si>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</si>
  <si>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</si>
  <si>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</si>
  <si>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</si>
  <si>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</si>
  <si>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</si>
  <si>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</si>
  <si>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</si>
  <si>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</si>
  <si>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</si>
  <si>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</si>
  <si>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</si>
  <si>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</si>
  <si>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</si>
  <si>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</si>
  <si>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</si>
  <si>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</si>
  <si>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</si>
  <si>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</si>
  <si>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</si>
  <si>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</si>
  <si>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</si>
  <si>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</si>
  <si>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</si>
  <si>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</si>
  <si>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</si>
  <si>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</si>
  <si>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</si>
  <si>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</si>
  <si>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</si>
  <si>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</si>
  <si>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</si>
  <si>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</si>
  <si>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</si>
  <si>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</si>
  <si>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</si>
  <si>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</si>
  <si>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</si>
  <si>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</si>
  <si>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</si>
  <si>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</si>
  <si>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</si>
  <si>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</si>
  <si>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</si>
  <si>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</si>
  <si>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</si>
  <si>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</si>
  <si>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</si>
  <si>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</si>
  <si>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</si>
  <si>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</si>
  <si>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</si>
  <si>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</si>
  <si>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</si>
  <si>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</si>
  <si>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</si>
  <si>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</si>
  <si>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</si>
  <si>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</si>
  <si>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</si>
  <si>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</si>
  <si>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</si>
  <si>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</si>
  <si>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</si>
  <si>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</si>
  <si>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</si>
  <si>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</si>
  <si>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</si>
  <si>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</si>
  <si>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</si>
  <si>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</si>
  <si>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</si>
  <si>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</si>
  <si>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</si>
  <si>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</si>
  <si>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</si>
  <si>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</si>
  <si>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</si>
  <si>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</si>
  <si>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</si>
  <si>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</si>
  <si>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</si>
  <si>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</si>
  <si>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</si>
  <si>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</si>
  <si>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</si>
  <si>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</si>
  <si>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</si>
  <si>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</si>
  <si>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</si>
  <si>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</si>
  <si>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</si>
  <si>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</si>
  <si>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</si>
  <si>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</si>
  <si>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</si>
  <si>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</si>
  <si>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</si>
  <si>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</si>
  <si>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</si>
  <si>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</si>
  <si>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</si>
  <si>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</si>
  <si>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</si>
  <si>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</si>
  <si>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</si>
  <si>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</si>
  <si>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</si>
  <si>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</si>
  <si>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</si>
  <si>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</si>
  <si>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</si>
  <si>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</si>
  <si>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</si>
  <si>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</si>
  <si>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</si>
  <si>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</si>
  <si>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</si>
  <si>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</si>
  <si>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</si>
  <si>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</si>
  <si>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</si>
  <si>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</si>
  <si>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</si>
  <si>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</si>
  <si>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</si>
  <si>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</si>
  <si>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</si>
  <si>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</si>
  <si>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</si>
  <si>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</si>
  <si>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</si>
  <si>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</si>
  <si>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</si>
  <si>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</si>
  <si>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</si>
  <si>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</si>
  <si>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</si>
  <si>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</si>
  <si>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</si>
  <si>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</si>
  <si>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</si>
  <si>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</si>
  <si>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</si>
  <si>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</si>
  <si>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</si>
  <si>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</si>
  <si>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</si>
  <si>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</si>
  <si>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</si>
  <si>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</si>
  <si>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</si>
  <si>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</si>
  <si>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</si>
  <si>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</si>
  <si>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</si>
  <si>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</si>
  <si>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</si>
  <si>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</si>
  <si>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</si>
  <si>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</si>
  <si>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</si>
  <si>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</si>
  <si>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</si>
  <si>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</si>
  <si>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</si>
  <si>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</si>
  <si>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</si>
  <si>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</si>
  <si>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</si>
  <si>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</si>
  <si>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</si>
  <si>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</si>
  <si>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</si>
  <si>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 xml:space="preserve"> +/- 10mm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</si>
  <si>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</si>
  <si>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</si>
  <si>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</si>
  <si>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</si>
  <si>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</si>
  <si>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</si>
  <si>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</si>
  <si>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</si>
  <si>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</si>
  <si>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</si>
  <si>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</si>
  <si>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</si>
  <si>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</si>
  <si>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</si>
  <si>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</si>
  <si>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PROPAC</t>
  </si>
  <si>
    <t>OPL5</t>
  </si>
  <si>
    <t>RUN AT 25 - 30UM</t>
  </si>
  <si>
    <t>FOOD GRADE CRATE LINER - MUST KEEP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</si>
</sst>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B10" sqref="B10:C10"/>
    </sheetView>
  </sheetViews>
  <sheetFormatPr defaultRowHeight="14.75" x14ac:dyDescent="0.75"/>
  <sheetData>
    <row r="1" spans="1:25" ht="20.149999999999999" customHeight="1" x14ac:dyDescent="0.8">
      <c r="A1" s="27" t="s">
        <v>55</v>
      </c>
      <c r="B1" s="88" t="str">
        <f>O9&amp;R9&amp;IF(X8="G","G","")&amp;IF(O8="Centrefold Roll","("&amp;E8&amp;")","")&amp;T9&amp;V9&amp;C22&amp;C23&amp;C24&amp;O11&amp;R11</f>
        <v>SR60060025BT</v>
      </c>
      <c r="C1" s="88"/>
      <c r="D1" s="89"/>
      <c r="E1" s="27" t="s">
        <v>56</v>
      </c>
      <c r="F1" s="86" t="s">
        <v>195</v>
      </c>
      <c r="G1" s="86"/>
      <c r="H1" s="87"/>
      <c r="I1" s="27" t="s">
        <v>181</v>
      </c>
      <c r="J1" s="101">
        <f ca="1">TODAY()</f>
        <v>45898</v>
      </c>
      <c r="K1" s="101"/>
      <c r="L1" s="102"/>
      <c r="M1" s="11"/>
      <c r="N1" s="27" t="s">
        <v>55</v>
      </c>
      <c r="O1" s="88" t="str">
        <f>B1</f>
        <v>SR60060025BT</v>
      </c>
      <c r="P1" s="88"/>
      <c r="Q1" s="89"/>
      <c r="R1" s="27" t="s">
        <v>56</v>
      </c>
      <c r="S1" s="88" t="str">
        <f>F1</f>
        <v>PROPAC</v>
      </c>
      <c r="T1" s="88"/>
      <c r="U1" s="89"/>
      <c r="V1" s="27" t="s">
        <v>181</v>
      </c>
      <c r="W1" s="101">
        <f ca="1">J1</f>
        <v>45898</v>
      </c>
      <c r="X1" s="101"/>
      <c r="Y1" s="102"/>
    </row>
    <row r="2" spans="1:25" ht="20.149999999999999" customHeight="1" x14ac:dyDescent="0.8">
      <c r="A2" s="27" t="s">
        <v>99</v>
      </c>
      <c r="B2" s="88" t="str">
        <f>IF(U10="","",U10)</f>
        <v>OPL5</v>
      </c>
      <c r="C2" s="88"/>
      <c r="D2" s="89"/>
      <c r="E2" s="27" t="s">
        <v>57</v>
      </c>
      <c r="F2" s="86">
        <v>936790</v>
      </c>
      <c r="G2" s="86"/>
      <c r="H2" s="87"/>
      <c r="I2" s="27" t="s">
        <v>58</v>
      </c>
      <c r="J2" s="106">
        <v>43937</v>
      </c>
      <c r="K2" s="86"/>
      <c r="L2" s="87"/>
      <c r="M2" s="11"/>
      <c r="N2" s="27" t="s">
        <v>99</v>
      </c>
      <c r="O2" s="88" t="str">
        <f>IF(B2="","",B2)</f>
        <v>OPL5</v>
      </c>
      <c r="P2" s="88"/>
      <c r="Q2" s="89"/>
      <c r="R2" s="27" t="s">
        <v>57</v>
      </c>
      <c r="S2" s="88">
        <f>IF(F2="","",F2)</f>
        <v>936790</v>
      </c>
      <c r="T2" s="88"/>
      <c r="U2" s="89"/>
      <c r="V2" s="27" t="s">
        <v>58</v>
      </c>
      <c r="W2" s="103">
        <f>J2</f>
        <v>43937</v>
      </c>
      <c r="X2" s="88"/>
      <c r="Y2" s="89"/>
    </row>
    <row r="3" spans="1:25" ht="20.149999999999999" customHeight="1" x14ac:dyDescent="0.75">
      <c r="A3" s="92" t="s">
        <v>198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4"/>
      <c r="M3" s="11"/>
      <c r="N3" s="92" t="str">
        <f>A3</f>
        <v>FOOD GRADE CRATE LINER - MUST KEEP CLEAN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4"/>
    </row>
    <row r="4" spans="1:25" ht="20.149999999999999" customHeight="1" x14ac:dyDescent="0.75">
      <c r="A4" s="95"/>
      <c r="B4" s="96"/>
      <c r="C4" s="96"/>
      <c r="D4" s="96"/>
      <c r="E4" s="96"/>
      <c r="F4" s="96"/>
      <c r="G4" s="96"/>
      <c r="H4" s="96"/>
      <c r="I4" s="96"/>
      <c r="J4" s="96"/>
      <c r="K4" s="96"/>
      <c r="L4" s="97"/>
      <c r="M4" s="11"/>
      <c r="N4" s="95"/>
      <c r="O4" s="96"/>
      <c r="P4" s="96"/>
      <c r="Q4" s="96"/>
      <c r="R4" s="96"/>
      <c r="S4" s="96"/>
      <c r="T4" s="96"/>
      <c r="U4" s="96"/>
      <c r="V4" s="96"/>
      <c r="W4" s="96"/>
      <c r="X4" s="96"/>
      <c r="Y4" s="97"/>
    </row>
    <row r="5" spans="1:25" ht="20.149999999999999" customHeight="1" x14ac:dyDescent="0.75">
      <c r="A5" s="98"/>
      <c r="B5" s="99"/>
      <c r="C5" s="99"/>
      <c r="D5" s="99"/>
      <c r="E5" s="99"/>
      <c r="F5" s="99"/>
      <c r="G5" s="99"/>
      <c r="H5" s="99"/>
      <c r="I5" s="99"/>
      <c r="J5" s="99"/>
      <c r="K5" s="99"/>
      <c r="L5" s="100"/>
      <c r="M5" s="11"/>
      <c r="N5" s="98"/>
      <c r="O5" s="99"/>
      <c r="P5" s="99"/>
      <c r="Q5" s="99"/>
      <c r="R5" s="99"/>
      <c r="S5" s="99"/>
      <c r="T5" s="99"/>
      <c r="U5" s="99"/>
      <c r="V5" s="99"/>
      <c r="W5" s="99"/>
      <c r="X5" s="99"/>
      <c r="Y5" s="100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11"/>
      <c r="N6" s="60" t="s">
        <v>1</v>
      </c>
      <c r="O6" s="61"/>
      <c r="P6" s="61"/>
      <c r="Q6" s="61"/>
      <c r="R6" s="61"/>
      <c r="S6" s="61"/>
      <c r="T6" s="61"/>
      <c r="U6" s="61"/>
      <c r="V6" s="61"/>
      <c r="W6" s="61"/>
      <c r="X6" s="61"/>
      <c r="Y6" s="62"/>
    </row>
    <row r="7" spans="1:25" ht="20.149999999999999" customHeight="1" x14ac:dyDescent="0.9">
      <c r="A7" s="27" t="s">
        <v>48</v>
      </c>
      <c r="B7" s="90" t="s">
        <v>158</v>
      </c>
      <c r="C7" s="90"/>
      <c r="D7" s="90"/>
      <c r="E7" s="90"/>
      <c r="F7" s="90"/>
      <c r="G7" s="90"/>
      <c r="H7" s="90"/>
      <c r="I7" s="91"/>
      <c r="J7" s="78" t="s">
        <v>178</v>
      </c>
      <c r="K7" s="78"/>
      <c r="L7" s="76"/>
      <c r="M7" s="11"/>
      <c r="N7" s="27" t="str">
        <f>IF(ISNUMBER(SEARCH("roll",O8,1)),"No. Rolls","No. Cartons")</f>
        <v>No. Rolls</v>
      </c>
      <c r="O7" s="86">
        <v>504</v>
      </c>
      <c r="P7" s="87"/>
      <c r="Q7" s="27" t="str">
        <f>IF(ISNUMBER(SEARCH("roll",O8,1)),"Per Roll","Per Carton")</f>
        <v>Per Roll</v>
      </c>
      <c r="R7" s="86">
        <v>2000</v>
      </c>
      <c r="S7" s="87"/>
      <c r="T7" s="27" t="str">
        <f>IF(ISNUMBER(SEARCH("bag",O8,1)),"Total Bags","Total Sheets")</f>
        <v>Total Sheets</v>
      </c>
      <c r="U7" s="88">
        <f>R7*O7</f>
        <v>1008000</v>
      </c>
      <c r="V7" s="89"/>
      <c r="W7" s="27" t="s">
        <v>101</v>
      </c>
      <c r="X7" s="86" t="s">
        <v>22</v>
      </c>
      <c r="Y7" s="87"/>
    </row>
    <row r="8" spans="1:25" ht="20.149999999999999" customHeight="1" x14ac:dyDescent="0.8">
      <c r="A8" s="30" t="s">
        <v>15</v>
      </c>
      <c r="B8" s="104">
        <f>R9</f>
        <v>600</v>
      </c>
      <c r="C8" s="105"/>
      <c r="D8" s="31" t="str">
        <f>IF(ISNUMBER(SEARCH("bag",#REF!,1)),"Gusset","Centrefold")</f>
        <v>Centrefold</v>
      </c>
      <c r="E8" s="104" t="str">
        <f>IF(O8="Centrefold Roll",B8*2,IF(X9="","None",X9))</f>
        <v>None</v>
      </c>
      <c r="F8" s="105"/>
      <c r="G8" s="30" t="s">
        <v>51</v>
      </c>
      <c r="H8" s="104" t="str">
        <f>(IF(V9&lt;30,"30",V9))</f>
        <v>30</v>
      </c>
      <c r="I8" s="105"/>
      <c r="J8" s="27" t="s">
        <v>53</v>
      </c>
      <c r="K8" s="88" t="str">
        <f>IF(X8="None","Layflat Tube",IF(X8="","Layflat Tube",IF(X8="CF","Layflat Tube",IF(X8="G","Gusset Tube",IF(X9="","Layflat Tube",)))))</f>
        <v>Layflat Tube</v>
      </c>
      <c r="L8" s="89"/>
      <c r="M8" s="11"/>
      <c r="N8" s="28" t="s">
        <v>53</v>
      </c>
      <c r="O8" s="132" t="s">
        <v>166</v>
      </c>
      <c r="P8" s="133"/>
      <c r="Q8" s="28" t="s">
        <v>190</v>
      </c>
      <c r="R8" s="32" t="s">
        <v>15</v>
      </c>
      <c r="S8" s="32"/>
      <c r="T8" s="32" t="s">
        <v>78</v>
      </c>
      <c r="U8" s="32"/>
      <c r="V8" s="32" t="s">
        <v>79</v>
      </c>
      <c r="W8" s="31" t="str">
        <f>IF(ISNUMBER(SEARCH("bag",O8,1)),"Gusset","Centrefold")</f>
        <v>Centrefold</v>
      </c>
      <c r="X8" s="130" t="str">
        <f>IF(AND(W8="Gusset",X9=""), "None",IF(AND(W8="Centrefold",X9=""),"None",IF(W8="Gusset","G",IF(W8="Centrefold","CF"))))</f>
        <v>None</v>
      </c>
      <c r="Y8" s="131"/>
    </row>
    <row r="9" spans="1:25" ht="20.149999999999999" customHeight="1" x14ac:dyDescent="0.9">
      <c r="A9" s="42" t="s">
        <v>47</v>
      </c>
      <c r="B9" s="111" t="s">
        <v>179</v>
      </c>
      <c r="C9" s="112"/>
      <c r="D9" s="124" t="str">
        <f>IF(K10="Middle","RUN 2 UP",IF(AND(O8="Centrefold Roll",B8=380),"RUN 2 UP",""))</f>
        <v/>
      </c>
      <c r="E9" s="90"/>
      <c r="F9" s="91"/>
      <c r="G9" s="42" t="s">
        <v>47</v>
      </c>
      <c r="H9" s="111" t="s">
        <v>197</v>
      </c>
      <c r="I9" s="112"/>
      <c r="J9" s="27" t="s">
        <v>54</v>
      </c>
      <c r="K9" s="86" t="s">
        <v>29</v>
      </c>
      <c r="L9" s="87"/>
      <c r="M9" s="11"/>
      <c r="N9" s="29"/>
      <c r="O9" s="134" t="str">
        <f>IF(O8="Poly Bag","PB",IF(O8="Poly Bag Roll","PBR",IF(O8="Centrefold Roll","CFR",IF(O8="Sheet","S",IF(O8="Sheet Roll","SR")))))</f>
        <v>SR</v>
      </c>
      <c r="P9" s="135"/>
      <c r="Q9" s="29"/>
      <c r="R9" s="12">
        <v>600</v>
      </c>
      <c r="S9" s="33" t="s">
        <v>77</v>
      </c>
      <c r="T9" s="12">
        <v>600</v>
      </c>
      <c r="U9" s="33" t="s">
        <v>77</v>
      </c>
      <c r="V9" s="12">
        <v>25</v>
      </c>
      <c r="W9" s="29"/>
      <c r="X9" s="128"/>
      <c r="Y9" s="129"/>
    </row>
    <row r="10" spans="1:25" ht="20.149999999999999" customHeight="1" x14ac:dyDescent="0.8">
      <c r="A10" s="27" t="s">
        <v>50</v>
      </c>
      <c r="B10" s="86">
        <v>280</v>
      </c>
      <c r="C10" s="87"/>
      <c r="D10" s="48" t="s">
        <v>133</v>
      </c>
      <c r="E10" s="113">
        <f>IF(ISNUMBER(SEARCH("sheet",O8,1)),((R9*T9*H8/540000)*U7/2000*1.3),((R9*T9*H8/540000)*U7/1000*1.08))</f>
        <v>13104</v>
      </c>
      <c r="F10" s="114"/>
      <c r="G10" s="27" t="s">
        <v>52</v>
      </c>
      <c r="H10" s="117">
        <f>IF(ISNUMBER(SEARCH("sheet",O8,1)),(U7*T9/2000*1.08),(U7*T9/1000*1.08))</f>
        <v>326592</v>
      </c>
      <c r="I10" s="118"/>
      <c r="J10" s="27" t="s">
        <v>40</v>
      </c>
      <c r="K10" s="86" t="s">
        <v>42</v>
      </c>
      <c r="L10" s="87"/>
      <c r="M10" s="11"/>
      <c r="N10" s="28" t="s">
        <v>140</v>
      </c>
      <c r="O10" s="132" t="s">
        <v>43</v>
      </c>
      <c r="P10" s="133"/>
      <c r="Q10" s="28" t="s">
        <v>49</v>
      </c>
      <c r="R10" s="130" t="str">
        <f>IF(K11="NONE","None",IF(K11="INLINE","Yes",IF(K11="OUT OF LINE","Yes")))</f>
        <v>None</v>
      </c>
      <c r="S10" s="130"/>
      <c r="T10" s="28" t="s">
        <v>99</v>
      </c>
      <c r="U10" s="120" t="s">
        <v>196</v>
      </c>
      <c r="V10" s="120"/>
      <c r="W10" s="120"/>
      <c r="X10" s="120"/>
      <c r="Y10" s="121"/>
    </row>
    <row r="11" spans="1:25" ht="20.149999999999999" customHeight="1" x14ac:dyDescent="0.8">
      <c r="A11" s="27" t="str">
        <f>IF(O8="Centrefold Roll","CF Rolls",IF(ISNUMBER(SEARCH("sheet",O8,1)),"Sheet Rolls",""))</f>
        <v>Sheet Rolls</v>
      </c>
      <c r="B11" s="88">
        <f>IF(AND(O8="Centrefold Roll",D9="RUN 2 UP"),B10*2,IF(ISNUMBER(SEARCH("sheet",O8,1)),B10*2,""))</f>
        <v>560</v>
      </c>
      <c r="C11" s="89"/>
      <c r="D11" s="27" t="s">
        <v>134</v>
      </c>
      <c r="E11" s="115">
        <f>E10/B10</f>
        <v>46.8</v>
      </c>
      <c r="F11" s="116"/>
      <c r="G11" s="27" t="s">
        <v>14</v>
      </c>
      <c r="H11" s="115">
        <f>H10/B10</f>
        <v>1166.4000000000001</v>
      </c>
      <c r="I11" s="116"/>
      <c r="J11" s="27" t="s">
        <v>49</v>
      </c>
      <c r="K11" s="86" t="s">
        <v>43</v>
      </c>
      <c r="L11" s="87"/>
      <c r="M11" s="11"/>
      <c r="N11" s="30"/>
      <c r="O11" s="104" t="str">
        <f>IF(O10="NONE","","V")</f>
        <v/>
      </c>
      <c r="P11" s="105"/>
      <c r="Q11" s="30"/>
      <c r="R11" s="104" t="str">
        <f>IF(R10="None","","P")</f>
        <v/>
      </c>
      <c r="S11" s="104"/>
      <c r="T11" s="30"/>
      <c r="U11" s="122"/>
      <c r="V11" s="122"/>
      <c r="W11" s="122"/>
      <c r="X11" s="122"/>
      <c r="Y11" s="123"/>
    </row>
    <row r="12" spans="1:25" ht="20.149999999999999" customHeight="1" x14ac:dyDescent="0.75">
      <c r="A12" s="125" t="s">
        <v>12</v>
      </c>
      <c r="B12" s="126"/>
      <c r="C12" s="126"/>
      <c r="D12" s="126"/>
      <c r="E12" s="61"/>
      <c r="F12" s="61"/>
      <c r="G12" s="61"/>
      <c r="H12" s="61"/>
      <c r="I12" s="61"/>
      <c r="J12" s="61"/>
      <c r="K12" s="61"/>
      <c r="L12" s="62"/>
      <c r="M12" s="11"/>
      <c r="N12" s="119" t="s">
        <v>70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5" ht="20.149999999999999" customHeight="1" x14ac:dyDescent="0.8">
      <c r="A13" s="27" t="s">
        <v>67</v>
      </c>
      <c r="B13" s="86" t="s">
        <v>43</v>
      </c>
      <c r="C13" s="86"/>
      <c r="D13" s="87"/>
      <c r="E13" s="41" t="s">
        <v>60</v>
      </c>
      <c r="F13" s="86" t="s">
        <v>43</v>
      </c>
      <c r="G13" s="86"/>
      <c r="H13" s="87"/>
      <c r="I13" s="27" t="s">
        <v>61</v>
      </c>
      <c r="J13" s="86" t="s">
        <v>43</v>
      </c>
      <c r="K13" s="86"/>
      <c r="L13" s="87"/>
      <c r="M13" s="11"/>
      <c r="N13" s="27" t="s">
        <v>71</v>
      </c>
      <c r="O13" s="13" t="s">
        <v>76</v>
      </c>
      <c r="P13" s="27" t="s">
        <v>72</v>
      </c>
      <c r="Q13" s="25">
        <f>O7</f>
        <v>504</v>
      </c>
      <c r="R13" s="27" t="s">
        <v>73</v>
      </c>
      <c r="S13" s="13" t="s">
        <v>22</v>
      </c>
      <c r="T13" s="27" t="s">
        <v>177</v>
      </c>
      <c r="U13" s="25" t="str">
        <f>IF(S13="NO","",(ROUNDUP(U7/W13/24,0)))</f>
        <v/>
      </c>
      <c r="V13" s="27" t="s">
        <v>74</v>
      </c>
      <c r="W13" s="13" t="str">
        <f>IF(AND((O17="LOOSE"),(NOT(O18="BUNDLE"))),"",IF(AND((O17="LINED"),(NOT(O18="BUNDLE"))),"",(IF(R7&lt;=500,"50",IF(R7&gt;500,"100")))))</f>
        <v>100</v>
      </c>
      <c r="X13" s="27" t="s">
        <v>75</v>
      </c>
      <c r="Y13" s="14"/>
    </row>
    <row r="14" spans="1:25" ht="20.149999999999999" customHeight="1" x14ac:dyDescent="0.9">
      <c r="A14" s="30" t="s">
        <v>59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1"/>
      <c r="M14" s="11"/>
      <c r="N14" s="119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60" t="s">
        <v>182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2"/>
      <c r="M15" s="11"/>
      <c r="N15" s="75" t="s">
        <v>107</v>
      </c>
      <c r="O15" s="78"/>
      <c r="P15" s="76"/>
      <c r="Q15" s="75" t="s">
        <v>106</v>
      </c>
      <c r="R15" s="78"/>
      <c r="S15" s="76"/>
      <c r="T15" s="75" t="s">
        <v>117</v>
      </c>
      <c r="U15" s="78"/>
      <c r="V15" s="76"/>
      <c r="W15" s="75" t="s">
        <v>116</v>
      </c>
      <c r="X15" s="78"/>
      <c r="Y15" s="76"/>
    </row>
    <row r="16" spans="1:25" ht="20.149999999999999" customHeight="1" x14ac:dyDescent="0.8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8" t="s">
        <v>11</v>
      </c>
      <c r="L16" s="76"/>
      <c r="M16" s="11"/>
      <c r="N16" s="27" t="s">
        <v>27</v>
      </c>
      <c r="O16" s="86"/>
      <c r="P16" s="87"/>
      <c r="Q16" s="27" t="s">
        <v>104</v>
      </c>
      <c r="R16" s="86" t="s">
        <v>22</v>
      </c>
      <c r="S16" s="87"/>
      <c r="T16" s="27" t="s">
        <v>102</v>
      </c>
      <c r="U16" s="86" t="s">
        <v>30</v>
      </c>
      <c r="V16" s="87"/>
      <c r="W16" s="27" t="str">
        <f>IF(ISNUMBER(SEARCH("bag",O8,1)),"Total Bags","Total Sheets")</f>
        <v>Total Sheets</v>
      </c>
      <c r="X16" s="136"/>
      <c r="Y16" s="137"/>
    </row>
    <row r="17" spans="1:25" ht="20.149999999999999" customHeight="1" x14ac:dyDescent="0.8">
      <c r="A17" s="77" t="s">
        <v>5</v>
      </c>
      <c r="B17" s="77"/>
      <c r="C17" s="79" t="s">
        <v>146</v>
      </c>
      <c r="D17" s="80"/>
      <c r="E17" s="84"/>
      <c r="F17" s="85"/>
      <c r="G17" s="15" t="s">
        <v>80</v>
      </c>
      <c r="H17" s="14"/>
      <c r="I17" s="138"/>
      <c r="J17" s="139"/>
      <c r="K17" s="138"/>
      <c r="L17" s="139"/>
      <c r="M17" s="11"/>
      <c r="N17" s="27" t="s">
        <v>25</v>
      </c>
      <c r="O17" s="86"/>
      <c r="P17" s="87"/>
      <c r="Q17" s="27" t="s">
        <v>103</v>
      </c>
      <c r="R17" s="86" t="s">
        <v>22</v>
      </c>
      <c r="S17" s="87"/>
      <c r="T17" s="39" t="str">
        <f>IF(ISNUMBER(SEARCH("roll",O8,1)),"Part Rolls","Part Ctns")</f>
        <v>Part Rolls</v>
      </c>
      <c r="U17" s="86" t="s">
        <v>30</v>
      </c>
      <c r="V17" s="87"/>
      <c r="W17" s="27" t="str">
        <f>IF(ISNUMBER(SEARCH("roll",O8,1)),"Total Rolls","Total Ctns")</f>
        <v>Total Rolls</v>
      </c>
      <c r="X17" s="136"/>
      <c r="Y17" s="137"/>
    </row>
    <row r="18" spans="1:25" ht="20.149999999999999" customHeight="1" x14ac:dyDescent="0.8">
      <c r="A18" s="77" t="s">
        <v>6</v>
      </c>
      <c r="B18" s="77"/>
      <c r="C18" s="79" t="s">
        <v>145</v>
      </c>
      <c r="D18" s="80"/>
      <c r="E18" s="84"/>
      <c r="F18" s="85"/>
      <c r="G18" s="15" t="s">
        <v>81</v>
      </c>
      <c r="H18" s="14"/>
      <c r="I18" s="138"/>
      <c r="J18" s="139"/>
      <c r="K18" s="138"/>
      <c r="L18" s="139"/>
      <c r="M18" s="11"/>
      <c r="N18" s="27" t="s">
        <v>100</v>
      </c>
      <c r="O18" s="86"/>
      <c r="P18" s="87"/>
      <c r="Q18" s="27" t="s">
        <v>105</v>
      </c>
      <c r="R18" s="86" t="s">
        <v>30</v>
      </c>
      <c r="S18" s="87"/>
      <c r="T18" s="1" t="s">
        <v>26</v>
      </c>
      <c r="U18" s="86" t="s">
        <v>35</v>
      </c>
      <c r="V18" s="87"/>
      <c r="W18" s="27" t="s">
        <v>108</v>
      </c>
      <c r="X18" s="136"/>
      <c r="Y18" s="137"/>
    </row>
    <row r="19" spans="1:25" ht="20.149999999999999" customHeight="1" x14ac:dyDescent="0.75">
      <c r="A19" s="77" t="s">
        <v>7</v>
      </c>
      <c r="B19" s="77"/>
      <c r="C19" s="79" t="s">
        <v>144</v>
      </c>
      <c r="D19" s="80"/>
      <c r="E19" s="84"/>
      <c r="F19" s="85"/>
      <c r="G19" s="15" t="s">
        <v>82</v>
      </c>
      <c r="H19" s="14"/>
      <c r="I19" s="138"/>
      <c r="J19" s="139"/>
      <c r="K19" s="138"/>
      <c r="L19" s="139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49999999999999" customHeight="1" x14ac:dyDescent="0.75">
      <c r="A20" s="77" t="s">
        <v>8</v>
      </c>
      <c r="B20" s="77"/>
      <c r="C20" s="79" t="s">
        <v>143</v>
      </c>
      <c r="D20" s="80"/>
      <c r="E20" s="84"/>
      <c r="F20" s="85"/>
      <c r="G20" s="15" t="s">
        <v>83</v>
      </c>
      <c r="H20" s="14"/>
      <c r="I20" s="138"/>
      <c r="J20" s="139"/>
      <c r="K20" s="138"/>
      <c r="L20" s="139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49999999999999" customHeight="1" x14ac:dyDescent="0.75">
      <c r="A21" s="77" t="s">
        <v>9</v>
      </c>
      <c r="B21" s="77"/>
      <c r="C21" s="79" t="s">
        <v>142</v>
      </c>
      <c r="D21" s="80"/>
      <c r="E21" s="84"/>
      <c r="F21" s="85"/>
      <c r="G21" s="15" t="s">
        <v>84</v>
      </c>
      <c r="H21" s="14"/>
      <c r="I21" s="138"/>
      <c r="J21" s="139"/>
      <c r="K21" s="138"/>
      <c r="L21" s="139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49999999999999" customHeight="1" x14ac:dyDescent="0.75">
      <c r="A22" s="77" t="str">
        <f>(IF(B7="NATURAL","",B7))</f>
        <v>BLUE TINT</v>
      </c>
      <c r="B22" s="77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0"/>
      <c r="E22" s="84">
        <v>0.02</v>
      </c>
      <c r="F22" s="85"/>
      <c r="G22" s="15" t="s">
        <v>85</v>
      </c>
      <c r="H22" s="14"/>
      <c r="I22" s="138"/>
      <c r="J22" s="139"/>
      <c r="K22" s="138"/>
      <c r="L22" s="139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49999999999999" customHeight="1" x14ac:dyDescent="0.75">
      <c r="A23" s="81"/>
      <c r="B23" s="81"/>
      <c r="C23" s="7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0"/>
      <c r="E23" s="84"/>
      <c r="F23" s="85"/>
      <c r="G23" s="15" t="s">
        <v>86</v>
      </c>
      <c r="H23" s="14"/>
      <c r="I23" s="138"/>
      <c r="J23" s="139"/>
      <c r="K23" s="138"/>
      <c r="L23" s="139"/>
      <c r="M23" s="11"/>
      <c r="N23" s="119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2"/>
      <c r="B24" s="83"/>
      <c r="C24" s="7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0"/>
      <c r="E24" s="84"/>
      <c r="F24" s="85"/>
      <c r="G24" s="15" t="s">
        <v>87</v>
      </c>
      <c r="H24" s="14"/>
      <c r="I24" s="138"/>
      <c r="J24" s="139"/>
      <c r="K24" s="138"/>
      <c r="L24" s="139"/>
      <c r="M24" s="11"/>
      <c r="N24" s="16"/>
      <c r="O24" s="34" t="s">
        <v>118</v>
      </c>
      <c r="P24" s="34" t="s">
        <v>128</v>
      </c>
      <c r="Q24" s="34" t="s">
        <v>119</v>
      </c>
      <c r="R24" s="34" t="s">
        <v>120</v>
      </c>
      <c r="S24" s="34" t="s">
        <v>121</v>
      </c>
      <c r="T24" s="34" t="s">
        <v>122</v>
      </c>
      <c r="U24" s="34" t="s">
        <v>123</v>
      </c>
      <c r="V24" s="34" t="s">
        <v>124</v>
      </c>
      <c r="W24" s="34" t="s">
        <v>125</v>
      </c>
      <c r="X24" s="34" t="s">
        <v>126</v>
      </c>
      <c r="Y24" s="34" t="s">
        <v>175</v>
      </c>
    </row>
    <row r="25" spans="1:25" ht="20.149999999999999" customHeight="1" x14ac:dyDescent="0.75">
      <c r="A25" s="60" t="s">
        <v>0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2"/>
      <c r="M25" s="11"/>
      <c r="N25" s="34" t="s">
        <v>95</v>
      </c>
      <c r="O25" s="10"/>
      <c r="P25" s="17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38"/>
      <c r="B26" s="34" t="s">
        <v>180</v>
      </c>
      <c r="C26" s="34" t="s">
        <v>91</v>
      </c>
      <c r="D26" s="35" t="s">
        <v>89</v>
      </c>
      <c r="E26" s="35" t="s">
        <v>90</v>
      </c>
      <c r="F26" s="35" t="s">
        <v>92</v>
      </c>
      <c r="G26" s="141" t="s">
        <v>131</v>
      </c>
      <c r="H26" s="141"/>
      <c r="I26" s="141" t="s">
        <v>130</v>
      </c>
      <c r="J26" s="141"/>
      <c r="K26" s="35" t="s">
        <v>93</v>
      </c>
      <c r="L26" s="35" t="s">
        <v>94</v>
      </c>
      <c r="M26" s="11"/>
      <c r="N26" s="60" t="s">
        <v>136</v>
      </c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</row>
    <row r="27" spans="1:25" ht="20.149999999999999" customHeight="1" x14ac:dyDescent="0.75">
      <c r="A27" s="34" t="s">
        <v>95</v>
      </c>
      <c r="B27" s="7"/>
      <c r="C27" s="7"/>
      <c r="D27" s="7"/>
      <c r="E27" s="8"/>
      <c r="F27" s="7"/>
      <c r="G27" s="140"/>
      <c r="H27" s="140"/>
      <c r="I27" s="140"/>
      <c r="J27" s="140"/>
      <c r="K27" s="7"/>
      <c r="L27" s="10"/>
      <c r="M27" s="11"/>
      <c r="N27" s="35" t="s">
        <v>183</v>
      </c>
      <c r="O27" s="35" t="s">
        <v>20</v>
      </c>
      <c r="P27" s="35" t="s">
        <v>16</v>
      </c>
      <c r="Q27" s="35" t="s">
        <v>13</v>
      </c>
      <c r="R27" s="35" t="s">
        <v>127</v>
      </c>
      <c r="S27" s="35" t="s">
        <v>128</v>
      </c>
      <c r="T27" s="35" t="s">
        <v>111</v>
      </c>
      <c r="U27" s="35" t="s">
        <v>129</v>
      </c>
      <c r="V27" s="35" t="s">
        <v>115</v>
      </c>
      <c r="W27" s="35" t="s">
        <v>191</v>
      </c>
      <c r="X27" s="35" t="s">
        <v>192</v>
      </c>
      <c r="Y27" s="35" t="s">
        <v>21</v>
      </c>
    </row>
    <row r="28" spans="1:25" ht="20.149999999999999" customHeight="1" x14ac:dyDescent="0.75">
      <c r="A28" s="34" t="s">
        <v>96</v>
      </c>
      <c r="B28" s="7"/>
      <c r="C28" s="7"/>
      <c r="D28" s="7"/>
      <c r="E28" s="9"/>
      <c r="F28" s="7"/>
      <c r="G28" s="140"/>
      <c r="H28" s="140"/>
      <c r="I28" s="140"/>
      <c r="J28" s="140"/>
      <c r="K28" s="7"/>
      <c r="L28" s="10"/>
      <c r="M28" s="11"/>
      <c r="N28" s="49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49999999999999" customHeight="1" x14ac:dyDescent="0.7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7"/>
      <c r="M29" s="11"/>
      <c r="N29" s="49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49999999999999" customHeight="1" x14ac:dyDescent="0.75">
      <c r="A30" s="39" t="s">
        <v>114</v>
      </c>
      <c r="B30" s="18"/>
      <c r="C30" s="14"/>
      <c r="D30" s="39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49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49999999999999" customHeight="1" x14ac:dyDescent="0.75">
      <c r="A31" s="39" t="s">
        <v>113</v>
      </c>
      <c r="B31" s="18"/>
      <c r="C31" s="14"/>
      <c r="D31" s="39" t="s">
        <v>111</v>
      </c>
      <c r="E31" s="19"/>
      <c r="F31" s="23"/>
      <c r="G31" s="39" t="s">
        <v>97</v>
      </c>
      <c r="H31" s="19"/>
      <c r="I31" s="19"/>
      <c r="J31" s="19"/>
      <c r="K31" s="19"/>
      <c r="L31" s="14"/>
      <c r="M31" s="11"/>
      <c r="N31" s="49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49999999999999" customHeight="1" x14ac:dyDescent="0.75">
      <c r="A32" s="26" t="s">
        <v>112</v>
      </c>
      <c r="B32" s="24"/>
      <c r="C32" s="22"/>
      <c r="D32" s="26" t="s">
        <v>88</v>
      </c>
      <c r="E32" s="20"/>
      <c r="F32" s="22"/>
      <c r="G32" s="26" t="s">
        <v>110</v>
      </c>
      <c r="H32" s="20"/>
      <c r="I32" s="20"/>
      <c r="J32" s="20"/>
      <c r="K32" s="20"/>
      <c r="L32" s="22"/>
      <c r="M32" s="11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49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49999999999999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49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49999999999999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49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49999999999999" customHeight="1" x14ac:dyDescent="0.7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49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49999999999999" customHeight="1" x14ac:dyDescent="0.75">
      <c r="A37" s="35" t="s">
        <v>13</v>
      </c>
      <c r="B37" s="1" t="s">
        <v>20</v>
      </c>
      <c r="C37" s="35" t="s">
        <v>134</v>
      </c>
      <c r="D37" s="35" t="s">
        <v>14</v>
      </c>
      <c r="E37" s="35" t="s">
        <v>15</v>
      </c>
      <c r="F37" s="35" t="s">
        <v>51</v>
      </c>
      <c r="G37" s="37" t="s">
        <v>16</v>
      </c>
      <c r="H37" s="37" t="s">
        <v>17</v>
      </c>
      <c r="I37" s="36" t="s">
        <v>28</v>
      </c>
      <c r="J37" s="35" t="s">
        <v>18</v>
      </c>
      <c r="K37" s="35" t="s">
        <v>19</v>
      </c>
      <c r="L37" s="35" t="s">
        <v>21</v>
      </c>
      <c r="M37" s="11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34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49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49999999999999" customHeight="1" x14ac:dyDescent="0.75">
      <c r="A39" s="34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49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49999999999999" customHeight="1" x14ac:dyDescent="0.75">
      <c r="A40" s="34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49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49999999999999" customHeight="1" x14ac:dyDescent="0.75">
      <c r="A41" s="34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49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1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3"/>
    </row>
    <row r="44" spans="1:25" ht="20.149999999999999" customHeight="1" x14ac:dyDescent="0.75">
      <c r="A44" s="35" t="s">
        <v>13</v>
      </c>
      <c r="B44" s="34" t="s">
        <v>20</v>
      </c>
      <c r="C44" s="35" t="s">
        <v>134</v>
      </c>
      <c r="D44" s="35" t="s">
        <v>14</v>
      </c>
      <c r="E44" s="35" t="s">
        <v>15</v>
      </c>
      <c r="F44" s="35" t="s">
        <v>51</v>
      </c>
      <c r="G44" s="37" t="s">
        <v>16</v>
      </c>
      <c r="H44" s="37" t="s">
        <v>17</v>
      </c>
      <c r="I44" s="35" t="s">
        <v>28</v>
      </c>
      <c r="J44" s="35" t="s">
        <v>18</v>
      </c>
      <c r="K44" s="35" t="s">
        <v>19</v>
      </c>
      <c r="L44" s="35" t="s">
        <v>21</v>
      </c>
      <c r="N44" s="35" t="s">
        <v>183</v>
      </c>
      <c r="O44" s="35" t="s">
        <v>20</v>
      </c>
      <c r="P44" s="35" t="s">
        <v>16</v>
      </c>
      <c r="Q44" s="35" t="s">
        <v>13</v>
      </c>
      <c r="R44" s="35" t="s">
        <v>127</v>
      </c>
      <c r="S44" s="35" t="s">
        <v>128</v>
      </c>
      <c r="T44" s="35" t="s">
        <v>111</v>
      </c>
      <c r="U44" s="35" t="s">
        <v>129</v>
      </c>
      <c r="V44" s="35" t="s">
        <v>115</v>
      </c>
      <c r="W44" s="35" t="s">
        <v>191</v>
      </c>
      <c r="X44" s="35" t="s">
        <v>192</v>
      </c>
      <c r="Y44" s="35" t="s">
        <v>21</v>
      </c>
    </row>
    <row r="45" spans="1:25" ht="20.149999999999999" customHeight="1" x14ac:dyDescent="0.75">
      <c r="A45" s="34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49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49999999999999" customHeight="1" x14ac:dyDescent="0.75">
      <c r="A46" s="34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49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49999999999999" customHeight="1" x14ac:dyDescent="0.75">
      <c r="A47" s="34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49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49999999999999" customHeight="1" x14ac:dyDescent="0.75">
      <c r="A48" s="34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49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34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49999999999999" customHeight="1" x14ac:dyDescent="0.75">
      <c r="A51" s="34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49999999999999" customHeight="1" x14ac:dyDescent="0.75">
      <c r="A52" s="34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49999999999999" customHeight="1" x14ac:dyDescent="0.75">
      <c r="A53" s="34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34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49999999999999" customHeight="1" x14ac:dyDescent="0.75">
      <c r="A56" s="34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49999999999999" customHeight="1" x14ac:dyDescent="0.75">
      <c r="A57" s="34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49999999999999" customHeight="1" x14ac:dyDescent="0.75">
      <c r="A58" s="34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34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1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34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1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34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1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34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1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2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34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1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34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1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34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1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34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1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2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34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1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34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1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34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1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34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1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2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34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1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34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1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34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1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34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1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2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34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1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34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1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34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1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34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1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2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34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1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2656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45929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45919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194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185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186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8" t="s">
        <v>173</v>
      </c>
      <c r="N69" s="4"/>
    </row>
    <row r="70" spans="1:20" x14ac:dyDescent="0.7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DCAC277-DEF3-4380-8614-0FBEABBC11A5}"/>
</file>

<file path=customXml/itemProps2.xml><?xml version="1.0" encoding="utf-8"?>
<ds:datastoreItem xmlns:ds="http://schemas.openxmlformats.org/officeDocument/2006/customXml" ds:itemID="{D090A012-395E-442E-B702-F9433BFC1BDE}"/>
</file>

<file path=customXml/itemProps3.xml><?xml version="1.0" encoding="utf-8"?>
<ds:datastoreItem xmlns:ds="http://schemas.openxmlformats.org/officeDocument/2006/customXml" ds:itemID="{5481F963-3F7B-4B4A-8E86-4D61FC2F18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2020-03-25T22:50:55Z</cp:lastPrinted>
  <dcterms:created xsi:type="dcterms:W3CDTF">2019-11-27T23:28:06Z</dcterms:created>
  <dcterms:modified xsi:type="dcterms:W3CDTF">2025-09-08T23:53:01Z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