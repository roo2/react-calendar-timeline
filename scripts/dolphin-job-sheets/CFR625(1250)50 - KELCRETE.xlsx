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DB65068-86F5-4C85-8033-56CEE92B4BAA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9" i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<sst xmlns="http://schemas.openxmlformats.org/spreadsheetml/2006/main" count="225" uniqueCount="167">
  <si>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</si>
  <si>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</si>
  <si>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</si>
  <si>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</si>
  <si>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</si>
  <si>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</si>
  <si>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</si>
  <si>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</si>
  <si>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</si>
  <si>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</si>
  <si>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</si>
  <si>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</si>
  <si>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</si>
  <si>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</si>
  <si>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</si>
  <si>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</si>
  <si>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</si>
  <si>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</si>
  <si>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</si>
  <si>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</si>
  <si>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</si>
  <si>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</si>
  <si>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</si>
  <si>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</si>
  <si>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</si>
  <si>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</si>
  <si>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</si>
  <si>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</si>
  <si>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</si>
  <si>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</si>
  <si>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</si>
  <si>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</si>
  <si>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</si>
  <si>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</si>
  <si>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</si>
  <si>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</si>
  <si>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</si>
  <si>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</si>
  <si>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</si>
  <si>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</si>
  <si>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</si>
  <si>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</si>
  <si>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</si>
  <si>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</si>
  <si>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</si>
  <si>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</si>
  <si>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</si>
  <si>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</si>
  <si>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</si>
  <si>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</si>
  <si>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</si>
  <si>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</si>
  <si>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</si>
  <si>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</si>
  <si>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</si>
  <si>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</si>
  <si>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</si>
  <si>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</si>
  <si>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</si>
  <si>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</si>
  <si>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</si>
  <si>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</si>
  <si>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</si>
  <si>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</si>
  <si>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</si>
  <si>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</si>
  <si>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</si>
  <si>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</si>
  <si>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</si>
  <si>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</si>
  <si>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</si>
  <si>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</si>
  <si>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</si>
  <si>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</si>
  <si>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</si>
  <si>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</si>
  <si>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</si>
  <si>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</si>
  <si>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</si>
  <si>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</si>
  <si>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</si>
  <si>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</si>
  <si>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</si>
  <si>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</si>
  <si>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</si>
  <si>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</si>
  <si>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</si>
  <si>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</si>
  <si>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</si>
  <si>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</si>
  <si>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</si>
  <si>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</si>
  <si>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</si>
  <si>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</si>
  <si>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</si>
  <si>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</si>
  <si>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</si>
  <si>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</si>
  <si>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</si>
  <si>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</si>
  <si>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</si>
  <si>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</si>
  <si>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</si>
  <si>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</si>
  <si>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</si>
  <si>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</si>
  <si>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</si>
  <si>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</si>
  <si>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</si>
  <si>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</si>
  <si>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</si>
  <si>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</si>
  <si>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</si>
  <si>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</si>
  <si>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</si>
  <si>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</si>
  <si>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</si>
  <si>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</si>
  <si>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</si>
  <si>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</si>
  <si>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</si>
  <si>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</si>
  <si>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</si>
  <si>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</si>
  <si>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</si>
  <si>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</si>
  <si>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</si>
  <si>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</si>
  <si>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</si>
  <si>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</si>
  <si>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</si>
  <si>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</si>
  <si>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</si>
  <si>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</si>
  <si>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</si>
  <si>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</si>
  <si>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</si>
  <si>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</si>
  <si>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</si>
  <si>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</si>
  <si>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</si>
  <si>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</si>
  <si>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</si>
  <si>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</si>
  <si>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</si>
  <si>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</si>
  <si>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</si>
  <si>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</si>
  <si>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</si>
  <si>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</si>
  <si>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</si>
  <si>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</si>
  <si>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</si>
  <si>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</si>
  <si>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</si>
  <si>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</si>
  <si>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</si>
  <si>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</si>
  <si>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</si>
  <si>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</si>
  <si>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</si>
  <si>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</si>
  <si>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</si>
  <si>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+/- 10mm</t>
  </si>
  <si>
    <t xml:space="preserve"> + / - 5UM</t>
  </si>
  <si>
    <t>KELCRETE</t>
  </si>
  <si>
    <t>02.10.2022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</si>
</sst>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O32" sqref="O32"/>
    </sheetView>
  </sheetViews>
  <sheetFormatPr defaultRowHeight="14.75" x14ac:dyDescent="0.75"/>
  <sheetData>
    <row r="1" spans="1:14" ht="20.149999999999999" customHeight="1" x14ac:dyDescent="0.8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CFR625(1250)50</v>
      </c>
      <c r="C1" s="70"/>
      <c r="D1" s="71"/>
      <c r="E1" s="12" t="s">
        <v>55</v>
      </c>
      <c r="F1" s="85" t="s">
        <v>165</v>
      </c>
      <c r="G1" s="85"/>
      <c r="H1" s="86"/>
      <c r="I1" s="12" t="s">
        <v>148</v>
      </c>
      <c r="J1" s="87">
        <f ca="1">TODAY()</f>
        <v>44798</v>
      </c>
      <c r="K1" s="87"/>
      <c r="L1" s="88"/>
    </row>
    <row r="2" spans="1:14" ht="20.149999999999999" customHeight="1" x14ac:dyDescent="0.8">
      <c r="A2" s="12" t="s">
        <v>94</v>
      </c>
      <c r="B2" s="74" t="str">
        <f>IF(B7="Tube",(ROUNDUP(E11,0)&amp;"KG"),(ROUNDUP(H11,0)&amp;"M"))</f>
        <v>449M</v>
      </c>
      <c r="C2" s="74"/>
      <c r="D2" s="75"/>
      <c r="E2" s="12" t="s">
        <v>56</v>
      </c>
      <c r="F2" s="60">
        <v>944090</v>
      </c>
      <c r="G2" s="60"/>
      <c r="H2" s="61"/>
      <c r="I2" s="12" t="s">
        <v>57</v>
      </c>
      <c r="J2" s="89" t="s">
        <v>166</v>
      </c>
      <c r="K2" s="60"/>
      <c r="L2" s="61"/>
    </row>
    <row r="3" spans="1:14" ht="20.149999999999999" customHeight="1" x14ac:dyDescent="0.7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49999999999999" customHeight="1" x14ac:dyDescent="0.7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49999999999999" customHeight="1" x14ac:dyDescent="0.7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49999999999999" customHeight="1" x14ac:dyDescent="0.7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49999999999999" customHeight="1" x14ac:dyDescent="0.9">
      <c r="A7" s="12" t="s">
        <v>158</v>
      </c>
      <c r="B7" s="60" t="s">
        <v>161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146</v>
      </c>
      <c r="K7" s="102"/>
      <c r="L7" s="103"/>
    </row>
    <row r="8" spans="1:14" ht="20.149999999999999" customHeight="1" x14ac:dyDescent="0.8">
      <c r="A8" s="13" t="s">
        <v>14</v>
      </c>
      <c r="B8" s="108">
        <v>625</v>
      </c>
      <c r="C8" s="109"/>
      <c r="D8" s="13" t="str">
        <f>IF(B7="Tube","Gusset","Centrefold")</f>
        <v>Centrefold</v>
      </c>
      <c r="E8" s="104">
        <f>IF(B7="Cont Centrefold",B8*2,"")</f>
        <v>1250</v>
      </c>
      <c r="F8" s="105"/>
      <c r="G8" s="13" t="s">
        <v>50</v>
      </c>
      <c r="H8" s="108">
        <v>50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49999999999999" customHeight="1" x14ac:dyDescent="0.9">
      <c r="A9" s="14" t="s">
        <v>46</v>
      </c>
      <c r="B9" s="92" t="s">
        <v>163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164</v>
      </c>
      <c r="I9" s="93"/>
      <c r="J9" s="12" t="s">
        <v>53</v>
      </c>
      <c r="K9" s="60" t="s">
        <v>28</v>
      </c>
      <c r="L9" s="61"/>
    </row>
    <row r="10" spans="1:14" ht="20.149999999999999" customHeight="1" x14ac:dyDescent="0.8">
      <c r="A10" s="12" t="s">
        <v>49</v>
      </c>
      <c r="B10" s="60">
        <v>16</v>
      </c>
      <c r="C10" s="61"/>
      <c r="D10" s="42" t="s">
        <v>104</v>
      </c>
      <c r="E10" s="96">
        <f>E11*B10</f>
        <v>415.74074074074076</v>
      </c>
      <c r="F10" s="97"/>
      <c r="G10" s="12" t="s">
        <v>51</v>
      </c>
      <c r="H10" s="74">
        <f>H11*B10</f>
        <v>7184</v>
      </c>
      <c r="I10" s="75"/>
      <c r="J10" s="12" t="s">
        <v>39</v>
      </c>
      <c r="K10" s="60" t="s">
        <v>40</v>
      </c>
      <c r="L10" s="61"/>
    </row>
    <row r="11" spans="1:14" s="52" customFormat="1" ht="20.149999999999999" customHeight="1" x14ac:dyDescent="0.8">
      <c r="A11" s="51" t="str">
        <f>IF(B7="Cont Sheet Roll","Sheet Rolls",IF(B7="Cont Centrefold","CF Rolls",""))</f>
        <v>CF Rolls</v>
      </c>
      <c r="B11" s="94">
        <f>IF(AND(B7="Cont Centrefold",D9="RUN 2 UP"),B10*2,IF(B7="Cont Centrefold",B10,IF(B7="Cont Sheet Roll",B10*2,"")))</f>
        <v>16</v>
      </c>
      <c r="C11" s="95"/>
      <c r="D11" s="51" t="s">
        <v>105</v>
      </c>
      <c r="E11" s="98">
        <f>IF(D9="RUN 2 UP",(B8*H8*H11/540000)*2,(B8*H8*H11/540000))</f>
        <v>25.983796296296298</v>
      </c>
      <c r="F11" s="99"/>
      <c r="G11" s="51" t="s">
        <v>13</v>
      </c>
      <c r="H11" s="100">
        <v>449</v>
      </c>
      <c r="I11" s="101"/>
      <c r="J11" s="51" t="s">
        <v>48</v>
      </c>
      <c r="K11" s="106" t="s">
        <v>42</v>
      </c>
      <c r="L11" s="107"/>
      <c r="N11"/>
    </row>
    <row r="12" spans="1:14" ht="20.149999999999999" customHeight="1" x14ac:dyDescent="0.7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49999999999999" customHeight="1" x14ac:dyDescent="0.8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49999999999999" customHeight="1" x14ac:dyDescent="0.9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49999999999999" customHeight="1" x14ac:dyDescent="0.7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49999999999999" customHeight="1" x14ac:dyDescent="0.8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16</v>
      </c>
      <c r="G16" s="70"/>
      <c r="H16" s="71"/>
      <c r="I16" s="12" t="s">
        <v>74</v>
      </c>
      <c r="J16" s="60"/>
      <c r="K16" s="60"/>
      <c r="L16" s="61"/>
    </row>
    <row r="17" spans="1:12" ht="20.149999999999999" customHeight="1" x14ac:dyDescent="0.75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49999999999999" customHeight="1" x14ac:dyDescent="0.7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49999999999999" customHeight="1" x14ac:dyDescent="0.7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49999999999999" customHeight="1" x14ac:dyDescent="0.7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49999999999999" customHeight="1" x14ac:dyDescent="0.7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49999999999999" customHeight="1" x14ac:dyDescent="0.7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49999999999999" customHeight="1" x14ac:dyDescent="0.75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49999999999999" customHeight="1" x14ac:dyDescent="0.75">
      <c r="A24" s="58" t="str">
        <f>(IF(E7="NATURAL","",E7))</f>
        <v/>
      </c>
      <c r="B24" s="58"/>
      <c r="C24" s="7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3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49999999999999" customHeight="1" x14ac:dyDescent="0.7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49999999999999" customHeight="1" x14ac:dyDescent="0.7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49999999999999" customHeight="1" x14ac:dyDescent="0.7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49999999999999" customHeight="1" x14ac:dyDescent="0.7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49999999999999" customHeight="1" x14ac:dyDescent="0.7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49999999999999" customHeight="1" x14ac:dyDescent="0.7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49999999999999" customHeight="1" x14ac:dyDescent="0.7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49999999999999" customHeight="1" x14ac:dyDescent="0.7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49999999999999" customHeight="1" x14ac:dyDescent="0.7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49999999999999" customHeight="1" x14ac:dyDescent="0.7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49999999999999" customHeight="1" x14ac:dyDescent="0.7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49999999999999" customHeight="1" x14ac:dyDescent="0.7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49999999999999" customHeight="1" x14ac:dyDescent="0.7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49999999999999" customHeight="1" x14ac:dyDescent="0.7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49999999999999" customHeight="1" x14ac:dyDescent="0.7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49999999999999" customHeight="1" x14ac:dyDescent="0.7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49999999999999" customHeight="1" x14ac:dyDescent="0.7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49999999999999" customHeight="1" x14ac:dyDescent="0.7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49999999999999" customHeight="1" x14ac:dyDescent="0.7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49999999999999" customHeight="1" x14ac:dyDescent="0.75"/>
    <row r="45" spans="1:12" ht="20.149999999999999" customHeight="1" x14ac:dyDescent="0.7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49999999999999" customHeight="1" x14ac:dyDescent="0.7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49999999999999" customHeight="1" x14ac:dyDescent="0.7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49999999999999" customHeight="1" x14ac:dyDescent="0.7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49999999999999" customHeight="1" x14ac:dyDescent="0.7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49999999999999" customHeight="1" x14ac:dyDescent="0.7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49999999999999" customHeight="1" x14ac:dyDescent="0.7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49999999999999" customHeight="1" x14ac:dyDescent="0.7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49999999999999" customHeight="1" x14ac:dyDescent="0.7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49999999999999" customHeight="1" x14ac:dyDescent="0.7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49999999999999" customHeight="1" x14ac:dyDescent="0.7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49999999999999" customHeight="1" x14ac:dyDescent="0.7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49999999999999" customHeight="1" x14ac:dyDescent="0.7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49999999999999" customHeight="1" x14ac:dyDescent="0.7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49999999999999" customHeight="1" x14ac:dyDescent="0.7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49999999999999" customHeight="1" x14ac:dyDescent="0.7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49999999999999" customHeight="1" x14ac:dyDescent="0.7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49999999999999" customHeight="1" x14ac:dyDescent="0.7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49999999999999" customHeight="1" x14ac:dyDescent="0.7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49999999999999" customHeight="1" x14ac:dyDescent="0.7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49999999999999" customHeight="1" x14ac:dyDescent="0.7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49999999999999" customHeight="1" x14ac:dyDescent="0.7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49999999999999" customHeight="1" x14ac:dyDescent="0.7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49999999999999" customHeight="1" x14ac:dyDescent="0.7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49999999999999" customHeight="1" x14ac:dyDescent="0.7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49999999999999" customHeight="1" x14ac:dyDescent="0.7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49999999999999" customHeight="1" x14ac:dyDescent="0.7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49999999999999" customHeight="1" x14ac:dyDescent="0.7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49999999999999" customHeight="1" x14ac:dyDescent="0.7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49999999999999" customHeight="1" x14ac:dyDescent="0.7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49999999999999" customHeight="1" x14ac:dyDescent="0.7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49999999999999" customHeight="1" x14ac:dyDescent="0.7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49999999999999" customHeight="1" x14ac:dyDescent="0.7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49999999999999" customHeight="1" x14ac:dyDescent="0.7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49999999999999" customHeight="1" x14ac:dyDescent="0.7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49999999999999" customHeight="1" x14ac:dyDescent="0.7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49999999999999" customHeight="1" x14ac:dyDescent="0.7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49999999999999" customHeight="1" x14ac:dyDescent="0.7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49999999999999" customHeight="1" x14ac:dyDescent="0.7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49999999999999" customHeight="1" x14ac:dyDescent="0.7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49999999999999" customHeight="1" x14ac:dyDescent="0.7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7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7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3">
        <f ca="1">DATE(YEAR(Sheet1!J1),MONTH(Sheet1!J1)+1,DAY(Sheet1!J1))</f>
        <v>44829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3">
        <f ca="1">DATE(YEAR(Sheet1!J1),MONTH(Sheet1!J1),DAY(Sheet1!J1)+21)</f>
        <v>44819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7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6" t="s">
        <v>145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7" t="s">
        <v>143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136</v>
      </c>
      <c r="T19" s="1"/>
      <c r="V19" s="1"/>
    </row>
    <row r="20" spans="1:23" x14ac:dyDescent="0.7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7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7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7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7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7" t="s">
        <v>144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7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7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7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137</v>
      </c>
      <c r="U31" s="1"/>
      <c r="V31" s="1"/>
    </row>
    <row r="32" spans="1:23" x14ac:dyDescent="0.7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7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7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7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7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138</v>
      </c>
      <c r="U36" s="1"/>
      <c r="V36" s="1"/>
    </row>
    <row r="37" spans="1:22" x14ac:dyDescent="0.7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139</v>
      </c>
      <c r="U37" s="1"/>
      <c r="V37" s="1"/>
    </row>
    <row r="38" spans="1:22" x14ac:dyDescent="0.7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7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7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7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7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7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140</v>
      </c>
    </row>
    <row r="44" spans="1:22" x14ac:dyDescent="0.7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7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7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7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7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141</v>
      </c>
    </row>
    <row r="49" spans="1:20" x14ac:dyDescent="0.7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7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7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7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142</v>
      </c>
    </row>
    <row r="53" spans="1:20" x14ac:dyDescent="0.7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7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7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7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7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75">
      <c r="A59" s="43"/>
    </row>
    <row r="60" spans="1:20" x14ac:dyDescent="0.75">
      <c r="A60" s="44" t="s">
        <v>61</v>
      </c>
      <c r="O60" s="1"/>
      <c r="Q60" s="1"/>
      <c r="R60" s="3"/>
      <c r="S60" s="1"/>
    </row>
    <row r="61" spans="1:20" x14ac:dyDescent="0.75">
      <c r="A61" s="43" t="s">
        <v>42</v>
      </c>
      <c r="O61" s="1"/>
      <c r="Q61" s="1"/>
      <c r="R61" s="1"/>
      <c r="S61" s="1"/>
    </row>
    <row r="62" spans="1:20" x14ac:dyDescent="0.75">
      <c r="A62" s="46" t="s">
        <v>145</v>
      </c>
      <c r="O62" s="1"/>
      <c r="Q62" s="1"/>
      <c r="R62" s="1"/>
      <c r="S62" s="1"/>
    </row>
    <row r="63" spans="1:20" x14ac:dyDescent="0.75">
      <c r="A63" s="47" t="s">
        <v>123</v>
      </c>
      <c r="O63" s="1"/>
      <c r="Q63" s="1"/>
      <c r="R63" s="1"/>
      <c r="S63" s="1"/>
      <c r="T63" s="1"/>
    </row>
    <row r="64" spans="1:20" x14ac:dyDescent="0.75">
      <c r="A64" s="47" t="s">
        <v>116</v>
      </c>
      <c r="O64" s="1"/>
      <c r="Q64" s="1"/>
      <c r="R64" s="1"/>
      <c r="S64" s="1"/>
      <c r="T64" s="1"/>
    </row>
    <row r="65" spans="1:20" x14ac:dyDescent="0.7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7" t="s">
        <v>121</v>
      </c>
      <c r="N69" s="4"/>
    </row>
    <row r="70" spans="1:20" x14ac:dyDescent="0.75">
      <c r="A70" s="47" t="s">
        <v>143</v>
      </c>
    </row>
    <row r="71" spans="1:20" x14ac:dyDescent="0.75">
      <c r="A71" s="47" t="s">
        <v>122</v>
      </c>
    </row>
    <row r="72" spans="1:20" x14ac:dyDescent="0.75">
      <c r="A72" s="47" t="s">
        <v>120</v>
      </c>
    </row>
    <row r="73" spans="1:20" x14ac:dyDescent="0.75">
      <c r="A73" s="47" t="s">
        <v>121</v>
      </c>
    </row>
    <row r="74" spans="1:20" x14ac:dyDescent="0.75">
      <c r="A74" s="47" t="s">
        <v>143</v>
      </c>
    </row>
    <row r="75" spans="1:20" x14ac:dyDescent="0.7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D482776-8B8A-4656-882B-59359FCF5101}"/>
</file>

<file path=customXml/itemProps2.xml><?xml version="1.0" encoding="utf-8"?>
<ds:datastoreItem xmlns:ds="http://schemas.openxmlformats.org/officeDocument/2006/customXml" ds:itemID="{B288FE50-804E-45B8-A6F0-65C373ADD37F}"/>
</file>

<file path=customXml/itemProps3.xml><?xml version="1.0" encoding="utf-8"?>
<ds:datastoreItem xmlns:ds="http://schemas.openxmlformats.org/officeDocument/2006/customXml" ds:itemID="{15244E02-8D55-48BC-B2CC-DA2AA7087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2022-08-25T04:22:48Z</cp:lastPrinted>
  <dcterms:created xsi:type="dcterms:W3CDTF">2019-11-27T23:28:06Z</dcterms:created>
  <dcterms:modified xsi:type="dcterms:W3CDTF">2022-08-25T04:45:20Z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