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491B33A0-81B7-4D0F-934B-0F7B145F8E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s="1"/>
  <c r="A4" i="2" l="1"/>
  <c r="W1" i="1"/>
  <c r="S1" i="1" l="1"/>
  <c r="O1" i="1" l="1"/>
</calcChain>
</file>

<file path=xl/sharedStrings.xml><?xml version="1.0" encoding="utf-8"?>
<sst xmlns="http://schemas.openxmlformats.org/spreadsheetml/2006/main" count="302" uniqueCount="199">
  <si>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</si>
  <si>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</si>
  <si>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</si>
  <si>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</si>
  <si>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</si>
  <si>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</si>
  <si>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</si>
  <si>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</si>
  <si>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</si>
  <si>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</si>
  <si>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</si>
  <si>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</si>
  <si>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</si>
  <si>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</si>
  <si>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</si>
  <si>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</si>
  <si>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</si>
  <si>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</si>
  <si>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</si>
  <si>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</si>
  <si>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</si>
  <si>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</si>
  <si>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</si>
  <si>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</si>
  <si>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</si>
  <si>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</si>
  <si>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</si>
  <si>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</si>
  <si>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</si>
  <si>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</si>
  <si>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</si>
  <si>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</si>
  <si>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</si>
  <si>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</si>
  <si>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</si>
  <si>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</si>
  <si>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</si>
  <si>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</si>
  <si>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</si>
  <si>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</si>
  <si>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</si>
  <si>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</si>
  <si>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</si>
  <si>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</si>
  <si>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</si>
  <si>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</si>
  <si>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</si>
  <si>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</si>
  <si>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</si>
  <si>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</si>
  <si>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</si>
  <si>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</si>
  <si>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</si>
  <si>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</si>
  <si>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</si>
  <si>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</si>
  <si>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</si>
  <si>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</si>
  <si>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</si>
  <si>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</si>
  <si>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</si>
  <si>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</si>
  <si>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</si>
  <si>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</si>
  <si>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</si>
  <si>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</si>
  <si>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</si>
  <si>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</si>
  <si>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</si>
  <si>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</si>
  <si>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</si>
  <si>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</si>
  <si>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</si>
  <si>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</si>
  <si>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</si>
  <si>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</si>
  <si>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</si>
  <si>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</si>
  <si>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</si>
  <si>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</si>
  <si>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</si>
  <si>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</si>
  <si>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</si>
  <si>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</si>
  <si>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</si>
  <si>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</si>
  <si>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</si>
  <si>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</si>
  <si>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</si>
  <si>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</si>
  <si>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</si>
  <si>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</si>
  <si>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</si>
  <si>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</si>
  <si>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</si>
  <si>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</si>
  <si>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</si>
  <si>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</si>
  <si>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</si>
  <si>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</si>
  <si>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</si>
  <si>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</si>
  <si>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</si>
  <si>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</si>
  <si>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</si>
  <si>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</si>
  <si>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</si>
  <si>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</si>
  <si>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</si>
  <si>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</si>
  <si>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</si>
  <si>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</si>
  <si>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</si>
  <si>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</si>
  <si>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</si>
  <si>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</si>
  <si>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</si>
  <si>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</si>
  <si>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</si>
  <si>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</si>
  <si>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</si>
  <si>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</si>
  <si>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</si>
  <si>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</si>
  <si>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</si>
  <si>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</si>
  <si>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</si>
  <si>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</si>
  <si>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</si>
  <si>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</si>
  <si>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</si>
  <si>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</si>
  <si>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</si>
  <si>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</si>
  <si>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</si>
  <si>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</si>
  <si>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</si>
  <si>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</si>
  <si>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</si>
  <si>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</si>
  <si>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</si>
  <si>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</si>
  <si>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</si>
  <si>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</si>
  <si>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</si>
  <si>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</si>
  <si>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</si>
  <si>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</si>
  <si>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</si>
  <si>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</si>
  <si>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</si>
  <si>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</si>
  <si>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</si>
  <si>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</si>
  <si>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</si>
  <si>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</si>
  <si>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</si>
  <si>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</si>
  <si>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</si>
  <si>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</si>
  <si>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</si>
  <si>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</si>
  <si>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</si>
  <si>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</si>
  <si>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</si>
  <si>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</si>
  <si>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</si>
  <si>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</si>
  <si>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</si>
  <si>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</si>
  <si>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</si>
  <si>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</si>
  <si>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</si>
  <si>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</si>
  <si>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</si>
  <si>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</si>
  <si>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</si>
  <si>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</si>
  <si>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</si>
  <si>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</si>
  <si>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</si>
  <si>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</si>
  <si>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</si>
  <si>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</si>
  <si>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</si>
  <si>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</si>
  <si>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</si>
  <si>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</si>
  <si>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</si>
  <si>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</si>
  <si>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</si>
  <si>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</si>
  <si>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</si>
  <si>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</si>
  <si>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</si>
  <si>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ORION 2</t>
  </si>
  <si>
    <t>RUN AT 70UM</t>
  </si>
  <si>
    <t>CALOUNDRA PRODUCE</t>
  </si>
  <si>
    <t>SOME BAGS WERE NOT SEALED IN CORNERS LAST RUN AND BROKE!!!!! - CHECK SEALS AND ENSURE NEAT PACKING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</si>
</sst>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top"/>
      <protection locked="0"/>
    </xf>
    <xf numFmtId="0" fontId="13" fillId="0" borderId="3" xfId="0" applyFont="1" applyBorder="1" applyAlignment="1" applyProtection="1">
      <alignment horizontal="center" vertical="top"/>
      <protection locked="0"/>
    </xf>
    <xf numFmtId="0" fontId="13" fillId="0" borderId="8" xfId="0" applyFont="1" applyBorder="1" applyAlignment="1" applyProtection="1">
      <alignment horizontal="center" vertical="top"/>
      <protection locked="0"/>
    </xf>
    <xf numFmtId="0" fontId="13" fillId="0" borderId="9" xfId="0" applyFont="1" applyBorder="1" applyAlignment="1" applyProtection="1">
      <alignment horizontal="center" vertical="top"/>
      <protection locked="0"/>
    </xf>
    <xf numFmtId="0" fontId="13" fillId="0" borderId="0" xfId="0" applyFont="1" applyBorder="1" applyAlignment="1" applyProtection="1">
      <alignment horizontal="center" vertical="top"/>
      <protection locked="0"/>
    </xf>
    <xf numFmtId="0" fontId="13" fillId="0" borderId="10" xfId="0" applyFont="1" applyBorder="1" applyAlignment="1" applyProtection="1">
      <alignment horizontal="center" vertical="top"/>
      <protection locked="0"/>
    </xf>
    <xf numFmtId="0" fontId="13" fillId="0" borderId="11" xfId="0" applyFont="1" applyBorder="1" applyAlignment="1" applyProtection="1">
      <alignment horizontal="center" vertical="top"/>
      <protection locked="0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2" xfId="0" applyFont="1" applyBorder="1" applyAlignment="1" applyProtection="1">
      <alignment horizontal="center" vertical="top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5" fillId="0" borderId="7" xfId="0" applyFont="1" applyFill="1" applyBorder="1" applyAlignment="1" applyProtection="1">
      <alignment horizontal="center" vertical="center" wrapText="1"/>
      <protection locked="0"/>
    </xf>
    <xf numFmtId="0" fontId="15" fillId="0" borderId="3" xfId="0" applyFont="1" applyFill="1" applyBorder="1" applyAlignment="1" applyProtection="1">
      <alignment horizontal="center" vertical="center" wrapText="1"/>
      <protection locked="0"/>
    </xf>
    <xf numFmtId="0" fontId="15" fillId="0" borderId="8" xfId="0" applyFont="1" applyFill="1" applyBorder="1" applyAlignment="1" applyProtection="1">
      <alignment horizontal="center" vertical="center" wrapText="1"/>
      <protection locked="0"/>
    </xf>
    <xf numFmtId="0" fontId="15" fillId="0" borderId="9" xfId="0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5" fillId="0" borderId="10" xfId="0" applyFont="1" applyFill="1" applyBorder="1" applyAlignment="1" applyProtection="1">
      <alignment horizontal="center" vertical="center" wrapText="1"/>
      <protection locked="0"/>
    </xf>
    <xf numFmtId="0" fontId="15" fillId="0" borderId="11" xfId="0" applyFont="1" applyFill="1" applyBorder="1" applyAlignment="1" applyProtection="1">
      <alignment horizontal="center" vertical="center" wrapText="1"/>
      <protection locked="0"/>
    </xf>
    <xf numFmtId="0" fontId="15" fillId="0" borderId="1" xfId="0" applyFont="1" applyFill="1" applyBorder="1" applyAlignment="1" applyProtection="1">
      <alignment horizontal="center" vertical="center" wrapText="1"/>
      <protection locked="0"/>
    </xf>
    <xf numFmtId="0" fontId="15" fillId="0" borderId="12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F16" sqref="AF16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PB180380250</v>
      </c>
      <c r="C1" s="122"/>
      <c r="D1" s="123"/>
      <c r="E1" s="12" t="s">
        <v>57</v>
      </c>
      <c r="F1" s="124" t="s">
        <v>197</v>
      </c>
      <c r="G1" s="124"/>
      <c r="H1" s="125"/>
      <c r="I1" s="13" t="s">
        <v>181</v>
      </c>
      <c r="J1" s="95">
        <f ca="1">TODAY()</f>
        <v>44391</v>
      </c>
      <c r="K1" s="95"/>
      <c r="L1" s="96"/>
      <c r="M1" s="34"/>
      <c r="N1" s="12" t="s">
        <v>56</v>
      </c>
      <c r="O1" s="122" t="str">
        <f>B1</f>
        <v>PB180380250</v>
      </c>
      <c r="P1" s="122"/>
      <c r="Q1" s="123"/>
      <c r="R1" s="12" t="s">
        <v>57</v>
      </c>
      <c r="S1" s="122" t="str">
        <f>F1</f>
        <v>CALOUNDRA PRODUCE</v>
      </c>
      <c r="T1" s="122"/>
      <c r="U1" s="123"/>
      <c r="V1" s="12" t="s">
        <v>181</v>
      </c>
      <c r="W1" s="95">
        <f ca="1">J1</f>
        <v>44391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940745</v>
      </c>
      <c r="G2" s="98"/>
      <c r="H2" s="99"/>
      <c r="I2" s="12" t="s">
        <v>59</v>
      </c>
      <c r="J2" s="97">
        <v>44417</v>
      </c>
      <c r="K2" s="98"/>
      <c r="L2" s="99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940745</v>
      </c>
      <c r="T2" s="122"/>
      <c r="U2" s="123"/>
      <c r="V2" s="12" t="s">
        <v>59</v>
      </c>
      <c r="W2" s="126">
        <f>J2</f>
        <v>44417</v>
      </c>
      <c r="X2" s="122"/>
      <c r="Y2" s="123"/>
    </row>
    <row r="3" spans="1:28" ht="20.100000000000001" customHeight="1" x14ac:dyDescent="0.25">
      <c r="A3" s="159" t="s">
        <v>198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1"/>
      <c r="M3" s="34"/>
      <c r="N3" s="168" t="str">
        <f>A3</f>
        <v>SOME BAGS WERE NOT SEALED IN CORNERS LAST RUN AND BROKE!!!!! - CHECK SEALS AND ENSURE NEAT PACKING</v>
      </c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70"/>
    </row>
    <row r="4" spans="1:28" ht="20.100000000000001" customHeight="1" x14ac:dyDescent="0.25">
      <c r="A4" s="162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4"/>
      <c r="M4" s="34"/>
      <c r="N4" s="171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3"/>
    </row>
    <row r="5" spans="1:28" ht="20.100000000000001" customHeight="1" x14ac:dyDescent="0.25">
      <c r="A5" s="165"/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7"/>
      <c r="M5" s="34"/>
      <c r="N5" s="174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6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1</v>
      </c>
      <c r="P7" s="99"/>
      <c r="Q7" s="12" t="str">
        <f>IF(ISNUMBER(SEARCH("roll",O8,1)),"Per Roll","Per Carton")</f>
        <v>Per Carton</v>
      </c>
      <c r="R7" s="98">
        <v>200</v>
      </c>
      <c r="S7" s="99"/>
      <c r="T7" s="12" t="str">
        <f>IF(ISNUMBER(SEARCH("bag",O8,1)),"Total Bags","Total Sheets")</f>
        <v>Total Bags</v>
      </c>
      <c r="U7" s="122">
        <f>R7*O7</f>
        <v>200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180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250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29" t="s">
        <v>164</v>
      </c>
      <c r="P8" s="130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27" t="str">
        <f>IF(AND(W8="Gusset",X9=""), "None",IF(AND(W8="Centrefold",X9=""),"None",IF(W8="Gusset","G",IF(W8="Centrefold","CF"))))</f>
        <v>None</v>
      </c>
      <c r="Y8" s="128"/>
    </row>
    <row r="9" spans="1:28" ht="20.100000000000001" customHeight="1" x14ac:dyDescent="0.3">
      <c r="A9" s="18" t="s">
        <v>48</v>
      </c>
      <c r="B9" s="110" t="s">
        <v>193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196</v>
      </c>
      <c r="I9" s="111"/>
      <c r="J9" s="12" t="s">
        <v>55</v>
      </c>
      <c r="K9" s="98" t="s">
        <v>30</v>
      </c>
      <c r="L9" s="99"/>
      <c r="M9" s="34"/>
      <c r="N9" s="19"/>
      <c r="O9" s="131" t="str">
        <f>IF(O8="Poly Bag","PB",IF(O8="Poly Bag Roll","PBR",IF(O8="Centrefold Roll","CFR",IF(O8="Sheet","S",IF(O8="Sheet Roll","SR")))))</f>
        <v>PB</v>
      </c>
      <c r="P9" s="132"/>
      <c r="Q9" s="19"/>
      <c r="R9" s="35">
        <v>180</v>
      </c>
      <c r="S9" s="20" t="s">
        <v>78</v>
      </c>
      <c r="T9" s="35">
        <v>380</v>
      </c>
      <c r="U9" s="20" t="s">
        <v>78</v>
      </c>
      <c r="V9" s="35">
        <v>250</v>
      </c>
      <c r="W9" s="19"/>
      <c r="X9" s="142"/>
      <c r="Y9" s="143"/>
    </row>
    <row r="10" spans="1:28" ht="20.100000000000001" customHeight="1" x14ac:dyDescent="0.25">
      <c r="A10" s="12" t="s">
        <v>51</v>
      </c>
      <c r="B10" s="98">
        <v>1</v>
      </c>
      <c r="C10" s="99"/>
      <c r="D10" s="54" t="s">
        <v>134</v>
      </c>
      <c r="E10" s="112">
        <f>IF(ISNUMBER(SEARCH("sheet",O8,1)),((R9*T9*H8/540000)*U7/2000*1.3),((R9*T9*H8/540000)*U7/1000*1.08))</f>
        <v>6.8400000000000007</v>
      </c>
      <c r="F10" s="113"/>
      <c r="G10" s="12" t="s">
        <v>53</v>
      </c>
      <c r="H10" s="116">
        <f>IF(ISNUMBER(SEARCH("sheet",O8,1)),(U7*T9/2000*1.08),(U7*T9/1000*1.08))</f>
        <v>82.080000000000013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29" t="s">
        <v>44</v>
      </c>
      <c r="P10" s="130"/>
      <c r="Q10" s="16" t="s">
        <v>50</v>
      </c>
      <c r="R10" s="127" t="str">
        <f>IF(K11="NONE","None",IF(K11="INLINE","Yes",IF(K11="OUT OF LINE","Yes")))</f>
        <v>None</v>
      </c>
      <c r="S10" s="127"/>
      <c r="T10" s="16" t="s">
        <v>100</v>
      </c>
      <c r="U10" s="134"/>
      <c r="V10" s="134"/>
      <c r="W10" s="134"/>
      <c r="X10" s="134"/>
      <c r="Y10" s="135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6.8400000000000007</v>
      </c>
      <c r="F11" s="115"/>
      <c r="G11" s="12" t="s">
        <v>15</v>
      </c>
      <c r="H11" s="114">
        <f>H10/B10</f>
        <v>82.080000000000013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36"/>
      <c r="V11" s="136"/>
      <c r="W11" s="136"/>
      <c r="X11" s="136"/>
      <c r="Y11" s="137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33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1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33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110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48"/>
      <c r="Y16" s="149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48"/>
      <c r="Y17" s="149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48"/>
      <c r="Y18" s="149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150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2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153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5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153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5"/>
    </row>
    <row r="22" spans="1:25" ht="20.100000000000001" customHeight="1" x14ac:dyDescent="0.25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156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8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33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195</v>
      </c>
      <c r="P25" s="39"/>
      <c r="Q25" s="10">
        <v>24</v>
      </c>
      <c r="R25" s="10"/>
      <c r="S25" s="10"/>
      <c r="T25" s="10"/>
      <c r="U25" s="10"/>
      <c r="V25" s="10"/>
      <c r="W25" s="10">
        <v>200</v>
      </c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47" t="s">
        <v>132</v>
      </c>
      <c r="H26" s="147"/>
      <c r="I26" s="147" t="s">
        <v>131</v>
      </c>
      <c r="J26" s="147"/>
      <c r="K26" s="28" t="s">
        <v>94</v>
      </c>
      <c r="L26" s="28" t="s">
        <v>95</v>
      </c>
      <c r="M26" s="34"/>
      <c r="N26" s="144" t="s">
        <v>137</v>
      </c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6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38" t="s">
        <v>99</v>
      </c>
      <c r="B29" s="139"/>
      <c r="C29" s="139"/>
      <c r="D29" s="139"/>
      <c r="E29" s="139"/>
      <c r="F29" s="140"/>
      <c r="G29" s="140"/>
      <c r="H29" s="140"/>
      <c r="I29" s="140"/>
      <c r="J29" s="140"/>
      <c r="K29" s="139"/>
      <c r="L29" s="141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errorStyle="warning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A6" sqref="A6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44422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DATE(YEAR(Sheet1!J1),MONTH(Sheet1!J1),DAY(Sheet1!J1)+28)</f>
        <v>44419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194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75A844E-9FEC-46EF-A0D6-5435ED5BEFA9}"/>
</file>

<file path=customXml/itemProps2.xml><?xml version="1.0" encoding="utf-8"?>
<ds:datastoreItem xmlns:ds="http://schemas.openxmlformats.org/officeDocument/2006/customXml" ds:itemID="{53DE5588-F864-4E84-83E2-1095DD9939BD}"/>
</file>

<file path=customXml/itemProps3.xml><?xml version="1.0" encoding="utf-8"?>
<ds:datastoreItem xmlns:ds="http://schemas.openxmlformats.org/officeDocument/2006/customXml" ds:itemID="{19C9B54D-1D92-495F-99BA-11424FFD7B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2021-07-09T03:06:09Z</cp:lastPrinted>
  <dcterms:created xsi:type="dcterms:W3CDTF">2019-11-27T23:28:06Z</dcterms:created>
  <dcterms:modified xsi:type="dcterms:W3CDTF">2021-07-14T04:10:53Z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