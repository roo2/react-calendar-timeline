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83655C7-FF92-4E1D-9BE2-8D67C5BFC5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<sst xmlns="http://schemas.openxmlformats.org/spreadsheetml/2006/main" count="308" uniqueCount="205">
  <si>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</si>
  <si>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</si>
  <si>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</si>
  <si>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</si>
  <si>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</si>
  <si>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</si>
  <si>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</si>
  <si>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</si>
  <si>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</si>
  <si>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</si>
  <si>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</si>
  <si>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</si>
  <si>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</si>
  <si>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</si>
  <si>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</si>
  <si>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</si>
  <si>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</si>
  <si>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</si>
  <si>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</si>
  <si>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</si>
  <si>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</si>
  <si>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</si>
  <si>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</si>
  <si>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</si>
  <si>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</si>
  <si>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</si>
  <si>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</si>
  <si>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</si>
  <si>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</si>
  <si>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</si>
  <si>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</si>
  <si>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</si>
  <si>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</si>
  <si>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</si>
  <si>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</si>
  <si>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</si>
  <si>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</si>
  <si>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</si>
  <si>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</si>
  <si>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</si>
  <si>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</si>
  <si>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</si>
  <si>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</si>
  <si>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</si>
  <si>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</si>
  <si>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</si>
  <si>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</si>
  <si>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</si>
  <si>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</si>
  <si>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</si>
  <si>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</si>
  <si>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</si>
  <si>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</si>
  <si>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</si>
  <si>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</si>
  <si>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</si>
  <si>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</si>
  <si>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</si>
  <si>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</si>
  <si>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</si>
  <si>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</si>
  <si>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</si>
  <si>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</si>
  <si>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</si>
  <si>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</si>
  <si>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</si>
  <si>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</si>
  <si>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</si>
  <si>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</si>
  <si>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</si>
  <si>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</si>
  <si>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</si>
  <si>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</si>
  <si>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</si>
  <si>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</si>
  <si>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</si>
  <si>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</si>
  <si>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</si>
  <si>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</si>
  <si>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</si>
  <si>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</si>
  <si>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</si>
  <si>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</si>
  <si>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</si>
  <si>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</si>
  <si>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</si>
  <si>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</si>
  <si>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</si>
  <si>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</si>
  <si>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</si>
  <si>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</si>
  <si>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</si>
  <si>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</si>
  <si>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</si>
  <si>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</si>
  <si>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</si>
  <si>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</si>
  <si>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</si>
  <si>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</si>
  <si>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</si>
  <si>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</si>
  <si>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</si>
  <si>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</si>
  <si>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</si>
  <si>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</si>
  <si>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</si>
  <si>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</si>
  <si>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</si>
  <si>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</si>
  <si>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</si>
  <si>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</si>
  <si>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</si>
  <si>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</si>
  <si>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</si>
  <si>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</si>
  <si>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</si>
  <si>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</si>
  <si>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</si>
  <si>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</si>
  <si>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</si>
  <si>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</si>
  <si>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</si>
  <si>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</si>
  <si>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</si>
  <si>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</si>
  <si>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</si>
  <si>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</si>
  <si>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</si>
  <si>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</si>
  <si>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</si>
  <si>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</si>
  <si>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</si>
  <si>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</si>
  <si>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</si>
  <si>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</si>
  <si>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</si>
  <si>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</si>
  <si>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</si>
  <si>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</si>
  <si>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</si>
  <si>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</si>
  <si>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</si>
  <si>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</si>
  <si>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</si>
  <si>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</si>
  <si>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</si>
  <si>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</si>
  <si>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</si>
  <si>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</si>
  <si>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</si>
  <si>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</si>
  <si>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</si>
  <si>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</si>
  <si>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</si>
  <si>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</si>
  <si>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</si>
  <si>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</si>
  <si>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</si>
  <si>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</si>
  <si>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</si>
  <si>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</si>
  <si>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</si>
  <si>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</si>
  <si>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</si>
  <si>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</si>
  <si>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</si>
  <si>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</si>
  <si>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</si>
  <si>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</si>
  <si>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</si>
  <si>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</si>
  <si>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</si>
  <si>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</si>
  <si>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</si>
  <si>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</si>
  <si>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</si>
  <si>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</si>
  <si>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</si>
  <si>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</si>
  <si>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</si>
  <si>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</si>
  <si>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</si>
  <si>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</si>
  <si>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</si>
  <si>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</si>
  <si>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</si>
  <si>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</si>
  <si>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</si>
  <si>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</si>
  <si>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</si>
  <si>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</si>
  <si>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</si>
  <si>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</si>
  <si>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</si>
  <si>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</si>
  <si>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QPB07</t>
  </si>
  <si>
    <t>BLACKWOODS</t>
  </si>
  <si>
    <t>RUN 135-140UM</t>
  </si>
  <si>
    <t>#45</t>
  </si>
  <si>
    <t xml:space="preserve">ORION 1 </t>
  </si>
  <si>
    <t>ANTIBLOCK</t>
  </si>
  <si>
    <t>LABELS TO READ 150UM</t>
  </si>
  <si>
    <t>#45/#55</t>
  </si>
  <si>
    <t>24.6/22.8</t>
  </si>
  <si>
    <t>3.3/3.4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</si>
</sst>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PB4556851400</v>
      </c>
      <c r="C1" s="110"/>
      <c r="D1" s="111"/>
      <c r="E1" s="9" t="s">
        <v>57</v>
      </c>
      <c r="F1" s="86" t="s">
        <v>196</v>
      </c>
      <c r="G1" s="86"/>
      <c r="H1" s="87"/>
      <c r="I1" s="10" t="s">
        <v>181</v>
      </c>
      <c r="J1" s="83">
        <f ca="1">TODAY()</f>
        <v>45839</v>
      </c>
      <c r="K1" s="83"/>
      <c r="L1" s="84"/>
      <c r="M1" s="27"/>
      <c r="N1" s="9" t="s">
        <v>56</v>
      </c>
      <c r="O1" s="110" t="str">
        <f>B1</f>
        <v>PB4556851400</v>
      </c>
      <c r="P1" s="110"/>
      <c r="Q1" s="111"/>
      <c r="R1" s="9" t="s">
        <v>57</v>
      </c>
      <c r="S1" s="110" t="str">
        <f>F1</f>
        <v>BLACKWOODS</v>
      </c>
      <c r="T1" s="110"/>
      <c r="U1" s="111"/>
      <c r="V1" s="9" t="s">
        <v>181</v>
      </c>
      <c r="W1" s="83">
        <f ca="1">J1</f>
        <v>45839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>QPB07</v>
      </c>
      <c r="C2" s="110"/>
      <c r="D2" s="111"/>
      <c r="E2" s="9" t="s">
        <v>58</v>
      </c>
      <c r="F2" s="86">
        <v>948723</v>
      </c>
      <c r="G2" s="86"/>
      <c r="H2" s="87"/>
      <c r="I2" s="9" t="s">
        <v>59</v>
      </c>
      <c r="J2" s="85">
        <v>45589</v>
      </c>
      <c r="K2" s="86"/>
      <c r="L2" s="87"/>
      <c r="M2" s="27"/>
      <c r="N2" s="9" t="s">
        <v>100</v>
      </c>
      <c r="O2" s="110" t="str">
        <f>IF(B2="","",B2)</f>
        <v>QPB07</v>
      </c>
      <c r="P2" s="110"/>
      <c r="Q2" s="111"/>
      <c r="R2" s="9" t="s">
        <v>58</v>
      </c>
      <c r="S2" s="110">
        <f>IF(F2="","",F2)</f>
        <v>948723</v>
      </c>
      <c r="T2" s="110"/>
      <c r="U2" s="111"/>
      <c r="V2" s="9" t="s">
        <v>59</v>
      </c>
      <c r="W2" s="121">
        <f>J2</f>
        <v>45589</v>
      </c>
      <c r="X2" s="110"/>
      <c r="Y2" s="111"/>
    </row>
    <row r="3" spans="1:25" ht="20.100000000000001" customHeight="1" x14ac:dyDescent="0.25">
      <c r="A3" s="112" t="s">
        <v>201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 t="str">
        <f>A3</f>
        <v>LABELS TO READ 150UM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150</v>
      </c>
      <c r="P7" s="87"/>
      <c r="Q7" s="9" t="str">
        <f>IF(ISNUMBER(SEARCH("roll",O8,1)),"Per Roll","Per Carton")</f>
        <v>Per Carton</v>
      </c>
      <c r="R7" s="86">
        <v>200</v>
      </c>
      <c r="S7" s="87"/>
      <c r="T7" s="9" t="str">
        <f>IF(ISNUMBER(SEARCH("bag",O8,1)),"Total Bags","Total Sheets")</f>
        <v>Total Bags</v>
      </c>
      <c r="U7" s="110">
        <f>R7*O7</f>
        <v>30000</v>
      </c>
      <c r="V7" s="111"/>
      <c r="W7" s="9" t="s">
        <v>102</v>
      </c>
      <c r="X7" s="86" t="s">
        <v>31</v>
      </c>
      <c r="Y7" s="87"/>
    </row>
    <row r="8" spans="1:25" ht="20.100000000000001" customHeight="1" x14ac:dyDescent="0.25">
      <c r="A8" s="11" t="s">
        <v>16</v>
      </c>
      <c r="B8" s="88">
        <f>R9</f>
        <v>455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140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197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455</v>
      </c>
      <c r="S9" s="16" t="s">
        <v>78</v>
      </c>
      <c r="T9" s="28">
        <v>685</v>
      </c>
      <c r="U9" s="16" t="s">
        <v>78</v>
      </c>
      <c r="V9" s="28">
        <v>140</v>
      </c>
      <c r="W9" s="15"/>
      <c r="X9" s="135"/>
      <c r="Y9" s="136"/>
    </row>
    <row r="10" spans="1:25" ht="20.100000000000001" customHeight="1" x14ac:dyDescent="0.25">
      <c r="A10" s="9" t="s">
        <v>51</v>
      </c>
      <c r="B10" s="86">
        <v>65</v>
      </c>
      <c r="C10" s="87"/>
      <c r="D10" s="45" t="s">
        <v>134</v>
      </c>
      <c r="E10" s="100">
        <f>IF(ISNUMBER(SEARCH("sheet",O8,1)),((R9*T9*H8/540000)*U7/2000*1.3),((R9*T9*H8/540000)*U7/1000*1.08))</f>
        <v>2618.0700000000006</v>
      </c>
      <c r="F10" s="101"/>
      <c r="G10" s="9" t="s">
        <v>53</v>
      </c>
      <c r="H10" s="104">
        <f>IF(ISNUMBER(SEARCH("sheet",O8,1)),(U7*T9/2000*1.08),(U7*T9/1000*1.08))</f>
        <v>22194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195</v>
      </c>
      <c r="V10" s="129"/>
      <c r="W10" s="129"/>
      <c r="X10" s="129"/>
      <c r="Y10" s="130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40.278000000000013</v>
      </c>
      <c r="F11" s="103"/>
      <c r="G11" s="9" t="s">
        <v>15</v>
      </c>
      <c r="H11" s="102">
        <f>H10/B10</f>
        <v>341.44615384615383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36</v>
      </c>
      <c r="P13" s="9" t="s">
        <v>73</v>
      </c>
      <c r="Q13" s="18">
        <f>O7</f>
        <v>150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/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150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37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140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2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143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5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143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5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146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8"/>
    </row>
    <row r="23" spans="1:25" ht="20.100000000000001" customHeight="1" x14ac:dyDescent="0.25">
      <c r="A23" s="78" t="s">
        <v>200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199</v>
      </c>
      <c r="P25" s="32"/>
      <c r="Q25" s="8">
        <v>18</v>
      </c>
      <c r="R25" s="8"/>
      <c r="S25" s="8"/>
      <c r="T25" s="8"/>
      <c r="U25" s="8"/>
      <c r="V25" s="8"/>
      <c r="W25" s="8">
        <v>205</v>
      </c>
      <c r="X25" s="8">
        <v>205</v>
      </c>
      <c r="Y25" s="8">
        <v>0</v>
      </c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198</v>
      </c>
      <c r="C27" s="7"/>
      <c r="D27" s="8">
        <v>26</v>
      </c>
      <c r="E27" s="57">
        <v>3.2</v>
      </c>
      <c r="F27" s="8">
        <v>15</v>
      </c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202</v>
      </c>
      <c r="C28" s="7"/>
      <c r="D28" s="8" t="s">
        <v>203</v>
      </c>
      <c r="E28" s="57" t="s">
        <v>204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45870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45860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9125C0-1233-43A8-A727-99827F8A9223}"/>
</file>

<file path=customXml/itemProps2.xml><?xml version="1.0" encoding="utf-8"?>
<ds:datastoreItem xmlns:ds="http://schemas.openxmlformats.org/officeDocument/2006/customXml" ds:itemID="{DD95815D-8DD2-4BBB-AAF8-F589EFCF494E}"/>
</file>

<file path=customXml/itemProps3.xml><?xml version="1.0" encoding="utf-8"?>
<ds:datastoreItem xmlns:ds="http://schemas.openxmlformats.org/officeDocument/2006/customXml" ds:itemID="{689A1E48-08EE-4DD7-893C-857DC1612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2024-10-03T03:49:23Z</cp:lastPrinted>
  <dcterms:created xsi:type="dcterms:W3CDTF">2019-11-27T23:28:06Z</dcterms:created>
  <dcterms:modified xsi:type="dcterms:W3CDTF">2025-06-30T22:58:11Z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