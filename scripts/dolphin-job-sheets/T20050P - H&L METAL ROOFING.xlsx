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279DC6E-2542-4EDD-A035-7FE7BB0757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" l="1"/>
  <c r="E8" i="1" l="1"/>
  <c r="D8" i="1" l="1"/>
  <c r="B2" i="1" l="1"/>
  <c r="E10" i="1" l="1"/>
  <c r="D9" i="1" l="1"/>
  <c r="B11" i="1" s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<sst xmlns="http://schemas.openxmlformats.org/spreadsheetml/2006/main" count="230" uniqueCount="170">
  <si>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</si>
  <si>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</si>
  <si>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</si>
  <si>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</si>
  <si>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</si>
  <si>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</si>
  <si>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</si>
  <si>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</si>
  <si>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</si>
  <si>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</si>
  <si>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</si>
  <si>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</si>
  <si>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</si>
  <si>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</si>
  <si>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</si>
  <si>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</si>
  <si>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</si>
  <si>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</si>
  <si>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</si>
  <si>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</si>
  <si>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</si>
  <si>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</si>
  <si>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</si>
  <si>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</si>
  <si>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</si>
  <si>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</si>
  <si>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</si>
  <si>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</si>
  <si>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</si>
  <si>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</si>
  <si>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</si>
  <si>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</si>
  <si>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</si>
  <si>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</si>
  <si>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</si>
  <si>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</si>
  <si>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</si>
  <si>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</si>
  <si>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</si>
  <si>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</si>
  <si>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</si>
  <si>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</si>
  <si>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</si>
  <si>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</si>
  <si>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</si>
  <si>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</si>
  <si>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</si>
  <si>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</si>
  <si>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</si>
  <si>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</si>
  <si>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</si>
  <si>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</si>
  <si>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</si>
  <si>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</si>
  <si>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</si>
  <si>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</si>
  <si>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</si>
  <si>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</si>
  <si>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</si>
  <si>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</si>
  <si>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</si>
  <si>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</si>
  <si>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</si>
  <si>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</si>
  <si>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</si>
  <si>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</si>
  <si>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</si>
  <si>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</si>
  <si>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</si>
  <si>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</si>
  <si>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</si>
  <si>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</si>
  <si>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</si>
  <si>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</si>
  <si>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</si>
  <si>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</si>
  <si>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</si>
  <si>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</si>
  <si>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</si>
  <si>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</si>
  <si>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</si>
  <si>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</si>
  <si>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</si>
  <si>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</si>
  <si>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</si>
  <si>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</si>
  <si>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</si>
  <si>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</si>
  <si>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</si>
  <si>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</si>
  <si>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</si>
  <si>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</si>
  <si>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</si>
  <si>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</si>
  <si>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</si>
  <si>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</si>
  <si>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</si>
  <si>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</si>
  <si>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</si>
  <si>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</si>
  <si>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</si>
  <si>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</si>
  <si>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</si>
  <si>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</si>
  <si>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</si>
  <si>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</si>
  <si>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</si>
  <si>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</si>
  <si>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</si>
  <si>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</si>
  <si>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</si>
  <si>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</si>
  <si>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</si>
  <si>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</si>
  <si>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</si>
  <si>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</si>
  <si>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</si>
  <si>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</si>
  <si>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</si>
  <si>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</si>
  <si>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</si>
  <si>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</si>
  <si>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</si>
  <si>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</si>
  <si>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</si>
  <si>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</si>
  <si>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</si>
  <si>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</si>
  <si>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</si>
  <si>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</si>
  <si>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</si>
  <si>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</si>
  <si>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</si>
  <si>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</si>
  <si>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</si>
  <si>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</si>
  <si>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</si>
  <si>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</si>
  <si>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</si>
  <si>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</si>
  <si>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</si>
  <si>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</si>
  <si>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</si>
  <si>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</si>
  <si>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</si>
  <si>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</si>
  <si>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</si>
  <si>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</si>
  <si>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</si>
  <si>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</si>
  <si>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</si>
  <si>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</si>
  <si>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</si>
  <si>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</si>
  <si>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</si>
  <si>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</si>
  <si>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</si>
  <si>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</si>
  <si>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</si>
  <si>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</si>
  <si>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</si>
  <si>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</si>
  <si>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</si>
  <si>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</si>
  <si>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"H&amp;L METAL ROOFING" </t>
  </si>
  <si>
    <t>H&amp;L CONSTRUCTIONS</t>
  </si>
  <si>
    <t>fishbowl</t>
  </si>
  <si>
    <t>ANTIBLOCK</t>
  </si>
  <si>
    <t>#2</t>
  </si>
  <si>
    <t>NEW CUSTOMER - NEW ITEM - MUST BE NEAT ROLLS                                                            1 ROLL =  3 PRINTED ROLLS AT 300M/ROLL 7 ROLLS MAKES 21 FINSHED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</si>
</sst>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T20050PYFALSE</v>
      </c>
      <c r="C1" s="60"/>
      <c r="D1" s="61"/>
      <c r="E1" s="9" t="s">
        <v>55</v>
      </c>
      <c r="F1" s="50" t="s">
        <v>165</v>
      </c>
      <c r="G1" s="50"/>
      <c r="H1" s="51"/>
      <c r="I1" s="9" t="s">
        <v>148</v>
      </c>
      <c r="J1" s="75">
        <f ca="1">TODAY()</f>
        <v>46066</v>
      </c>
      <c r="K1" s="75"/>
      <c r="L1" s="76"/>
    </row>
    <row r="2" spans="1:14" ht="20.100000000000001" customHeight="1" x14ac:dyDescent="0.25">
      <c r="A2" s="9" t="s">
        <v>94</v>
      </c>
      <c r="B2" s="64" t="str">
        <f>IF(B7="Tube",(ROUNDUP(E11,0)&amp;"KG"),(ROUNDUP(H11,0)&amp;"M"))</f>
        <v>18KG</v>
      </c>
      <c r="C2" s="64"/>
      <c r="D2" s="65"/>
      <c r="E2" s="9" t="s">
        <v>56</v>
      </c>
      <c r="F2" s="50">
        <v>951283</v>
      </c>
      <c r="G2" s="50"/>
      <c r="H2" s="51"/>
      <c r="I2" s="9" t="s">
        <v>57</v>
      </c>
      <c r="J2" s="77" t="s">
        <v>162</v>
      </c>
      <c r="K2" s="50"/>
      <c r="L2" s="51"/>
    </row>
    <row r="3" spans="1:14" ht="20.100000000000001" customHeight="1" x14ac:dyDescent="0.25">
      <c r="A3" s="66" t="s">
        <v>169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9" t="s">
        <v>158</v>
      </c>
      <c r="B7" s="50" t="s">
        <v>159</v>
      </c>
      <c r="C7" s="51"/>
      <c r="D7" s="9" t="s">
        <v>47</v>
      </c>
      <c r="E7" s="106" t="s">
        <v>116</v>
      </c>
      <c r="F7" s="106"/>
      <c r="G7" s="106"/>
      <c r="H7" s="106"/>
      <c r="I7" s="106"/>
      <c r="J7" s="90" t="s">
        <v>145</v>
      </c>
      <c r="K7" s="90"/>
      <c r="L7" s="91"/>
    </row>
    <row r="8" spans="1:14" ht="20.100000000000001" customHeight="1" x14ac:dyDescent="0.25">
      <c r="A8" s="10" t="s">
        <v>14</v>
      </c>
      <c r="B8" s="96">
        <v>200</v>
      </c>
      <c r="C8" s="97"/>
      <c r="D8" s="10" t="str">
        <f>IF(B7="Tube","Gusset","Centrefold")</f>
        <v>Gusset</v>
      </c>
      <c r="E8" s="92" t="str">
        <f>IF(B7="Cont Centrefold",B8*2,"")</f>
        <v/>
      </c>
      <c r="F8" s="93"/>
      <c r="G8" s="10" t="s">
        <v>50</v>
      </c>
      <c r="H8" s="96">
        <v>50</v>
      </c>
      <c r="I8" s="97"/>
      <c r="J8" s="9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1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1" t="s">
        <v>46</v>
      </c>
      <c r="H9" s="80" t="s">
        <v>146</v>
      </c>
      <c r="I9" s="81"/>
      <c r="J9" s="9" t="s">
        <v>53</v>
      </c>
      <c r="K9" s="50" t="s">
        <v>28</v>
      </c>
      <c r="L9" s="51"/>
    </row>
    <row r="10" spans="1:14" ht="20.100000000000001" customHeight="1" x14ac:dyDescent="0.25">
      <c r="A10" s="9" t="s">
        <v>49</v>
      </c>
      <c r="B10" s="50">
        <v>7</v>
      </c>
      <c r="C10" s="51"/>
      <c r="D10" s="34" t="s">
        <v>104</v>
      </c>
      <c r="E10" s="84">
        <f>E11*B10</f>
        <v>121.10000000000001</v>
      </c>
      <c r="F10" s="85"/>
      <c r="G10" s="9" t="s">
        <v>51</v>
      </c>
      <c r="H10" s="64">
        <f>H11*B10</f>
        <v>6539.4000000000005</v>
      </c>
      <c r="I10" s="65"/>
      <c r="J10" s="9" t="s">
        <v>39</v>
      </c>
      <c r="K10" s="50" t="s">
        <v>42</v>
      </c>
      <c r="L10" s="51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0" t="s">
        <v>105</v>
      </c>
      <c r="E11" s="86">
        <v>17.3</v>
      </c>
      <c r="F11" s="87"/>
      <c r="G11" s="40" t="s">
        <v>13</v>
      </c>
      <c r="H11" s="88">
        <f>E11*540000/B8/H8</f>
        <v>934.2</v>
      </c>
      <c r="I11" s="89"/>
      <c r="J11" s="40" t="s">
        <v>48</v>
      </c>
      <c r="K11" s="94" t="s">
        <v>63</v>
      </c>
      <c r="L11" s="95"/>
      <c r="N11"/>
    </row>
    <row r="12" spans="1:14" ht="20.100000000000001" customHeight="1" x14ac:dyDescent="0.2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00000000000001" customHeight="1" x14ac:dyDescent="0.25">
      <c r="A13" s="9" t="s">
        <v>59</v>
      </c>
      <c r="B13" s="50" t="s">
        <v>69</v>
      </c>
      <c r="C13" s="50"/>
      <c r="D13" s="51"/>
      <c r="E13" s="12" t="s">
        <v>60</v>
      </c>
      <c r="F13" s="50" t="s">
        <v>65</v>
      </c>
      <c r="G13" s="50"/>
      <c r="H13" s="51"/>
      <c r="I13" s="9" t="s">
        <v>61</v>
      </c>
      <c r="J13" s="50" t="s">
        <v>144</v>
      </c>
      <c r="K13" s="50"/>
      <c r="L13" s="51"/>
    </row>
    <row r="14" spans="1:14" ht="20.100000000000001" customHeight="1" x14ac:dyDescent="0.3">
      <c r="A14" s="10" t="s">
        <v>58</v>
      </c>
      <c r="B14" s="106" t="s">
        <v>164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9" t="s">
        <v>71</v>
      </c>
      <c r="B16" s="50" t="s">
        <v>75</v>
      </c>
      <c r="C16" s="50"/>
      <c r="D16" s="51"/>
      <c r="E16" s="9" t="s">
        <v>72</v>
      </c>
      <c r="F16" s="60">
        <f>B10</f>
        <v>7</v>
      </c>
      <c r="G16" s="60"/>
      <c r="H16" s="61"/>
      <c r="I16" s="9" t="s">
        <v>74</v>
      </c>
      <c r="J16" s="50"/>
      <c r="K16" s="50"/>
      <c r="L16" s="51"/>
    </row>
    <row r="17" spans="1:27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27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  <c r="AA18" t="s">
        <v>166</v>
      </c>
    </row>
    <row r="19" spans="1:27" ht="20.100000000000001" customHeight="1" x14ac:dyDescent="0.25">
      <c r="A19" s="48" t="s">
        <v>5</v>
      </c>
      <c r="B19" s="48"/>
      <c r="C19" s="62" t="s">
        <v>115</v>
      </c>
      <c r="D19" s="63"/>
      <c r="E19" s="102"/>
      <c r="F19" s="103"/>
      <c r="G19" s="8" t="s">
        <v>76</v>
      </c>
      <c r="H19" s="29"/>
      <c r="I19" s="55"/>
      <c r="J19" s="56"/>
      <c r="K19" s="55"/>
      <c r="L19" s="56"/>
    </row>
    <row r="20" spans="1:27" ht="20.100000000000001" customHeight="1" x14ac:dyDescent="0.25">
      <c r="A20" s="48" t="s">
        <v>6</v>
      </c>
      <c r="B20" s="48"/>
      <c r="C20" s="62" t="s">
        <v>114</v>
      </c>
      <c r="D20" s="63"/>
      <c r="E20" s="102"/>
      <c r="F20" s="103"/>
      <c r="G20" s="8" t="s">
        <v>77</v>
      </c>
      <c r="H20" s="29"/>
      <c r="I20" s="55"/>
      <c r="J20" s="56"/>
      <c r="K20" s="55"/>
      <c r="L20" s="56"/>
    </row>
    <row r="21" spans="1:27" ht="20.100000000000001" customHeight="1" x14ac:dyDescent="0.25">
      <c r="A21" s="48" t="s">
        <v>7</v>
      </c>
      <c r="B21" s="48"/>
      <c r="C21" s="62" t="s">
        <v>113</v>
      </c>
      <c r="D21" s="63"/>
      <c r="E21" s="102"/>
      <c r="F21" s="103"/>
      <c r="G21" s="8" t="s">
        <v>78</v>
      </c>
      <c r="H21" s="29"/>
      <c r="I21" s="55"/>
      <c r="J21" s="56"/>
      <c r="K21" s="55"/>
      <c r="L21" s="56"/>
    </row>
    <row r="22" spans="1:27" ht="20.100000000000001" customHeight="1" x14ac:dyDescent="0.25">
      <c r="A22" s="48" t="s">
        <v>8</v>
      </c>
      <c r="B22" s="48"/>
      <c r="C22" s="62" t="s">
        <v>112</v>
      </c>
      <c r="D22" s="63"/>
      <c r="E22" s="102"/>
      <c r="F22" s="103"/>
      <c r="G22" s="8" t="s">
        <v>79</v>
      </c>
      <c r="H22" s="29"/>
      <c r="I22" s="55"/>
      <c r="J22" s="56"/>
      <c r="K22" s="55"/>
      <c r="L22" s="56"/>
    </row>
    <row r="23" spans="1:27" ht="20.100000000000001" customHeight="1" x14ac:dyDescent="0.25">
      <c r="A23" s="48" t="s">
        <v>150</v>
      </c>
      <c r="B23" s="48"/>
      <c r="C23" s="62" t="s">
        <v>151</v>
      </c>
      <c r="D23" s="63"/>
      <c r="E23" s="102"/>
      <c r="F23" s="103"/>
      <c r="G23" s="8" t="s">
        <v>80</v>
      </c>
      <c r="H23" s="29"/>
      <c r="I23" s="55"/>
      <c r="J23" s="56"/>
      <c r="K23" s="55"/>
      <c r="L23" s="56"/>
    </row>
    <row r="24" spans="1:27" ht="20.100000000000001" customHeight="1" x14ac:dyDescent="0.25">
      <c r="A24" s="48" t="str">
        <f>(IF(E7="NATURAL","",E7))</f>
        <v>YELLOW</v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Y</v>
      </c>
      <c r="D24" s="119"/>
      <c r="E24" s="102"/>
      <c r="F24" s="103"/>
      <c r="G24" s="8" t="s">
        <v>81</v>
      </c>
      <c r="H24" s="29"/>
      <c r="I24" s="55"/>
      <c r="J24" s="56"/>
      <c r="K24" s="55"/>
      <c r="L24" s="56"/>
    </row>
    <row r="25" spans="1:27" ht="20.100000000000001" customHeight="1" x14ac:dyDescent="0.25">
      <c r="A25" s="48" t="s">
        <v>167</v>
      </c>
      <c r="B25" s="48"/>
      <c r="C25" s="62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63"/>
      <c r="E25" s="102"/>
      <c r="F25" s="103"/>
      <c r="G25" s="8" t="s">
        <v>82</v>
      </c>
      <c r="H25" s="29"/>
      <c r="I25" s="55"/>
      <c r="J25" s="56"/>
      <c r="K25" s="55"/>
      <c r="L25" s="56"/>
    </row>
    <row r="26" spans="1:27" ht="20.100000000000001" customHeight="1" x14ac:dyDescent="0.2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27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49" t="s">
        <v>103</v>
      </c>
      <c r="H27" s="49"/>
      <c r="I27" s="49" t="s">
        <v>102</v>
      </c>
      <c r="J27" s="49"/>
      <c r="K27" s="15" t="s">
        <v>88</v>
      </c>
      <c r="L27" s="15" t="s">
        <v>89</v>
      </c>
    </row>
    <row r="28" spans="1:27" ht="20.100000000000001" customHeight="1" x14ac:dyDescent="0.25">
      <c r="A28" s="14" t="s">
        <v>90</v>
      </c>
      <c r="B28" s="6" t="s">
        <v>168</v>
      </c>
      <c r="C28" s="6"/>
      <c r="D28" s="21">
        <v>52</v>
      </c>
      <c r="E28" s="43">
        <v>6.3</v>
      </c>
      <c r="F28" s="6"/>
      <c r="G28" s="44"/>
      <c r="H28" s="44"/>
      <c r="I28" s="44"/>
      <c r="J28" s="44"/>
      <c r="K28" s="6"/>
      <c r="L28" s="21"/>
    </row>
    <row r="29" spans="1:27" ht="20.100000000000001" customHeight="1" x14ac:dyDescent="0.25">
      <c r="A29" s="14" t="s">
        <v>91</v>
      </c>
      <c r="B29" s="6"/>
      <c r="C29" s="6"/>
      <c r="D29" s="21">
        <v>52</v>
      </c>
      <c r="E29" s="43">
        <v>6.2</v>
      </c>
      <c r="F29" s="6"/>
      <c r="G29" s="44"/>
      <c r="H29" s="44"/>
      <c r="I29" s="44"/>
      <c r="J29" s="44"/>
      <c r="K29" s="6"/>
      <c r="L29" s="21"/>
    </row>
    <row r="30" spans="1:27" ht="20.100000000000001" customHeight="1" x14ac:dyDescent="0.2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27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27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00000000000001" customHeight="1" x14ac:dyDescent="0.2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00000000000001" customHeight="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46094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46087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AF21F46-A511-45FD-95F8-65866D34E5D3}"/>
</file>

<file path=customXml/itemProps2.xml><?xml version="1.0" encoding="utf-8"?>
<ds:datastoreItem xmlns:ds="http://schemas.openxmlformats.org/officeDocument/2006/customXml" ds:itemID="{A1122B89-2D8E-4D1E-85CD-25CFB9D2294D}"/>
</file>

<file path=customXml/itemProps3.xml><?xml version="1.0" encoding="utf-8"?>
<ds:datastoreItem xmlns:ds="http://schemas.openxmlformats.org/officeDocument/2006/customXml" ds:itemID="{A57CA634-D58D-43B7-96AB-998518B07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2026-02-13T03:00:38Z</cp:lastPrinted>
  <dcterms:created xsi:type="dcterms:W3CDTF">2019-11-27T23:28:06Z</dcterms:created>
  <dcterms:modified xsi:type="dcterms:W3CDTF">2026-02-13T03:48:06Z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