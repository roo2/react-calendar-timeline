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bookViews>
    <workbookView xWindow="0" yWindow="0" windowWidth="24042" windowHeight="9942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B1" i="1" l="1"/>
  <c r="W8" i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l="1"/>
  <c r="U13" i="1"/>
  <c r="H11" i="1"/>
  <c r="H8" i="1"/>
  <c r="E10" i="1" s="1"/>
  <c r="E11" i="1" l="1"/>
  <c r="B8" i="1"/>
  <c r="D9" i="1" s="1"/>
  <c r="B11" i="1" s="1"/>
  <c r="S2" i="1"/>
  <c r="O2" i="1"/>
  <c r="A22" i="1" l="1"/>
  <c r="C22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<sst xmlns="http://schemas.openxmlformats.org/spreadsheetml/2006/main" count="301" uniqueCount="198">
  <si>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</si>
  <si>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</si>
  <si>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</si>
  <si>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</si>
  <si>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</si>
  <si>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</si>
  <si>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</si>
  <si>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</si>
  <si>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</si>
  <si>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</si>
  <si>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</si>
  <si>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</si>
  <si>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</si>
  <si>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</si>
  <si>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</si>
  <si>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</si>
  <si>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</si>
  <si>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</si>
  <si>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</si>
  <si>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</si>
  <si>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</si>
  <si>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</si>
  <si>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</si>
  <si>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</si>
  <si>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</si>
  <si>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</si>
  <si>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</si>
  <si>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</si>
  <si>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</si>
  <si>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</si>
  <si>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</si>
  <si>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</si>
  <si>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</si>
  <si>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</si>
  <si>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</si>
  <si>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</si>
  <si>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</si>
  <si>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</si>
  <si>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</si>
  <si>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</si>
  <si>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</si>
  <si>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</si>
  <si>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</si>
  <si>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</si>
  <si>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</si>
  <si>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</si>
  <si>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</si>
  <si>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</si>
  <si>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</si>
  <si>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</si>
  <si>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</si>
  <si>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</si>
  <si>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</si>
  <si>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</si>
  <si>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</si>
  <si>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</si>
  <si>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</si>
  <si>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</si>
  <si>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</si>
  <si>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</si>
  <si>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</si>
  <si>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</si>
  <si>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</si>
  <si>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</si>
  <si>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</si>
  <si>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</si>
  <si>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</si>
  <si>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</si>
  <si>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</si>
  <si>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</si>
  <si>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</si>
  <si>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</si>
  <si>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</si>
  <si>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</si>
  <si>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</si>
  <si>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</si>
  <si>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</si>
  <si>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</si>
  <si>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</si>
  <si>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</si>
  <si>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</si>
  <si>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</si>
  <si>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</si>
  <si>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</si>
  <si>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</si>
  <si>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</si>
  <si>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</si>
  <si>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</si>
  <si>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</si>
  <si>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</si>
  <si>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</si>
  <si>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</si>
  <si>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</si>
  <si>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</si>
  <si>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</si>
  <si>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</si>
  <si>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</si>
  <si>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</si>
  <si>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</si>
  <si>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</si>
  <si>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</si>
  <si>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</si>
  <si>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</si>
  <si>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</si>
  <si>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</si>
  <si>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</si>
  <si>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</si>
  <si>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</si>
  <si>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</si>
  <si>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</si>
  <si>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</si>
  <si>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</si>
  <si>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</si>
  <si>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</si>
  <si>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</si>
  <si>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</si>
  <si>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</si>
  <si>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</si>
  <si>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</si>
  <si>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</si>
  <si>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</si>
  <si>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</si>
  <si>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</si>
  <si>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</si>
  <si>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</si>
  <si>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</si>
  <si>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</si>
  <si>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</si>
  <si>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</si>
  <si>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</si>
  <si>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</si>
  <si>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</si>
  <si>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</si>
  <si>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</si>
  <si>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</si>
  <si>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</si>
  <si>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</si>
  <si>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</si>
  <si>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</si>
  <si>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</si>
  <si>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</si>
  <si>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</si>
  <si>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</si>
  <si>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</si>
  <si>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</si>
  <si>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</si>
  <si>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</si>
  <si>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</si>
  <si>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</si>
  <si>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</si>
  <si>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</si>
  <si>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</si>
  <si>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</si>
  <si>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</si>
  <si>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</si>
  <si>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</si>
  <si>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</si>
  <si>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</si>
  <si>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</si>
  <si>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</si>
  <si>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</si>
  <si>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</si>
  <si>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</si>
  <si>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</si>
  <si>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</si>
  <si>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</si>
  <si>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</si>
  <si>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</si>
  <si>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</si>
  <si>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</si>
  <si>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</si>
  <si>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</si>
  <si>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</si>
  <si>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</si>
  <si>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</si>
  <si>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</si>
  <si>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</si>
  <si>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</si>
  <si>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</si>
  <si>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</si>
  <si>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</si>
  <si>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</si>
  <si>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</si>
  <si>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</si>
  <si>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</si>
  <si>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</si>
  <si>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</si>
  <si>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</si>
  <si>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</si>
  <si>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</si>
  <si>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</si>
  <si>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</si>
  <si>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</si>
  <si>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</si>
  <si>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</si>
  <si>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90UM</t>
  </si>
  <si>
    <t>STOCK</t>
  </si>
  <si>
    <t>QPB09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</si>
</sst>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top"/>
      <protection locked="0"/>
    </xf>
    <xf numFmtId="0" fontId="13" fillId="0" borderId="8" xfId="0" applyFont="1" applyBorder="1" applyAlignment="1" applyProtection="1">
      <alignment horizontal="center" vertical="top"/>
      <protection locked="0"/>
    </xf>
    <xf numFmtId="0" fontId="13" fillId="0" borderId="9" xfId="0" applyFont="1" applyBorder="1" applyAlignment="1" applyProtection="1">
      <alignment horizontal="center" vertical="top"/>
      <protection locked="0"/>
    </xf>
    <xf numFmtId="0" fontId="13" fillId="0" borderId="0" xfId="0" applyFont="1" applyBorder="1" applyAlignment="1" applyProtection="1">
      <alignment horizontal="center" vertical="top"/>
      <protection locked="0"/>
    </xf>
    <xf numFmtId="0" fontId="13" fillId="0" borderId="10" xfId="0" applyFont="1" applyBorder="1" applyAlignment="1" applyProtection="1">
      <alignment horizontal="center" vertical="top"/>
      <protection locked="0"/>
    </xf>
    <xf numFmtId="0" fontId="13" fillId="0" borderId="11" xfId="0" applyFont="1" applyBorder="1" applyAlignment="1" applyProtection="1">
      <alignment horizontal="center" vertical="top"/>
      <protection locked="0"/>
    </xf>
    <xf numFmtId="0" fontId="13" fillId="0" borderId="1" xfId="0" applyFont="1" applyBorder="1" applyAlignment="1" applyProtection="1">
      <alignment horizontal="center" vertical="top"/>
      <protection locked="0"/>
    </xf>
    <xf numFmtId="0" fontId="13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218"/>
  <sheetViews>
    <sheetView tabSelected="1" topLeftCell="O1" zoomScale="80" zoomScaleNormal="80" workbookViewId="0">
      <selection activeCell="S13" sqref="S13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PB300400100</v>
      </c>
      <c r="C1" s="122"/>
      <c r="D1" s="123"/>
      <c r="E1" s="12" t="s">
        <v>57</v>
      </c>
      <c r="F1" s="133" t="s">
        <v>196</v>
      </c>
      <c r="G1" s="133"/>
      <c r="H1" s="134"/>
      <c r="I1" s="13" t="s">
        <v>181</v>
      </c>
      <c r="J1" s="95">
        <f ca="1">TODAY()</f>
        <v>43858</v>
      </c>
      <c r="K1" s="95"/>
      <c r="L1" s="96"/>
      <c r="M1" s="34"/>
      <c r="N1" s="12" t="s">
        <v>56</v>
      </c>
      <c r="O1" s="122" t="str">
        <f>B1</f>
        <v>PB300400100</v>
      </c>
      <c r="P1" s="122"/>
      <c r="Q1" s="123"/>
      <c r="R1" s="12" t="s">
        <v>57</v>
      </c>
      <c r="S1" s="122" t="str">
        <f>F1</f>
        <v>STOCK</v>
      </c>
      <c r="T1" s="122"/>
      <c r="U1" s="123"/>
      <c r="V1" s="12" t="s">
        <v>181</v>
      </c>
      <c r="W1" s="95">
        <f ca="1">J1</f>
        <v>43858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>QPB09</v>
      </c>
      <c r="C2" s="122"/>
      <c r="D2" s="123"/>
      <c r="E2" s="12" t="s">
        <v>58</v>
      </c>
      <c r="F2" s="98"/>
      <c r="G2" s="98"/>
      <c r="H2" s="99"/>
      <c r="I2" s="12" t="s">
        <v>59</v>
      </c>
      <c r="J2" s="97">
        <v>43889</v>
      </c>
      <c r="K2" s="98"/>
      <c r="L2" s="99"/>
      <c r="M2" s="34"/>
      <c r="N2" s="12" t="s">
        <v>100</v>
      </c>
      <c r="O2" s="122" t="str">
        <f>IF(B2="","",B2)</f>
        <v>QPB09</v>
      </c>
      <c r="P2" s="122"/>
      <c r="Q2" s="123"/>
      <c r="R2" s="12" t="s">
        <v>58</v>
      </c>
      <c r="S2" s="122" t="str">
        <f>IF(F2="","",F2)</f>
        <v/>
      </c>
      <c r="T2" s="122"/>
      <c r="U2" s="123"/>
      <c r="V2" s="12" t="s">
        <v>59</v>
      </c>
      <c r="W2" s="135">
        <f>J2</f>
        <v>43889</v>
      </c>
      <c r="X2" s="122"/>
      <c r="Y2" s="123"/>
    </row>
    <row r="3" spans="1:28" ht="20.05" customHeight="1" x14ac:dyDescent="0.3">
      <c r="A3" s="124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>
        <f>A3</f>
        <v>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20</v>
      </c>
      <c r="P7" s="99"/>
      <c r="Q7" s="12" t="str">
        <f>IF(ISNUMBER(SEARCH("roll",O8,1)),"Per Roll","Per Carton")</f>
        <v>Per Carton</v>
      </c>
      <c r="R7" s="98">
        <v>500</v>
      </c>
      <c r="S7" s="99"/>
      <c r="T7" s="12" t="str">
        <f>IF(ISNUMBER(SEARCH("bag",O8,1)),"Total Bags","Total Sheets")</f>
        <v>Total Bags</v>
      </c>
      <c r="U7" s="122">
        <f>R7*O7</f>
        <v>10000</v>
      </c>
      <c r="V7" s="123"/>
      <c r="W7" s="12" t="s">
        <v>102</v>
      </c>
      <c r="X7" s="98" t="s">
        <v>31</v>
      </c>
      <c r="Y7" s="99"/>
      <c r="AB7" s="14"/>
    </row>
    <row r="8" spans="1:28" ht="20.05" customHeight="1" x14ac:dyDescent="0.3">
      <c r="A8" s="15" t="s">
        <v>16</v>
      </c>
      <c r="B8" s="100">
        <f>R9</f>
        <v>300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100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None</v>
      </c>
      <c r="Y8" s="137"/>
    </row>
    <row r="9" spans="1:28" ht="20.05" customHeight="1" x14ac:dyDescent="0.35">
      <c r="A9" s="18" t="s">
        <v>48</v>
      </c>
      <c r="B9" s="110" t="s">
        <v>193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195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300</v>
      </c>
      <c r="S9" s="20" t="s">
        <v>78</v>
      </c>
      <c r="T9" s="35">
        <v>400</v>
      </c>
      <c r="U9" s="20" t="s">
        <v>78</v>
      </c>
      <c r="V9" s="35">
        <v>100</v>
      </c>
      <c r="W9" s="19"/>
      <c r="X9" s="151"/>
      <c r="Y9" s="152"/>
    </row>
    <row r="10" spans="1:28" ht="20.05" customHeight="1" x14ac:dyDescent="0.3">
      <c r="A10" s="12" t="s">
        <v>51</v>
      </c>
      <c r="B10" s="98">
        <v>8</v>
      </c>
      <c r="C10" s="99"/>
      <c r="D10" s="54" t="s">
        <v>134</v>
      </c>
      <c r="E10" s="112">
        <f>IF(ISNUMBER(SEARCH("sheet",O8,1)),((R9*T9*H8/540000)*U7/2000*1.3),((R9*T9*H8/540000)*U7/1000*1.08))</f>
        <v>240.00000000000003</v>
      </c>
      <c r="F10" s="113"/>
      <c r="G10" s="12" t="s">
        <v>53</v>
      </c>
      <c r="H10" s="116">
        <f>IF(ISNUMBER(SEARCH("sheet",O8,1)),(U7*T9/2000*1.08),(U7*T9/1000*1.08))</f>
        <v>4320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 t="s">
        <v>197</v>
      </c>
      <c r="V10" s="143"/>
      <c r="W10" s="143"/>
      <c r="X10" s="143"/>
      <c r="Y10" s="144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30.000000000000004</v>
      </c>
      <c r="F11" s="115"/>
      <c r="G11" s="12" t="s">
        <v>15</v>
      </c>
      <c r="H11" s="114">
        <f>H10/B10</f>
        <v>540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130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59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1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2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4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2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4"/>
    </row>
    <row r="22" spans="1:25" ht="20.05" customHeight="1" x14ac:dyDescent="0.3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5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7"/>
    </row>
    <row r="23" spans="1:25" ht="20.05" customHeight="1" x14ac:dyDescent="0.3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Sheet2!$N$53:$N$54</xm:f>
          </x14:formula1>
          <xm:sqref>U16:V17</xm:sqref>
        </x14:dataValidation>
        <x14:dataValidation type="list" allowBlank="1" showInputMessage="1" showErrorMessage="1">
          <x14:formula1>
            <xm:f>Sheet2!$A$31:$A$32</xm:f>
          </x14:formula1>
          <xm:sqref>K9:L9</xm:sqref>
        </x14:dataValidation>
        <x14:dataValidation type="list" allowBlank="1" showInputMessage="1" showErrorMessage="1">
          <x14:formula1>
            <xm:f>Sheet2!$A$35:$A$38</xm:f>
          </x14:formula1>
          <xm:sqref>K10:L10</xm:sqref>
        </x14:dataValidation>
        <x14:dataValidation type="list" allowBlank="1" showInputMessage="1" showErrorMessage="1">
          <x14:formula1>
            <xm:f>Sheet2!$A$46:$A$48</xm:f>
          </x14:formula1>
          <xm:sqref>B13:D13</xm:sqref>
        </x14:dataValidation>
        <x14:dataValidation type="list" allowBlank="1" showInputMessage="1" showErrorMessage="1">
          <x14:formula1>
            <xm:f>Sheet2!$A$51:$A$53</xm:f>
          </x14:formula1>
          <xm:sqref>F13:H13</xm:sqref>
        </x14:dataValidation>
        <x14:dataValidation type="list" allowBlank="1" showInputMessage="1" showErrorMessage="1">
          <x14:formula1>
            <xm:f>Sheet2!$N$9:$N$10</xm:f>
          </x14:formula1>
          <xm:sqref>S13</xm:sqref>
        </x14:dataValidation>
        <x14:dataValidation type="list" allowBlank="1" showInputMessage="1" showErrorMessage="1">
          <x14:formula1>
            <xm:f>Sheet2!$N$4:$N$6</xm:f>
          </x14:formula1>
          <xm:sqref>O13</xm:sqref>
        </x14:dataValidation>
        <x14:dataValidation type="list" allowBlank="1" showInputMessage="1" showErrorMessage="1">
          <x14:formula1>
            <xm:f>Sheet2!$N$13:$N$14</xm:f>
          </x14:formula1>
          <xm:sqref>X7:Y7</xm:sqref>
        </x14:dataValidation>
        <x14:dataValidation type="list" allowBlank="1" showInputMessage="1" showErrorMessage="1">
          <x14:formula1>
            <xm:f>Sheet2!$N$57:$N$58</xm:f>
          </x14:formula1>
          <xm:sqref>U18:V18</xm:sqref>
        </x14:dataValidation>
        <x14:dataValidation type="list" allowBlank="1" showInputMessage="1" showErrorMessage="1">
          <x14:formula1>
            <xm:f>Sheet2!$N$31:$N$38</xm:f>
          </x14:formula1>
          <xm:sqref>O16:P16</xm:sqref>
        </x14:dataValidation>
        <x14:dataValidation type="list" allowBlank="1" showInputMessage="1" showErrorMessage="1">
          <x14:formula1>
            <xm:f>Sheet2!$N$53:$N$54</xm:f>
          </x14:formula1>
          <xm:sqref>R16:S18</xm:sqref>
        </x14:dataValidation>
        <x14:dataValidation type="list" allowBlank="1" showInputMessage="1" showErrorMessage="1">
          <x14:formula1>
            <xm:f>Sheet2!$N$41:$N$43</xm:f>
          </x14:formula1>
          <xm:sqref>O17:P17</xm:sqref>
        </x14:dataValidation>
        <x14:dataValidation type="list" allowBlank="1" showInputMessage="1" showErrorMessage="1">
          <x14:formula1>
            <xm:f>Sheet2!$A$41:$A$43</xm:f>
          </x14:formula1>
          <xm:sqref>K11:L11</xm:sqref>
        </x14:dataValidation>
        <x14:dataValidation type="list" allowBlank="1" showInputMessage="1" showErrorMessage="1">
          <x14:formula1>
            <xm:f>Sheet2!$A$56:$A$66</xm:f>
          </x14:formula1>
          <xm:sqref>J13:L13</xm:sqref>
        </x14:dataValidation>
        <x14:dataValidation type="list" allowBlank="1" showInputMessage="1" showErrorMessage="1">
          <x14:formula1>
            <xm:f>Sheet2!$A$9:$A$28</xm:f>
          </x14:formula1>
          <xm:sqref>B7:I7</xm:sqref>
        </x14:dataValidation>
        <x14:dataValidation type="list" allowBlank="1" showInputMessage="1" showErrorMessage="1">
          <x14:formula1>
            <xm:f>Sheet2!$N$46:$N$50</xm:f>
          </x14:formula1>
          <xm:sqref>O18:P18</xm:sqref>
        </x14:dataValidation>
        <x14:dataValidation type="list" allowBlank="1" showInputMessage="1" showErrorMessage="1">
          <x14:formula1>
            <xm:f>Sheet2!$N$17:$N$21</xm:f>
          </x14:formula1>
          <xm:sqref>O8:P8</xm:sqref>
        </x14:dataValidation>
        <x14:dataValidation type="list" allowBlank="1" showInputMessage="1" showErrorMessage="1">
          <x14:formula1>
            <xm:f>Sheet2!$N$24:$N$28</xm:f>
          </x14:formula1>
          <xm:sqref>O10:P10</xm:sqref>
        </x14:dataValidation>
        <x14:dataValidation type="list" allowBlank="1" showInputMessage="1" showErrorMessage="1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43889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43879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C2B1005-C411-48C3-B30E-C0DA1B5A2B40}"/>
</file>

<file path=customXml/itemProps2.xml><?xml version="1.0" encoding="utf-8"?>
<ds:datastoreItem xmlns:ds="http://schemas.openxmlformats.org/officeDocument/2006/customXml" ds:itemID="{C25F6ED9-CAEB-41C7-920E-013E3C9E2595}"/>
</file>

<file path=customXml/itemProps3.xml><?xml version="1.0" encoding="utf-8"?>
<ds:datastoreItem xmlns:ds="http://schemas.openxmlformats.org/officeDocument/2006/customXml" ds:itemID="{D3F6412C-0217-4C8A-8671-0B6F455D8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Nicole</cp:lastModifiedBy>
  <cp:lastPrinted>2020-01-15T22:52:01Z</cp:lastPrinted>
  <dcterms:created xsi:type="dcterms:W3CDTF">2019-11-27T23:28:06Z</dcterms:created>
  <dcterms:modified xsi:type="dcterms:W3CDTF">2020-01-28T01:18:54Z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