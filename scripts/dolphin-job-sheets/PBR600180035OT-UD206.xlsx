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D03C264B-A3BF-4999-8E83-EBC6D1C30F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<sst xmlns="http://schemas.openxmlformats.org/spreadsheetml/2006/main" count="302" uniqueCount="200">
  <si>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</si>
  <si>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</si>
  <si>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</si>
  <si>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</si>
  <si>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</si>
  <si>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</si>
  <si>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</si>
  <si>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</si>
  <si>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</si>
  <si>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</si>
  <si>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</si>
  <si>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</si>
  <si>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</si>
  <si>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</si>
  <si>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</si>
  <si>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</si>
  <si>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</si>
  <si>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</si>
  <si>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</si>
  <si>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</si>
  <si>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</si>
  <si>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</si>
  <si>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</si>
  <si>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</si>
  <si>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</si>
  <si>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</si>
  <si>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</si>
  <si>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</si>
  <si>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</si>
  <si>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</si>
  <si>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</si>
  <si>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</si>
  <si>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</si>
  <si>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</si>
  <si>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</si>
  <si>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</si>
  <si>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</si>
  <si>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</si>
  <si>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</si>
  <si>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</si>
  <si>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</si>
  <si>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</si>
  <si>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</si>
  <si>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</si>
  <si>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</si>
  <si>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</si>
  <si>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</si>
  <si>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</si>
  <si>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</si>
  <si>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</si>
  <si>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</si>
  <si>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</si>
  <si>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</si>
  <si>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</si>
  <si>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</si>
  <si>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</si>
  <si>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</si>
  <si>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</si>
  <si>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</si>
  <si>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</si>
  <si>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</si>
  <si>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</si>
  <si>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</si>
  <si>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</si>
  <si>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</si>
  <si>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</si>
  <si>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</si>
  <si>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</si>
  <si>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</si>
  <si>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</si>
  <si>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</si>
  <si>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</si>
  <si>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</si>
  <si>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</si>
  <si>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</si>
  <si>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</si>
  <si>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</si>
  <si>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</si>
  <si>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</si>
  <si>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</si>
  <si>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</si>
  <si>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</si>
  <si>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</si>
  <si>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</si>
  <si>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</si>
  <si>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</si>
  <si>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</si>
  <si>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</si>
  <si>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</si>
  <si>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</si>
  <si>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</si>
  <si>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</si>
  <si>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</si>
  <si>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</si>
  <si>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</si>
  <si>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</si>
  <si>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</si>
  <si>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</si>
  <si>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</si>
  <si>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</si>
  <si>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</si>
  <si>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</si>
  <si>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</si>
  <si>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</si>
  <si>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</si>
  <si>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</si>
  <si>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</si>
  <si>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</si>
  <si>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</si>
  <si>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</si>
  <si>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</si>
  <si>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</si>
  <si>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</si>
  <si>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</si>
  <si>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</si>
  <si>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</si>
  <si>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</si>
  <si>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</si>
  <si>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</si>
  <si>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</si>
  <si>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</si>
  <si>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</si>
  <si>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</si>
  <si>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</si>
  <si>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</si>
  <si>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</si>
  <si>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</si>
  <si>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</si>
  <si>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</si>
  <si>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</si>
  <si>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</si>
  <si>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</si>
  <si>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</si>
  <si>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</si>
  <si>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</si>
  <si>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</si>
  <si>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</si>
  <si>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</si>
  <si>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</si>
  <si>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</si>
  <si>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</si>
  <si>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</si>
  <si>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</si>
  <si>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</si>
  <si>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</si>
  <si>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</si>
  <si>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</si>
  <si>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</si>
  <si>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</si>
  <si>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</si>
  <si>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</si>
  <si>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</si>
  <si>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</si>
  <si>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</si>
  <si>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</si>
  <si>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</si>
  <si>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</si>
  <si>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</si>
  <si>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</si>
  <si>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</si>
  <si>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</si>
  <si>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</si>
  <si>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</si>
  <si>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</si>
  <si>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</si>
  <si>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</si>
  <si>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</si>
  <si>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</si>
  <si>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</si>
  <si>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</si>
  <si>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</si>
  <si>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</si>
  <si>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</si>
  <si>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</si>
  <si>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</si>
  <si>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</si>
  <si>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</si>
  <si>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</si>
  <si>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</si>
  <si>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</si>
  <si>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</si>
  <si>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</si>
  <si>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</si>
  <si>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</si>
  <si>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</si>
  <si>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</si>
  <si>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</si>
  <si>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</si>
  <si>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</si>
  <si>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</si>
  <si>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</si>
  <si>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</si>
  <si>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</si>
  <si>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</si>
  <si>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</si>
  <si>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PERF INLINE - USE REMILL</t>
  </si>
  <si>
    <t>ADVANTAGE AIR</t>
  </si>
  <si>
    <t xml:space="preserve"> +/- 5um</t>
  </si>
  <si>
    <t>BLACK TINT</t>
  </si>
  <si>
    <t>UD206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</si>
</sst>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25" t="str">
        <f>O9&amp;R9&amp;IF(X8="G","G","")&amp;IF(O8="Centrefold Roll","("&amp;E8&amp;")","")&amp;T9&amp;V9&amp;C22&amp;C23&amp;C24&amp;O11&amp;R11</f>
        <v>PBR600180035OT</v>
      </c>
      <c r="C1" s="125"/>
      <c r="D1" s="126"/>
      <c r="E1" s="18" t="s">
        <v>56</v>
      </c>
      <c r="F1" s="149" t="s">
        <v>196</v>
      </c>
      <c r="G1" s="149"/>
      <c r="H1" s="150"/>
      <c r="I1" s="18" t="s">
        <v>180</v>
      </c>
      <c r="J1" s="146">
        <f ca="1">TODAY()</f>
        <v>44574</v>
      </c>
      <c r="K1" s="146"/>
      <c r="L1" s="147"/>
      <c r="M1" s="35"/>
      <c r="N1" s="18" t="s">
        <v>55</v>
      </c>
      <c r="O1" s="125" t="str">
        <f>B1</f>
        <v>PBR600180035OT</v>
      </c>
      <c r="P1" s="125"/>
      <c r="Q1" s="126"/>
      <c r="R1" s="18" t="s">
        <v>56</v>
      </c>
      <c r="S1" s="125" t="str">
        <f>F1</f>
        <v>ADVANTAGE AIR</v>
      </c>
      <c r="T1" s="125"/>
      <c r="U1" s="126"/>
      <c r="V1" s="18" t="s">
        <v>180</v>
      </c>
      <c r="W1" s="146">
        <f ca="1">J1</f>
        <v>44574</v>
      </c>
      <c r="X1" s="146"/>
      <c r="Y1" s="147"/>
    </row>
    <row r="2" spans="1:25" ht="20.100000000000001" customHeight="1" x14ac:dyDescent="0.25">
      <c r="A2" s="18" t="s">
        <v>99</v>
      </c>
      <c r="B2" s="125" t="str">
        <f>IF(U10="","",U10)</f>
        <v>UD206</v>
      </c>
      <c r="C2" s="125"/>
      <c r="D2" s="126"/>
      <c r="E2" s="18" t="s">
        <v>57</v>
      </c>
      <c r="F2" s="104">
        <v>942112</v>
      </c>
      <c r="G2" s="104"/>
      <c r="H2" s="105"/>
      <c r="I2" s="18" t="s">
        <v>58</v>
      </c>
      <c r="J2" s="103">
        <v>44605</v>
      </c>
      <c r="K2" s="104"/>
      <c r="L2" s="105"/>
      <c r="M2" s="35"/>
      <c r="N2" s="18" t="s">
        <v>99</v>
      </c>
      <c r="O2" s="125" t="str">
        <f>IF(B2="","",B2)</f>
        <v>UD206</v>
      </c>
      <c r="P2" s="125"/>
      <c r="Q2" s="126"/>
      <c r="R2" s="18" t="s">
        <v>57</v>
      </c>
      <c r="S2" s="125">
        <f>IF(F2="","",F2)</f>
        <v>942112</v>
      </c>
      <c r="T2" s="125"/>
      <c r="U2" s="126"/>
      <c r="V2" s="18" t="s">
        <v>58</v>
      </c>
      <c r="W2" s="148">
        <f>J2</f>
        <v>44605</v>
      </c>
      <c r="X2" s="125"/>
      <c r="Y2" s="126"/>
    </row>
    <row r="3" spans="1:25" ht="20.100000000000001" customHeight="1" x14ac:dyDescent="0.25">
      <c r="A3" s="137" t="s">
        <v>195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9"/>
      <c r="M3" s="35"/>
      <c r="N3" s="137" t="str">
        <f>A3</f>
        <v>PERF INLINE - USE REMILL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5" ht="20.100000000000001" customHeight="1" x14ac:dyDescent="0.25">
      <c r="A4" s="140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2"/>
      <c r="M4" s="35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5" ht="20.100000000000001" customHeight="1" x14ac:dyDescent="0.25">
      <c r="A5" s="143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5"/>
      <c r="M5" s="35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5" ht="20.100000000000001" customHeight="1" x14ac:dyDescent="0.2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52" t="s">
        <v>1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4"/>
    </row>
    <row r="7" spans="1:25" ht="20.100000000000001" customHeight="1" x14ac:dyDescent="0.3">
      <c r="A7" s="18" t="s">
        <v>48</v>
      </c>
      <c r="B7" s="135" t="s">
        <v>161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7</v>
      </c>
      <c r="P7" s="105"/>
      <c r="Q7" s="18" t="str">
        <f>IF(ISNUMBER(SEARCH("roll",O8,1)),"Per Roll","Per Carton")</f>
        <v>Per Roll</v>
      </c>
      <c r="R7" s="104">
        <v>285</v>
      </c>
      <c r="S7" s="105"/>
      <c r="T7" s="18" t="str">
        <f>IF(ISNUMBER(SEARCH("bag",O8,1)),"Total Bags","Total Sheets")</f>
        <v>Total Bags</v>
      </c>
      <c r="U7" s="125">
        <f>R7*O7</f>
        <v>1995</v>
      </c>
      <c r="V7" s="126"/>
      <c r="W7" s="18" t="s">
        <v>101</v>
      </c>
      <c r="X7" s="104" t="s">
        <v>22</v>
      </c>
      <c r="Y7" s="105"/>
    </row>
    <row r="8" spans="1:25" ht="20.100000000000001" customHeight="1" x14ac:dyDescent="0.25">
      <c r="A8" s="19" t="s">
        <v>15</v>
      </c>
      <c r="B8" s="113">
        <f>R9</f>
        <v>600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None</v>
      </c>
      <c r="F8" s="116"/>
      <c r="G8" s="19" t="s">
        <v>51</v>
      </c>
      <c r="H8" s="113">
        <f>(IF(V9&lt;30,"30",V9))</f>
        <v>35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Layflat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None</v>
      </c>
      <c r="Y8" s="151"/>
    </row>
    <row r="9" spans="1:25" ht="20.100000000000001" customHeight="1" x14ac:dyDescent="0.3">
      <c r="A9" s="23" t="s">
        <v>47</v>
      </c>
      <c r="B9" s="123" t="s">
        <v>194</v>
      </c>
      <c r="C9" s="124"/>
      <c r="D9" s="158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197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600</v>
      </c>
      <c r="S9" s="25" t="s">
        <v>77</v>
      </c>
      <c r="T9" s="36">
        <v>1800</v>
      </c>
      <c r="U9" s="25" t="s">
        <v>77</v>
      </c>
      <c r="V9" s="36">
        <v>35</v>
      </c>
      <c r="W9" s="24"/>
      <c r="X9" s="110"/>
      <c r="Y9" s="111"/>
    </row>
    <row r="10" spans="1:25" ht="20.100000000000001" customHeight="1" x14ac:dyDescent="0.25">
      <c r="A10" s="18" t="s">
        <v>50</v>
      </c>
      <c r="B10" s="104">
        <v>7</v>
      </c>
      <c r="C10" s="105"/>
      <c r="D10" s="56" t="s">
        <v>133</v>
      </c>
      <c r="E10" s="127">
        <f>IF(ISNUMBER(SEARCH("sheet",O8,1)),((R9*T9*H8/540000)*U7/2000*1.3),((R9*T9*H8/540000)*U7/1000*1.08))</f>
        <v>150.822</v>
      </c>
      <c r="F10" s="128"/>
      <c r="G10" s="18" t="s">
        <v>52</v>
      </c>
      <c r="H10" s="131">
        <f>IF(ISNUMBER(SEARCH("sheet",O8,1)),(U7*T9/2000*1.08),(U7*T9/1000*1.08))</f>
        <v>3878.28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 t="s">
        <v>199</v>
      </c>
      <c r="V10" s="106"/>
      <c r="W10" s="106"/>
      <c r="X10" s="106"/>
      <c r="Y10" s="107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21.545999999999999</v>
      </c>
      <c r="F11" s="130"/>
      <c r="G11" s="18" t="s">
        <v>14</v>
      </c>
      <c r="H11" s="129">
        <f>H10/B10</f>
        <v>554.04000000000008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100000000000001" customHeight="1" x14ac:dyDescent="0.2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55" t="s">
        <v>70</v>
      </c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7"/>
    </row>
    <row r="13" spans="1:25" ht="20.100000000000001" customHeight="1" x14ac:dyDescent="0.25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7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64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2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00000000000001" customHeight="1" x14ac:dyDescent="0.25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22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59"/>
      <c r="Y16" s="160"/>
    </row>
    <row r="17" spans="1:25" ht="20.100000000000001" customHeight="1" x14ac:dyDescent="0.25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30</v>
      </c>
      <c r="V17" s="105"/>
      <c r="W17" s="18" t="str">
        <f>IF(ISNUMBER(SEARCH("roll",O8,1)),"Total Rolls","Total Ctns")</f>
        <v>Total Rolls</v>
      </c>
      <c r="X17" s="159"/>
      <c r="Y17" s="160"/>
    </row>
    <row r="18" spans="1:25" ht="20.100000000000001" customHeight="1" x14ac:dyDescent="0.25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59"/>
      <c r="Y18" s="160"/>
    </row>
    <row r="19" spans="1:25" ht="20.100000000000001" customHeight="1" x14ac:dyDescent="0.2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88" t="str">
        <f>(IF(B7="NATURAL","",B7))</f>
        <v>ORANGE TINT</v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OT</v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64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2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65" t="s">
        <v>131</v>
      </c>
      <c r="H26" s="165"/>
      <c r="I26" s="165" t="s">
        <v>130</v>
      </c>
      <c r="J26" s="165"/>
      <c r="K26" s="12" t="s">
        <v>93</v>
      </c>
      <c r="L26" s="12" t="s">
        <v>94</v>
      </c>
      <c r="M26" s="35"/>
      <c r="N26" s="161" t="s">
        <v>136</v>
      </c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3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44605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44595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198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156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157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158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159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161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174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67" t="s">
        <v>183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5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65" t="s">
        <v>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29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 t="s">
        <v>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5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65" t="s">
        <v>46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41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5" t="s">
        <v>44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3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65" t="s">
        <v>62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43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5" t="s">
        <v>63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65" t="s">
        <v>67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43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5" t="s">
        <v>68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3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65" t="s">
        <v>60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43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65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5" t="s">
        <v>66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3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4" t="s">
        <v>61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3" t="s">
        <v>43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6" t="s">
        <v>176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154</v>
      </c>
    </row>
    <row r="60" spans="1:20" x14ac:dyDescent="0.25">
      <c r="A60" s="67" t="s">
        <v>147</v>
      </c>
      <c r="O60" s="1"/>
      <c r="Q60" s="1"/>
      <c r="R60" s="3"/>
      <c r="S60" s="1"/>
    </row>
    <row r="61" spans="1:20" x14ac:dyDescent="0.25">
      <c r="A61" s="67" t="s">
        <v>148</v>
      </c>
      <c r="O61" s="1"/>
      <c r="Q61" s="1"/>
      <c r="R61" s="1"/>
      <c r="S61" s="1"/>
    </row>
    <row r="62" spans="1:20" x14ac:dyDescent="0.25">
      <c r="A62" s="67" t="s">
        <v>149</v>
      </c>
      <c r="O62" s="1"/>
      <c r="Q62" s="1"/>
      <c r="R62" s="1"/>
      <c r="S62" s="1"/>
    </row>
    <row r="63" spans="1:20" x14ac:dyDescent="0.25">
      <c r="A63" s="67" t="s">
        <v>150</v>
      </c>
      <c r="O63" s="1"/>
      <c r="Q63" s="1"/>
      <c r="R63" s="1"/>
      <c r="S63" s="1"/>
      <c r="T63" s="1"/>
    </row>
    <row r="64" spans="1:20" x14ac:dyDescent="0.25">
      <c r="A64" s="67" t="s">
        <v>151</v>
      </c>
      <c r="O64" s="1"/>
      <c r="Q64" s="1"/>
      <c r="R64" s="1"/>
      <c r="S64" s="1"/>
      <c r="T64" s="1"/>
    </row>
    <row r="65" spans="1:20" x14ac:dyDescent="0.25">
      <c r="A65" s="67" t="s">
        <v>152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173</v>
      </c>
      <c r="N66" s="4"/>
      <c r="O66" s="1"/>
      <c r="P66" s="1"/>
      <c r="Q66" s="1"/>
      <c r="R66" s="1"/>
      <c r="S66" s="1"/>
      <c r="T66" s="1"/>
    </row>
    <row r="67" spans="1:20" x14ac:dyDescent="0.25">
      <c r="A67" s="67" t="s">
        <v>153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BD4DF0B-9B51-446E-B3FD-AFA5734144E6}"/>
</file>

<file path=customXml/itemProps2.xml><?xml version="1.0" encoding="utf-8"?>
<ds:datastoreItem xmlns:ds="http://schemas.openxmlformats.org/officeDocument/2006/customXml" ds:itemID="{984AE9F6-2F4E-4C81-90D2-18516CC046BE}"/>
</file>

<file path=customXml/itemProps3.xml><?xml version="1.0" encoding="utf-8"?>
<ds:datastoreItem xmlns:ds="http://schemas.openxmlformats.org/officeDocument/2006/customXml" ds:itemID="{C63A3037-63AC-40F6-8C82-92E6A6B957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2022-01-13T02:03:15Z</cp:lastPrinted>
  <dcterms:created xsi:type="dcterms:W3CDTF">2019-11-27T23:28:06Z</dcterms:created>
  <dcterms:modified xsi:type="dcterms:W3CDTF">2022-01-13T03:24:53Z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