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C6D4DB5-356B-4A96-8C16-0435CD2BA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<sst xmlns="http://schemas.openxmlformats.org/spreadsheetml/2006/main" count="310" uniqueCount="206">
  <si>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</si>
  <si>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</si>
  <si>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</si>
  <si>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</si>
  <si>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</si>
  <si>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</si>
  <si>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</si>
  <si>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</si>
  <si>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</si>
  <si>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</si>
  <si>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</si>
  <si>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</si>
  <si>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</si>
  <si>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</si>
  <si>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</si>
  <si>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</si>
  <si>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</si>
  <si>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</si>
  <si>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</si>
  <si>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</si>
  <si>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</si>
  <si>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</si>
  <si>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</si>
  <si>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</si>
  <si>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</si>
  <si>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</si>
  <si>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</si>
  <si>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</si>
  <si>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</si>
  <si>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</si>
  <si>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</si>
  <si>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</si>
  <si>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</si>
  <si>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</si>
  <si>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</si>
  <si>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</si>
  <si>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</si>
  <si>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</si>
  <si>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</si>
  <si>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</si>
  <si>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</si>
  <si>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</si>
  <si>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</si>
  <si>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</si>
  <si>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</si>
  <si>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</si>
  <si>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</si>
  <si>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</si>
  <si>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</si>
  <si>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</si>
  <si>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</si>
  <si>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</si>
  <si>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</si>
  <si>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</si>
  <si>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</si>
  <si>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</si>
  <si>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</si>
  <si>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</si>
  <si>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</si>
  <si>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</si>
  <si>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</si>
  <si>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</si>
  <si>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</si>
  <si>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</si>
  <si>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</si>
  <si>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</si>
  <si>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</si>
  <si>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</si>
  <si>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</si>
  <si>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</si>
  <si>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</si>
  <si>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</si>
  <si>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</si>
  <si>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</si>
  <si>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</si>
  <si>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</si>
  <si>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</si>
  <si>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</si>
  <si>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</si>
  <si>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</si>
  <si>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</si>
  <si>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</si>
  <si>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</si>
  <si>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</si>
  <si>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</si>
  <si>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</si>
  <si>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</si>
  <si>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</si>
  <si>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</si>
  <si>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</si>
  <si>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</si>
  <si>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</si>
  <si>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</si>
  <si>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</si>
  <si>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</si>
  <si>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</si>
  <si>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</si>
  <si>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</si>
  <si>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</si>
  <si>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</si>
  <si>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</si>
  <si>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</si>
  <si>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</si>
  <si>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</si>
  <si>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</si>
  <si>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</si>
  <si>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</si>
  <si>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</si>
  <si>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</si>
  <si>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</si>
  <si>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</si>
  <si>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</si>
  <si>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</si>
  <si>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</si>
  <si>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</si>
  <si>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</si>
  <si>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</si>
  <si>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</si>
  <si>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</si>
  <si>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</si>
  <si>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</si>
  <si>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</si>
  <si>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</si>
  <si>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</si>
  <si>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</si>
  <si>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</si>
  <si>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</si>
  <si>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</si>
  <si>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</si>
  <si>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</si>
  <si>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</si>
  <si>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</si>
  <si>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</si>
  <si>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</si>
  <si>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</si>
  <si>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</si>
  <si>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</si>
  <si>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</si>
  <si>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</si>
  <si>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</si>
  <si>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</si>
  <si>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</si>
  <si>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</si>
  <si>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</si>
  <si>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</si>
  <si>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</si>
  <si>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</si>
  <si>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</si>
  <si>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</si>
  <si>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</si>
  <si>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</si>
  <si>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</si>
  <si>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</si>
  <si>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</si>
  <si>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</si>
  <si>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</si>
  <si>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</si>
  <si>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</si>
  <si>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</si>
  <si>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</si>
  <si>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</si>
  <si>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</si>
  <si>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</si>
  <si>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</si>
  <si>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</si>
  <si>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</si>
  <si>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</si>
  <si>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</si>
  <si>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</si>
  <si>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</si>
  <si>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</si>
  <si>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</si>
  <si>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</si>
  <si>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</si>
  <si>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</si>
  <si>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</si>
  <si>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</si>
  <si>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</si>
  <si>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</si>
  <si>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</si>
  <si>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</si>
  <si>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</si>
  <si>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</si>
  <si>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</si>
  <si>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</si>
  <si>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</si>
  <si>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</si>
  <si>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</si>
  <si>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</si>
  <si>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</si>
  <si>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</si>
  <si>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</si>
  <si>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</si>
  <si>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</si>
  <si>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90 - 95um</t>
  </si>
  <si>
    <t xml:space="preserve"> +/- 10mm</t>
  </si>
  <si>
    <t>BLACKWOODS</t>
  </si>
  <si>
    <t>ANTIBLOCK</t>
  </si>
  <si>
    <t>#4</t>
  </si>
  <si>
    <t>LIMAX /ORION 1</t>
  </si>
  <si>
    <t>24/22</t>
  </si>
  <si>
    <t>17/200</t>
  </si>
  <si>
    <t>12/215</t>
  </si>
  <si>
    <t>#4/3</t>
  </si>
  <si>
    <t>41/45</t>
  </si>
  <si>
    <t>2.1/2.1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</si>
</sst>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7" t="str">
        <f>O9&amp;R9&amp;IF(X8="G","G","")&amp;IF(O8="Centrefold Roll","("&amp;E8&amp;")","")&amp;T9&amp;V9&amp;C22&amp;C23&amp;C24&amp;O11&amp;R11</f>
        <v>PB4506001000</v>
      </c>
      <c r="C1" s="107"/>
      <c r="D1" s="108"/>
      <c r="E1" s="9" t="s">
        <v>57</v>
      </c>
      <c r="F1" s="61" t="s">
        <v>196</v>
      </c>
      <c r="G1" s="61"/>
      <c r="H1" s="62"/>
      <c r="I1" s="10" t="s">
        <v>181</v>
      </c>
      <c r="J1" s="118">
        <f ca="1">TODAY()</f>
        <v>46000</v>
      </c>
      <c r="K1" s="118"/>
      <c r="L1" s="119"/>
      <c r="M1" s="27"/>
      <c r="N1" s="9" t="s">
        <v>56</v>
      </c>
      <c r="O1" s="107" t="str">
        <f>B1</f>
        <v>PB4506001000</v>
      </c>
      <c r="P1" s="107"/>
      <c r="Q1" s="108"/>
      <c r="R1" s="9" t="s">
        <v>57</v>
      </c>
      <c r="S1" s="107" t="str">
        <f>F1</f>
        <v>BLACKWOODS</v>
      </c>
      <c r="T1" s="107"/>
      <c r="U1" s="108"/>
      <c r="V1" s="9" t="s">
        <v>181</v>
      </c>
      <c r="W1" s="118">
        <f ca="1">J1</f>
        <v>46000</v>
      </c>
      <c r="X1" s="118"/>
      <c r="Y1" s="119"/>
    </row>
    <row r="2" spans="1:25" ht="20.100000000000001" customHeight="1" x14ac:dyDescent="0.25">
      <c r="A2" s="9" t="s">
        <v>100</v>
      </c>
      <c r="B2" s="107" t="str">
        <f>IF(U10="","",U10)</f>
        <v/>
      </c>
      <c r="C2" s="107"/>
      <c r="D2" s="108"/>
      <c r="E2" s="9" t="s">
        <v>58</v>
      </c>
      <c r="F2" s="61">
        <v>949515</v>
      </c>
      <c r="G2" s="61"/>
      <c r="H2" s="62"/>
      <c r="I2" s="9" t="s">
        <v>59</v>
      </c>
      <c r="J2" s="121">
        <v>45767</v>
      </c>
      <c r="K2" s="61"/>
      <c r="L2" s="62"/>
      <c r="M2" s="27"/>
      <c r="N2" s="9" t="s">
        <v>100</v>
      </c>
      <c r="O2" s="107" t="str">
        <f>IF(B2="","",B2)</f>
        <v/>
      </c>
      <c r="P2" s="107"/>
      <c r="Q2" s="108"/>
      <c r="R2" s="9" t="s">
        <v>58</v>
      </c>
      <c r="S2" s="107">
        <f>IF(F2="","",F2)</f>
        <v>949515</v>
      </c>
      <c r="T2" s="107"/>
      <c r="U2" s="108"/>
      <c r="V2" s="9" t="s">
        <v>59</v>
      </c>
      <c r="W2" s="120">
        <f>J2</f>
        <v>45767</v>
      </c>
      <c r="X2" s="107"/>
      <c r="Y2" s="108"/>
    </row>
    <row r="3" spans="1:25" ht="20.100000000000001" customHeight="1" x14ac:dyDescent="0.25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>
        <f>A3</f>
        <v>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30</v>
      </c>
      <c r="P7" s="62"/>
      <c r="Q7" s="9" t="str">
        <f>IF(ISNUMBER(SEARCH("roll",O8,1)),"Per Roll","Per Carton")</f>
        <v>Per Carton</v>
      </c>
      <c r="R7" s="61">
        <v>250</v>
      </c>
      <c r="S7" s="62"/>
      <c r="T7" s="9" t="str">
        <f>IF(ISNUMBER(SEARCH("bag",O8,1)),"Total Bags","Total Sheets")</f>
        <v>Total Bags</v>
      </c>
      <c r="U7" s="107">
        <f>R7*O7</f>
        <v>7500</v>
      </c>
      <c r="V7" s="108"/>
      <c r="W7" s="9" t="s">
        <v>102</v>
      </c>
      <c r="X7" s="61" t="s">
        <v>23</v>
      </c>
      <c r="Y7" s="62"/>
    </row>
    <row r="8" spans="1:25" ht="20.100000000000001" customHeight="1" x14ac:dyDescent="0.25">
      <c r="A8" s="11" t="s">
        <v>16</v>
      </c>
      <c r="B8" s="95">
        <f>R9</f>
        <v>450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100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164</v>
      </c>
      <c r="P8" s="9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4" t="s">
        <v>48</v>
      </c>
      <c r="B9" s="124" t="s">
        <v>195</v>
      </c>
      <c r="C9" s="125"/>
      <c r="D9" s="132" t="str">
        <f>IF(K10="Middle","RUN 2 UP",IF(AND(O8="Centrefold Roll",B8=380),"RUN 2 UP",""))</f>
        <v/>
      </c>
      <c r="E9" s="99"/>
      <c r="F9" s="100"/>
      <c r="G9" s="14" t="s">
        <v>48</v>
      </c>
      <c r="H9" s="124" t="s">
        <v>194</v>
      </c>
      <c r="I9" s="125"/>
      <c r="J9" s="9" t="s">
        <v>55</v>
      </c>
      <c r="K9" s="61" t="s">
        <v>30</v>
      </c>
      <c r="L9" s="62"/>
      <c r="M9" s="27"/>
      <c r="N9" s="15"/>
      <c r="O9" s="101" t="str">
        <f>IF(O8="Poly Bag","PB",IF(O8="Poly Bag Roll","PBR",IF(O8="Centrefold Roll","CFR",IF(O8="Sheet","S",IF(O8="Sheet Roll","SR")))))</f>
        <v>PB</v>
      </c>
      <c r="P9" s="102"/>
      <c r="Q9" s="15"/>
      <c r="R9" s="28">
        <v>450</v>
      </c>
      <c r="S9" s="16" t="s">
        <v>78</v>
      </c>
      <c r="T9" s="28">
        <v>600</v>
      </c>
      <c r="U9" s="16" t="s">
        <v>78</v>
      </c>
      <c r="V9" s="28">
        <v>100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12</v>
      </c>
      <c r="C10" s="62"/>
      <c r="D10" s="45" t="s">
        <v>134</v>
      </c>
      <c r="E10" s="126">
        <f>IF(ISNUMBER(SEARCH("sheet",O8,1)),((R9*T9*H8/540000)*U7/2000*1.3),((R9*T9*H8/540000)*U7/1000*1.08))</f>
        <v>405</v>
      </c>
      <c r="F10" s="127"/>
      <c r="G10" s="9" t="s">
        <v>53</v>
      </c>
      <c r="H10" s="130">
        <f>IF(ISNUMBER(SEARCH("sheet",O8,1)),(U7*T9/2000*1.08),(U7*T9/1000*1.08))</f>
        <v>4860</v>
      </c>
      <c r="I10" s="131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/>
      <c r="V10" s="103"/>
      <c r="W10" s="103"/>
      <c r="X10" s="103"/>
      <c r="Y10" s="104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8">
        <f>E10/B10</f>
        <v>33.75</v>
      </c>
      <c r="F11" s="129"/>
      <c r="G11" s="9" t="s">
        <v>15</v>
      </c>
      <c r="H11" s="128">
        <f>H10/B10</f>
        <v>405</v>
      </c>
      <c r="I11" s="129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30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36" t="s">
        <v>4</v>
      </c>
      <c r="F16" s="136"/>
      <c r="G16" s="136" t="s">
        <v>5</v>
      </c>
      <c r="H16" s="136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150</v>
      </c>
      <c r="P16" s="62"/>
      <c r="Q16" s="9" t="s">
        <v>105</v>
      </c>
      <c r="R16" s="61" t="s">
        <v>31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31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37" t="s">
        <v>197</v>
      </c>
      <c r="B23" s="137"/>
      <c r="C23" s="91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38"/>
      <c r="B24" s="139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199</v>
      </c>
      <c r="P25" s="32"/>
      <c r="Q25" s="8" t="s">
        <v>200</v>
      </c>
      <c r="R25" s="8"/>
      <c r="S25" s="8"/>
      <c r="T25" s="8"/>
      <c r="U25" s="8"/>
      <c r="V25" s="8"/>
      <c r="W25" s="8" t="s">
        <v>201</v>
      </c>
      <c r="X25" s="8" t="s">
        <v>202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 t="s">
        <v>198</v>
      </c>
      <c r="C27" s="7"/>
      <c r="D27" s="8">
        <v>34</v>
      </c>
      <c r="E27" s="57">
        <v>2</v>
      </c>
      <c r="F27" s="7"/>
      <c r="G27" s="89"/>
      <c r="H27" s="89"/>
      <c r="I27" s="89"/>
      <c r="J27" s="8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203</v>
      </c>
      <c r="C28" s="7"/>
      <c r="D28" s="8" t="s">
        <v>204</v>
      </c>
      <c r="E28" s="57" t="s">
        <v>205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33" t="s">
        <v>136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5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46031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46021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638E4E7-0FF6-4475-86A7-A71886164D56}"/>
</file>

<file path=customXml/itemProps2.xml><?xml version="1.0" encoding="utf-8"?>
<ds:datastoreItem xmlns:ds="http://schemas.openxmlformats.org/officeDocument/2006/customXml" ds:itemID="{B92B5542-06FE-4FED-8E0B-7A6DE995C787}"/>
</file>

<file path=customXml/itemProps3.xml><?xml version="1.0" encoding="utf-8"?>
<ds:datastoreItem xmlns:ds="http://schemas.openxmlformats.org/officeDocument/2006/customXml" ds:itemID="{D2CC3BA3-89B8-4805-A97C-00F1EC394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2025-03-20T00:09:51Z</cp:lastPrinted>
  <dcterms:created xsi:type="dcterms:W3CDTF">2019-11-27T23:28:06Z</dcterms:created>
  <dcterms:modified xsi:type="dcterms:W3CDTF">2025-12-08T23:35:40Z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