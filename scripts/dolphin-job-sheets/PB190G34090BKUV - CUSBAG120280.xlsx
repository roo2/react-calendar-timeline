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AFC876C-60E4-4919-9B87-AE9303B0CEF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<sst xmlns="http://schemas.openxmlformats.org/spreadsheetml/2006/main" count="306" uniqueCount="203">
  <si>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</si>
  <si>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</si>
  <si>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</si>
  <si>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</si>
  <si>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</si>
  <si>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</si>
  <si>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</si>
  <si>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</si>
  <si>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</si>
  <si>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</si>
  <si>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</si>
  <si>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</si>
  <si>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</si>
  <si>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</si>
  <si>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</si>
  <si>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</si>
  <si>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</si>
  <si>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</si>
  <si>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</si>
  <si>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</si>
  <si>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</si>
  <si>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</si>
  <si>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</si>
  <si>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</si>
  <si>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</si>
  <si>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</si>
  <si>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</si>
  <si>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</si>
  <si>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</si>
  <si>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</si>
  <si>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</si>
  <si>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</si>
  <si>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</si>
  <si>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</si>
  <si>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</si>
  <si>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</si>
  <si>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</si>
  <si>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</si>
  <si>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</si>
  <si>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</si>
  <si>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</si>
  <si>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</si>
  <si>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</si>
  <si>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</si>
  <si>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</si>
  <si>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</si>
  <si>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</si>
  <si>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</si>
  <si>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</si>
  <si>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</si>
  <si>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</si>
  <si>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</si>
  <si>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</si>
  <si>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</si>
  <si>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</si>
  <si>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</si>
  <si>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</si>
  <si>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</si>
  <si>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</si>
  <si>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</si>
  <si>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</si>
  <si>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</si>
  <si>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</si>
  <si>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</si>
  <si>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</si>
  <si>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</si>
  <si>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</si>
  <si>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</si>
  <si>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</si>
  <si>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</si>
  <si>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</si>
  <si>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</si>
  <si>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</si>
  <si>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</si>
  <si>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</si>
  <si>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</si>
  <si>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</si>
  <si>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</si>
  <si>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</si>
  <si>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</si>
  <si>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</si>
  <si>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</si>
  <si>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</si>
  <si>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</si>
  <si>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</si>
  <si>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</si>
  <si>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</si>
  <si>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</si>
  <si>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</si>
  <si>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</si>
  <si>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</si>
  <si>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</si>
  <si>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</si>
  <si>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</si>
  <si>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</si>
  <si>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</si>
  <si>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</si>
  <si>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</si>
  <si>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</si>
  <si>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</si>
  <si>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</si>
  <si>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</si>
  <si>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</si>
  <si>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</si>
  <si>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</si>
  <si>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</si>
  <si>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</si>
  <si>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</si>
  <si>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</si>
  <si>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</si>
  <si>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</si>
  <si>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</si>
  <si>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</si>
  <si>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</si>
  <si>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</si>
  <si>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</si>
  <si>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</si>
  <si>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</si>
  <si>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</si>
  <si>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</si>
  <si>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</si>
  <si>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</si>
  <si>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</si>
  <si>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</si>
  <si>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</si>
  <si>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</si>
  <si>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</si>
  <si>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</si>
  <si>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</si>
  <si>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</si>
  <si>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</si>
  <si>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</si>
  <si>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</si>
  <si>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</si>
  <si>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</si>
  <si>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</si>
  <si>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</si>
  <si>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</si>
  <si>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</si>
  <si>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</si>
  <si>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</si>
  <si>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</si>
  <si>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</si>
  <si>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</si>
  <si>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</si>
  <si>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</si>
  <si>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</si>
  <si>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</si>
  <si>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</si>
  <si>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</si>
  <si>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</si>
  <si>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</si>
  <si>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</si>
  <si>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</si>
  <si>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</si>
  <si>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</si>
  <si>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</si>
  <si>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</si>
  <si>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</si>
  <si>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</si>
  <si>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</si>
  <si>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</si>
  <si>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</si>
  <si>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</si>
  <si>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</si>
  <si>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</si>
  <si>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</si>
  <si>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</si>
  <si>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</si>
  <si>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</si>
  <si>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</si>
  <si>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</si>
  <si>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</si>
  <si>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</si>
  <si>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</si>
  <si>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</si>
  <si>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</si>
  <si>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</si>
  <si>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</si>
  <si>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</si>
  <si>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</si>
  <si>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</si>
  <si>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</si>
  <si>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</si>
  <si>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</si>
  <si>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</si>
  <si>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</si>
  <si>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</si>
  <si>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</si>
  <si>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</si>
  <si>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</si>
  <si>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</si>
  <si>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</si>
  <si>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</si>
  <si>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</si>
  <si>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ASAP</t>
  </si>
  <si>
    <t>Centrefold Roll</t>
  </si>
  <si>
    <t>(100+90)</t>
  </si>
  <si>
    <t>PERF</t>
  </si>
  <si>
    <t>-</t>
  </si>
  <si>
    <t>FERNLAND AGENCIES</t>
  </si>
  <si>
    <t>CUSBAG120/280</t>
  </si>
  <si>
    <t xml:space="preserve"> +/- 5mm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</si>
</sst>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5" fillId="0" borderId="3" xfId="0" applyFont="1" applyBorder="1" applyAlignment="1" applyProtection="1">
      <alignment horizontal="center" vertical="top"/>
      <protection locked="0"/>
    </xf>
    <xf numFmtId="0" fontId="15" fillId="0" borderId="8" xfId="0" applyFont="1" applyBorder="1" applyAlignment="1" applyProtection="1">
      <alignment horizontal="center" vertical="top"/>
      <protection locked="0"/>
    </xf>
    <xf numFmtId="0" fontId="15" fillId="0" borderId="9" xfId="0" applyFont="1" applyBorder="1" applyAlignment="1" applyProtection="1">
      <alignment horizontal="center" vertical="top"/>
      <protection locked="0"/>
    </xf>
    <xf numFmtId="0" fontId="15" fillId="0" borderId="0" xfId="0" applyFont="1" applyAlignment="1" applyProtection="1">
      <alignment horizontal="center" vertical="top"/>
      <protection locked="0"/>
    </xf>
    <xf numFmtId="0" fontId="15" fillId="0" borderId="10" xfId="0" applyFont="1" applyBorder="1" applyAlignment="1" applyProtection="1">
      <alignment horizontal="center" vertical="top"/>
      <protection locked="0"/>
    </xf>
    <xf numFmtId="0" fontId="15" fillId="0" borderId="11" xfId="0" applyFont="1" applyBorder="1" applyAlignment="1" applyProtection="1">
      <alignment horizontal="center" vertical="top"/>
      <protection locked="0"/>
    </xf>
    <xf numFmtId="0" fontId="15" fillId="0" borderId="1" xfId="0" applyFont="1" applyBorder="1" applyAlignment="1" applyProtection="1">
      <alignment horizontal="center" vertical="top"/>
      <protection locked="0"/>
    </xf>
    <xf numFmtId="0" fontId="15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2" t="str">
        <f>O9&amp;R9&amp;IF(X8="G","G","")&amp;IF(O8="Centrefold Roll","("&amp;E8&amp;")","")&amp;T9&amp;V9&amp;C22&amp;C23&amp;C24&amp;O11&amp;R11</f>
        <v>PB190G34090BKUVV</v>
      </c>
      <c r="C1" s="112"/>
      <c r="D1" s="113"/>
      <c r="E1" s="11" t="s">
        <v>57</v>
      </c>
      <c r="F1" s="88" t="s">
        <v>200</v>
      </c>
      <c r="G1" s="88"/>
      <c r="H1" s="89"/>
      <c r="I1" s="12" t="s">
        <v>181</v>
      </c>
      <c r="J1" s="85">
        <f ca="1">TODAY()</f>
        <v>45674</v>
      </c>
      <c r="K1" s="85"/>
      <c r="L1" s="86"/>
      <c r="M1" s="30"/>
      <c r="N1" s="11" t="s">
        <v>56</v>
      </c>
      <c r="O1" s="112" t="str">
        <f>B1</f>
        <v>PB190G34090BKUVV</v>
      </c>
      <c r="P1" s="112"/>
      <c r="Q1" s="113"/>
      <c r="R1" s="11" t="s">
        <v>57</v>
      </c>
      <c r="S1" s="112" t="str">
        <f>F1</f>
        <v>FERNLAND AGENCIES</v>
      </c>
      <c r="T1" s="112"/>
      <c r="U1" s="113"/>
      <c r="V1" s="11" t="s">
        <v>181</v>
      </c>
      <c r="W1" s="85">
        <f ca="1">J1</f>
        <v>45674</v>
      </c>
      <c r="X1" s="85"/>
      <c r="Y1" s="86"/>
    </row>
    <row r="2" spans="1:25" ht="20.149999999999999" customHeight="1" x14ac:dyDescent="0.8">
      <c r="A2" s="11" t="s">
        <v>100</v>
      </c>
      <c r="B2" s="112" t="str">
        <f>IF(U10="","",U10)</f>
        <v>CUSBAG120/280</v>
      </c>
      <c r="C2" s="112"/>
      <c r="D2" s="113"/>
      <c r="E2" s="11" t="s">
        <v>58</v>
      </c>
      <c r="F2" s="88">
        <v>949278</v>
      </c>
      <c r="G2" s="88"/>
      <c r="H2" s="89"/>
      <c r="I2" s="11" t="s">
        <v>59</v>
      </c>
      <c r="J2" s="87">
        <v>45705</v>
      </c>
      <c r="K2" s="88"/>
      <c r="L2" s="89"/>
      <c r="M2" s="30"/>
      <c r="N2" s="11" t="s">
        <v>100</v>
      </c>
      <c r="O2" s="112" t="str">
        <f>IF(B2="","",B2)</f>
        <v>CUSBAG120/280</v>
      </c>
      <c r="P2" s="112"/>
      <c r="Q2" s="113"/>
      <c r="R2" s="11" t="s">
        <v>58</v>
      </c>
      <c r="S2" s="112">
        <f>IF(F2="","",F2)</f>
        <v>949278</v>
      </c>
      <c r="T2" s="112"/>
      <c r="U2" s="113"/>
      <c r="V2" s="11" t="s">
        <v>59</v>
      </c>
      <c r="W2" s="123">
        <f>J2</f>
        <v>45705</v>
      </c>
      <c r="X2" s="112"/>
      <c r="Y2" s="113"/>
    </row>
    <row r="3" spans="1:25" ht="20.149999999999999" customHeight="1" x14ac:dyDescent="0.75">
      <c r="A3" s="114" t="s">
        <v>192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30"/>
      <c r="N3" s="114" t="str">
        <f>A3</f>
        <v>SPOT ON FINISH. USE DOLPHIN REMILL, MUST NOT BE BLOCKED.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30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30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49999999999999" customHeight="1" x14ac:dyDescent="0.7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30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49999999999999" customHeight="1" x14ac:dyDescent="0.9">
      <c r="A7" s="11" t="s">
        <v>49</v>
      </c>
      <c r="B7" s="109" t="s">
        <v>177</v>
      </c>
      <c r="C7" s="109"/>
      <c r="D7" s="109"/>
      <c r="E7" s="109"/>
      <c r="F7" s="109"/>
      <c r="G7" s="109"/>
      <c r="H7" s="109"/>
      <c r="I7" s="110"/>
      <c r="J7" s="76" t="s">
        <v>179</v>
      </c>
      <c r="K7" s="76"/>
      <c r="L7" s="74"/>
      <c r="M7" s="30"/>
      <c r="N7" s="11" t="str">
        <f>IF(ISNUMBER(SEARCH("roll",O8,1)),"No. Rolls","No. Cartons")</f>
        <v>No. Cartons</v>
      </c>
      <c r="O7" s="88">
        <v>22</v>
      </c>
      <c r="P7" s="89"/>
      <c r="Q7" s="11" t="str">
        <f>IF(ISNUMBER(SEARCH("roll",O8,1)),"Per Roll","Per Carton")</f>
        <v>Per Carton</v>
      </c>
      <c r="R7" s="88">
        <v>1000</v>
      </c>
      <c r="S7" s="89"/>
      <c r="T7" s="11" t="str">
        <f>IF(ISNUMBER(SEARCH("bag",O8,1)),"Total Bags","Total Sheets")</f>
        <v>Total Bags</v>
      </c>
      <c r="U7" s="112">
        <f>R7*O7</f>
        <v>22000</v>
      </c>
      <c r="V7" s="113"/>
      <c r="W7" s="11" t="s">
        <v>102</v>
      </c>
      <c r="X7" s="88" t="s">
        <v>23</v>
      </c>
      <c r="Y7" s="89"/>
    </row>
    <row r="8" spans="1:25" ht="20.149999999999999" customHeight="1" x14ac:dyDescent="0.8">
      <c r="A8" s="13" t="s">
        <v>16</v>
      </c>
      <c r="B8" s="90">
        <f>R9</f>
        <v>190</v>
      </c>
      <c r="C8" s="91"/>
      <c r="D8" s="13" t="str">
        <f>IF(ISNUMBER(SEARCH("bag",O8,1)),"Gusset","Centrefold")</f>
        <v>Gusset</v>
      </c>
      <c r="E8" s="90" t="str">
        <f>IF(O8="Centrefold Roll",B8*2,IF(X9="","None",X9))</f>
        <v>(100+90)</v>
      </c>
      <c r="F8" s="91"/>
      <c r="G8" s="13" t="s">
        <v>52</v>
      </c>
      <c r="H8" s="90">
        <f>(IF(V9&lt;30,"30",V9))</f>
        <v>90</v>
      </c>
      <c r="I8" s="91"/>
      <c r="J8" s="11" t="s">
        <v>54</v>
      </c>
      <c r="K8" s="112" t="str">
        <f>IF(X8="None","Layflat Tube",IF(X8="","Layflat Tube",IF(X8="CF","Layflat Tube",IF(X8="G","Gusset Tube",IF(X9="","Layflat Tube",)))))</f>
        <v>Gusset Tube</v>
      </c>
      <c r="L8" s="113"/>
      <c r="M8" s="30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49999999999999" customHeight="1" x14ac:dyDescent="0.9">
      <c r="A9" s="17" t="s">
        <v>48</v>
      </c>
      <c r="B9" s="100" t="s">
        <v>202</v>
      </c>
      <c r="C9" s="101"/>
      <c r="D9" s="108" t="str">
        <f>IF(K10="Middle","RUN 2 UP",IF(AND(O8="Centrefold Roll",B8=380),"RUN 2 UP",""))</f>
        <v/>
      </c>
      <c r="E9" s="109"/>
      <c r="F9" s="110"/>
      <c r="G9" s="17" t="s">
        <v>48</v>
      </c>
      <c r="H9" s="100" t="s">
        <v>193</v>
      </c>
      <c r="I9" s="101"/>
      <c r="J9" s="11" t="s">
        <v>55</v>
      </c>
      <c r="K9" s="88" t="s">
        <v>30</v>
      </c>
      <c r="L9" s="89"/>
      <c r="M9" s="30"/>
      <c r="N9" s="18"/>
      <c r="O9" s="128" t="str">
        <f>IF(O8="Poly Bag","PB",IF(O8="Poly Bag Roll","PBR",IF(O8="Centrefold Roll","CFR",IF(O8="Sheet","S",IF(O8="Sheet Roll","SR")))))</f>
        <v>PB</v>
      </c>
      <c r="P9" s="129"/>
      <c r="Q9" s="18"/>
      <c r="R9" s="31">
        <v>190</v>
      </c>
      <c r="S9" s="19" t="s">
        <v>78</v>
      </c>
      <c r="T9" s="31">
        <v>340</v>
      </c>
      <c r="U9" s="19" t="s">
        <v>78</v>
      </c>
      <c r="V9" s="31">
        <v>90</v>
      </c>
      <c r="W9" s="18"/>
      <c r="X9" s="137" t="s">
        <v>197</v>
      </c>
      <c r="Y9" s="138"/>
    </row>
    <row r="10" spans="1:25" ht="20.149999999999999" customHeight="1" x14ac:dyDescent="0.8">
      <c r="A10" s="11" t="s">
        <v>51</v>
      </c>
      <c r="B10" s="88">
        <v>16</v>
      </c>
      <c r="C10" s="89"/>
      <c r="D10" s="48" t="s">
        <v>134</v>
      </c>
      <c r="E10" s="102">
        <f>IF(ISNUMBER(SEARCH("sheet",O8,1)),((R9*T9*H8/540000)*U7/2000*1.3),((R9*T9*H8/540000)*U7/1000*1.08))</f>
        <v>255.81600000000003</v>
      </c>
      <c r="F10" s="103"/>
      <c r="G10" s="11" t="s">
        <v>53</v>
      </c>
      <c r="H10" s="106">
        <f>IF(ISNUMBER(SEARCH("sheet",O8,1)),(U7*T9/2000*1.08),(U7*T9/1000*1.08))</f>
        <v>8078.4000000000005</v>
      </c>
      <c r="I10" s="107"/>
      <c r="J10" s="11" t="s">
        <v>41</v>
      </c>
      <c r="K10" s="88" t="s">
        <v>44</v>
      </c>
      <c r="L10" s="89"/>
      <c r="M10" s="30"/>
      <c r="N10" s="14" t="s">
        <v>141</v>
      </c>
      <c r="O10" s="126" t="s">
        <v>188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 t="s">
        <v>201</v>
      </c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04">
        <f>E10/B10</f>
        <v>15.988500000000002</v>
      </c>
      <c r="F11" s="105"/>
      <c r="G11" s="11" t="s">
        <v>15</v>
      </c>
      <c r="H11" s="104">
        <f>H10/B10</f>
        <v>504.90000000000003</v>
      </c>
      <c r="I11" s="105"/>
      <c r="J11" s="11" t="s">
        <v>50</v>
      </c>
      <c r="K11" s="88" t="s">
        <v>44</v>
      </c>
      <c r="L11" s="89"/>
      <c r="M11" s="30"/>
      <c r="N11" s="13"/>
      <c r="O11" s="90" t="str">
        <f>IF(O10="NONE","","V")</f>
        <v>V</v>
      </c>
      <c r="P11" s="91"/>
      <c r="Q11" s="13"/>
      <c r="R11" s="90" t="str">
        <f>IF(R10="None","","P")</f>
        <v/>
      </c>
      <c r="S11" s="91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30"/>
      <c r="N12" s="130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49999999999999" customHeight="1" x14ac:dyDescent="0.8">
      <c r="A13" s="11" t="s">
        <v>68</v>
      </c>
      <c r="B13" s="88" t="s">
        <v>44</v>
      </c>
      <c r="C13" s="88"/>
      <c r="D13" s="89"/>
      <c r="E13" s="20" t="s">
        <v>61</v>
      </c>
      <c r="F13" s="88" t="s">
        <v>44</v>
      </c>
      <c r="G13" s="88"/>
      <c r="H13" s="89"/>
      <c r="I13" s="11" t="s">
        <v>62</v>
      </c>
      <c r="J13" s="88" t="s">
        <v>44</v>
      </c>
      <c r="K13" s="88"/>
      <c r="L13" s="89"/>
      <c r="M13" s="30"/>
      <c r="N13" s="11" t="s">
        <v>72</v>
      </c>
      <c r="O13" s="32" t="s">
        <v>57</v>
      </c>
      <c r="P13" s="11" t="s">
        <v>73</v>
      </c>
      <c r="Q13" s="21">
        <f>O7</f>
        <v>22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30"/>
      <c r="N14" s="130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49999999999999" customHeight="1" x14ac:dyDescent="0.7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30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30"/>
      <c r="N16" s="11" t="s">
        <v>28</v>
      </c>
      <c r="O16" s="88">
        <v>150</v>
      </c>
      <c r="P16" s="89"/>
      <c r="Q16" s="11" t="s">
        <v>105</v>
      </c>
      <c r="R16" s="88" t="s">
        <v>23</v>
      </c>
      <c r="S16" s="89"/>
      <c r="T16" s="12" t="s">
        <v>103</v>
      </c>
      <c r="U16" s="88" t="s">
        <v>31</v>
      </c>
      <c r="V16" s="89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/>
      <c r="F17" s="84"/>
      <c r="G17" s="49" t="s">
        <v>81</v>
      </c>
      <c r="H17" s="33"/>
      <c r="I17" s="83"/>
      <c r="J17" s="84"/>
      <c r="K17" s="83"/>
      <c r="L17" s="84"/>
      <c r="M17" s="30"/>
      <c r="N17" s="11" t="s">
        <v>26</v>
      </c>
      <c r="O17" s="88" t="s">
        <v>37</v>
      </c>
      <c r="P17" s="89"/>
      <c r="Q17" s="11" t="s">
        <v>104</v>
      </c>
      <c r="R17" s="88" t="s">
        <v>31</v>
      </c>
      <c r="S17" s="89"/>
      <c r="T17" s="12" t="str">
        <f>IF(ISNUMBER(SEARCH("roll",O8,1)),"Part Rolls","Part Ctns")</f>
        <v>Part Ctns</v>
      </c>
      <c r="U17" s="88" t="s">
        <v>31</v>
      </c>
      <c r="V17" s="89"/>
      <c r="W17" s="11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/>
      <c r="F18" s="84"/>
      <c r="G18" s="49" t="s">
        <v>82</v>
      </c>
      <c r="H18" s="33"/>
      <c r="I18" s="83"/>
      <c r="J18" s="84"/>
      <c r="K18" s="83"/>
      <c r="L18" s="84"/>
      <c r="M18" s="30"/>
      <c r="N18" s="11" t="s">
        <v>101</v>
      </c>
      <c r="O18" s="88" t="s">
        <v>185</v>
      </c>
      <c r="P18" s="89"/>
      <c r="Q18" s="11" t="s">
        <v>106</v>
      </c>
      <c r="R18" s="88" t="s">
        <v>23</v>
      </c>
      <c r="S18" s="89"/>
      <c r="T18" s="22" t="s">
        <v>27</v>
      </c>
      <c r="U18" s="88" t="s">
        <v>36</v>
      </c>
      <c r="V18" s="89"/>
      <c r="W18" s="11" t="s">
        <v>109</v>
      </c>
      <c r="X18" s="140"/>
      <c r="Y18" s="141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3"/>
      <c r="F19" s="84"/>
      <c r="G19" s="49" t="s">
        <v>83</v>
      </c>
      <c r="H19" s="33"/>
      <c r="I19" s="83"/>
      <c r="J19" s="84"/>
      <c r="K19" s="83"/>
      <c r="L19" s="84"/>
      <c r="M19" s="30"/>
      <c r="N19" s="142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3"/>
      <c r="F20" s="84"/>
      <c r="G20" s="49" t="s">
        <v>84</v>
      </c>
      <c r="H20" s="33"/>
      <c r="I20" s="83"/>
      <c r="J20" s="84"/>
      <c r="K20" s="83"/>
      <c r="L20" s="84"/>
      <c r="M20" s="30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3"/>
      <c r="F21" s="84"/>
      <c r="G21" s="49" t="s">
        <v>85</v>
      </c>
      <c r="H21" s="33"/>
      <c r="I21" s="83"/>
      <c r="J21" s="84"/>
      <c r="K21" s="83"/>
      <c r="L21" s="84"/>
      <c r="M21" s="30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49999999999999" customHeight="1" x14ac:dyDescent="0.75">
      <c r="A22" s="75" t="str">
        <f>(IF(B7="NATURAL","",B7))</f>
        <v>BLACK</v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9"/>
      <c r="E22" s="83"/>
      <c r="F22" s="84"/>
      <c r="G22" s="49" t="s">
        <v>86</v>
      </c>
      <c r="H22" s="33"/>
      <c r="I22" s="83"/>
      <c r="J22" s="84"/>
      <c r="K22" s="83"/>
      <c r="L22" s="84"/>
      <c r="M22" s="30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49999999999999" customHeight="1" x14ac:dyDescent="0.75">
      <c r="A23" s="80" t="s">
        <v>194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9"/>
      <c r="E23" s="83"/>
      <c r="F23" s="84"/>
      <c r="G23" s="49" t="s">
        <v>87</v>
      </c>
      <c r="H23" s="33"/>
      <c r="I23" s="83"/>
      <c r="J23" s="84"/>
      <c r="K23" s="83"/>
      <c r="L23" s="84"/>
      <c r="M23" s="30"/>
      <c r="N23" s="130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9" t="s">
        <v>88</v>
      </c>
      <c r="H24" s="33"/>
      <c r="I24" s="83"/>
      <c r="J24" s="84"/>
      <c r="K24" s="83"/>
      <c r="L24" s="84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30"/>
      <c r="N25" s="23" t="s">
        <v>96</v>
      </c>
      <c r="O25" s="10" t="s">
        <v>198</v>
      </c>
      <c r="P25" s="35"/>
      <c r="Q25" s="10">
        <v>24</v>
      </c>
      <c r="R25" s="10">
        <v>6</v>
      </c>
      <c r="S25" s="10" t="s">
        <v>199</v>
      </c>
      <c r="T25" s="10">
        <v>10</v>
      </c>
      <c r="U25" s="10">
        <v>2</v>
      </c>
      <c r="V25" s="10">
        <v>3</v>
      </c>
      <c r="W25" s="10">
        <v>220</v>
      </c>
      <c r="X25" s="10">
        <v>220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139" t="s">
        <v>132</v>
      </c>
      <c r="H26" s="139"/>
      <c r="I26" s="139" t="s">
        <v>131</v>
      </c>
      <c r="J26" s="139"/>
      <c r="K26" s="25" t="s">
        <v>94</v>
      </c>
      <c r="L26" s="25" t="s">
        <v>95</v>
      </c>
      <c r="M26" s="30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92" t="s">
        <v>99</v>
      </c>
      <c r="B29" s="93"/>
      <c r="C29" s="93"/>
      <c r="D29" s="93"/>
      <c r="E29" s="93"/>
      <c r="F29" s="135"/>
      <c r="G29" s="135"/>
      <c r="H29" s="135"/>
      <c r="I29" s="135"/>
      <c r="J29" s="135"/>
      <c r="K29" s="93"/>
      <c r="L29" s="136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69"/>
  <sheetViews>
    <sheetView topLeftCell="A25" zoomScaleNormal="100" workbookViewId="0">
      <selection activeCell="N33" sqref="N33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45705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45695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196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scale="5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9E01448-A05A-4740-975A-EB16B1BC0ACD}"/>
</file>

<file path=customXml/itemProps2.xml><?xml version="1.0" encoding="utf-8"?>
<ds:datastoreItem xmlns:ds="http://schemas.openxmlformats.org/officeDocument/2006/customXml" ds:itemID="{C8041967-8B1B-4D9E-8910-D3CB7A1A4283}"/>
</file>

<file path=customXml/itemProps3.xml><?xml version="1.0" encoding="utf-8"?>
<ds:datastoreItem xmlns:ds="http://schemas.openxmlformats.org/officeDocument/2006/customXml" ds:itemID="{4A2749A8-7ECB-4B01-A8B2-8EB9936E53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2025-01-17T01:35:59Z</cp:lastPrinted>
  <dcterms:created xsi:type="dcterms:W3CDTF">2019-11-27T23:28:06Z</dcterms:created>
  <dcterms:modified xsi:type="dcterms:W3CDTF">2025-01-17T01:59:00Z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