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931EDB88-C431-4578-A71F-BDD10E313149}" xr6:coauthVersionLast="45" xr6:coauthVersionMax="45" xr10:uidLastSave="{00000000-0000-0000-0000-000000000000}"/>
  <bookViews>
    <workbookView xWindow="60" yWindow="1230" windowWidth="28740" windowHeight="1437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<sst xmlns="http://schemas.openxmlformats.org/spreadsheetml/2006/main" count="303" uniqueCount="199">
  <si>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</si>
  <si>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</si>
  <si>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</si>
  <si>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</si>
  <si>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</si>
  <si>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</si>
  <si>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</si>
  <si>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</si>
  <si>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</si>
  <si>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</si>
  <si>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</si>
  <si>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</si>
  <si>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</si>
  <si>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</si>
  <si>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</si>
  <si>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</si>
  <si>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</si>
  <si>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</si>
  <si>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</si>
  <si>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</si>
  <si>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</si>
  <si>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</si>
  <si>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</si>
  <si>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</si>
  <si>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</si>
  <si>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</si>
  <si>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</si>
  <si>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</si>
  <si>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</si>
  <si>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</si>
  <si>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</si>
  <si>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</si>
  <si>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</si>
  <si>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</si>
  <si>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</si>
  <si>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</si>
  <si>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</si>
  <si>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</si>
  <si>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</si>
  <si>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</si>
  <si>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</si>
  <si>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</si>
  <si>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</si>
  <si>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</si>
  <si>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</si>
  <si>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</si>
  <si>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</si>
  <si>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</si>
  <si>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</si>
  <si>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</si>
  <si>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</si>
  <si>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</si>
  <si>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</si>
  <si>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</si>
  <si>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</si>
  <si>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</si>
  <si>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</si>
  <si>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</si>
  <si>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</si>
  <si>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</si>
  <si>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</si>
  <si>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</si>
  <si>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</si>
  <si>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</si>
  <si>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</si>
  <si>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</si>
  <si>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</si>
  <si>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</si>
  <si>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</si>
  <si>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</si>
  <si>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</si>
  <si>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</si>
  <si>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</si>
  <si>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</si>
  <si>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</si>
  <si>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</si>
  <si>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</si>
  <si>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</si>
  <si>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</si>
  <si>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</si>
  <si>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</si>
  <si>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</si>
  <si>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</si>
  <si>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</si>
  <si>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</si>
  <si>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</si>
  <si>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</si>
  <si>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</si>
  <si>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</si>
  <si>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</si>
  <si>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</si>
  <si>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</si>
  <si>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</si>
  <si>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</si>
  <si>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</si>
  <si>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</si>
  <si>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</si>
  <si>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</si>
  <si>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</si>
  <si>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</si>
  <si>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</si>
  <si>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</si>
  <si>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</si>
  <si>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</si>
  <si>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</si>
  <si>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</si>
  <si>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</si>
  <si>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</si>
  <si>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</si>
  <si>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</si>
  <si>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</si>
  <si>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</si>
  <si>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</si>
  <si>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</si>
  <si>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</si>
  <si>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</si>
  <si>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</si>
  <si>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</si>
  <si>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</si>
  <si>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</si>
  <si>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</si>
  <si>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</si>
  <si>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</si>
  <si>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</si>
  <si>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</si>
  <si>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</si>
  <si>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</si>
  <si>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</si>
  <si>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</si>
  <si>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</si>
  <si>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</si>
  <si>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</si>
  <si>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</si>
  <si>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</si>
  <si>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</si>
  <si>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</si>
  <si>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</si>
  <si>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</si>
  <si>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</si>
  <si>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</si>
  <si>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</si>
  <si>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</si>
  <si>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</si>
  <si>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</si>
  <si>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</si>
  <si>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</si>
  <si>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</si>
  <si>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</si>
  <si>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</si>
  <si>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</si>
  <si>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</si>
  <si>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</si>
  <si>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</si>
  <si>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</si>
  <si>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</si>
  <si>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</si>
  <si>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</si>
  <si>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</si>
  <si>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</si>
  <si>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</si>
  <si>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</si>
  <si>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</si>
  <si>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</si>
  <si>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</si>
  <si>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</si>
  <si>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</si>
  <si>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</si>
  <si>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</si>
  <si>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</si>
  <si>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</si>
  <si>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</si>
  <si>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</si>
  <si>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</si>
  <si>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</si>
  <si>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</si>
  <si>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</si>
  <si>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</si>
  <si>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</si>
  <si>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</si>
  <si>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</si>
  <si>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</si>
  <si>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</si>
  <si>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</si>
  <si>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</si>
  <si>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</si>
  <si>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</si>
  <si>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</si>
  <si>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</si>
  <si>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</si>
  <si>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</si>
  <si>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</si>
  <si>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</si>
  <si>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</si>
  <si>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</si>
  <si>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</si>
  <si>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100% REEF SAFE</t>
  </si>
  <si>
    <t xml:space="preserve"> NEW ITEM - MUST HAVE WATER TIGHT SEALS - PLEASE CHECK FREQUENTLY</t>
  </si>
  <si>
    <t>RUN AT 50um</t>
  </si>
  <si>
    <t>LIMAC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</si>
</sst>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S13" sqref="S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PB25540550</v>
      </c>
      <c r="C1" s="122"/>
      <c r="D1" s="123"/>
      <c r="E1" s="12" t="s">
        <v>57</v>
      </c>
      <c r="F1" s="133" t="s">
        <v>195</v>
      </c>
      <c r="G1" s="133"/>
      <c r="H1" s="134"/>
      <c r="I1" s="13" t="s">
        <v>181</v>
      </c>
      <c r="J1" s="95">
        <f ca="1">TODAY()</f>
        <v>44054</v>
      </c>
      <c r="K1" s="95"/>
      <c r="L1" s="96"/>
      <c r="M1" s="34"/>
      <c r="N1" s="12" t="s">
        <v>56</v>
      </c>
      <c r="O1" s="122" t="str">
        <f>B1</f>
        <v>PB25540550</v>
      </c>
      <c r="P1" s="122"/>
      <c r="Q1" s="123"/>
      <c r="R1" s="12" t="s">
        <v>57</v>
      </c>
      <c r="S1" s="122" t="str">
        <f>F1</f>
        <v>100% REEF SAFE</v>
      </c>
      <c r="T1" s="122"/>
      <c r="U1" s="123"/>
      <c r="V1" s="12" t="s">
        <v>181</v>
      </c>
      <c r="W1" s="95">
        <f ca="1">J1</f>
        <v>44054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937707</v>
      </c>
      <c r="G2" s="98"/>
      <c r="H2" s="99"/>
      <c r="I2" s="12" t="s">
        <v>59</v>
      </c>
      <c r="J2" s="97">
        <v>44050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937707</v>
      </c>
      <c r="T2" s="122"/>
      <c r="U2" s="123"/>
      <c r="V2" s="12" t="s">
        <v>59</v>
      </c>
      <c r="W2" s="135">
        <f>J2</f>
        <v>44050</v>
      </c>
      <c r="X2" s="122"/>
      <c r="Y2" s="123"/>
    </row>
    <row r="3" spans="1:28" ht="20.100000000000001" customHeight="1" x14ac:dyDescent="0.25">
      <c r="A3" s="124" t="s">
        <v>196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 xml:space="preserve"> NEW ITEM - MUST HAVE WATER TIGHT SEALS - PLEASE CHECK FREQUENTLY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6000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255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197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255</v>
      </c>
      <c r="S9" s="20" t="s">
        <v>78</v>
      </c>
      <c r="T9" s="35">
        <v>405</v>
      </c>
      <c r="U9" s="20" t="s">
        <v>78</v>
      </c>
      <c r="V9" s="35">
        <v>50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61.965000000000003</v>
      </c>
      <c r="F10" s="113"/>
      <c r="G10" s="12" t="s">
        <v>53</v>
      </c>
      <c r="H10" s="116">
        <f>IF(ISNUMBER(SEARCH("sheet",O8,1)),(U7*T9/2000*1.08),(U7*T9/1000*1.08))</f>
        <v>2624.4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15.491250000000001</v>
      </c>
      <c r="F11" s="115"/>
      <c r="G11" s="12" t="s">
        <v>15</v>
      </c>
      <c r="H11" s="114">
        <f>H10/B10</f>
        <v>656.1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198</v>
      </c>
      <c r="P25" s="39"/>
      <c r="Q25" s="10">
        <v>28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44085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44075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ED57174-979A-4961-B3E3-FBC8B242A24D}"/>
</file>

<file path=customXml/itemProps2.xml><?xml version="1.0" encoding="utf-8"?>
<ds:datastoreItem xmlns:ds="http://schemas.openxmlformats.org/officeDocument/2006/customXml" ds:itemID="{87636648-9717-49D5-9A25-C7B656DC2410}"/>
</file>

<file path=customXml/itemProps3.xml><?xml version="1.0" encoding="utf-8"?>
<ds:datastoreItem xmlns:ds="http://schemas.openxmlformats.org/officeDocument/2006/customXml" ds:itemID="{3E16A9F0-5440-4060-AAB1-8DDEF594F5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2020-07-07T02:12:59Z</cp:lastPrinted>
  <dcterms:created xsi:type="dcterms:W3CDTF">2019-11-27T23:28:06Z</dcterms:created>
  <dcterms:modified xsi:type="dcterms:W3CDTF">2020-08-10T23:52:05Z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