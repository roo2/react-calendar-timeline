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D39F6A8-16C7-4893-AAAF-CFA3E421D8B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<sst xmlns="http://schemas.openxmlformats.org/spreadsheetml/2006/main" count="306" uniqueCount="201">
  <si>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</si>
  <si>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</si>
  <si>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</si>
  <si>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</si>
  <si>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</si>
  <si>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</si>
  <si>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</si>
  <si>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</si>
  <si>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</si>
  <si>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</si>
  <si>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</si>
  <si>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</si>
  <si>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</si>
  <si>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</si>
  <si>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</si>
  <si>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</si>
  <si>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</si>
  <si>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</si>
  <si>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</si>
  <si>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</si>
  <si>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</si>
  <si>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</si>
  <si>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</si>
  <si>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</si>
  <si>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</si>
  <si>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</si>
  <si>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</si>
  <si>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</si>
  <si>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</si>
  <si>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</si>
  <si>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</si>
  <si>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</si>
  <si>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</si>
  <si>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</si>
  <si>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</si>
  <si>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</si>
  <si>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</si>
  <si>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</si>
  <si>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</si>
  <si>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</si>
  <si>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</si>
  <si>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</si>
  <si>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</si>
  <si>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</si>
  <si>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</si>
  <si>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</si>
  <si>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</si>
  <si>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</si>
  <si>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</si>
  <si>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</si>
  <si>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</si>
  <si>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</si>
  <si>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</si>
  <si>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</si>
  <si>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</si>
  <si>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</si>
  <si>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</si>
  <si>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</si>
  <si>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</si>
  <si>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</si>
  <si>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</si>
  <si>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</si>
  <si>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</si>
  <si>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</si>
  <si>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</si>
  <si>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</si>
  <si>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</si>
  <si>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</si>
  <si>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</si>
  <si>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</si>
  <si>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</si>
  <si>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</si>
  <si>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</si>
  <si>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</si>
  <si>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</si>
  <si>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</si>
  <si>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</si>
  <si>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</si>
  <si>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</si>
  <si>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</si>
  <si>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</si>
  <si>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</si>
  <si>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</si>
  <si>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</si>
  <si>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</si>
  <si>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</si>
  <si>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</si>
  <si>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</si>
  <si>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</si>
  <si>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</si>
  <si>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</si>
  <si>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</si>
  <si>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</si>
  <si>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</si>
  <si>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</si>
  <si>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</si>
  <si>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</si>
  <si>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</si>
  <si>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</si>
  <si>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</si>
  <si>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</si>
  <si>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</si>
  <si>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</si>
  <si>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</si>
  <si>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</si>
  <si>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</si>
  <si>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</si>
  <si>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</si>
  <si>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</si>
  <si>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</si>
  <si>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</si>
  <si>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</si>
  <si>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</si>
  <si>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</si>
  <si>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</si>
  <si>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</si>
  <si>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</si>
  <si>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</si>
  <si>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</si>
  <si>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</si>
  <si>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</si>
  <si>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</si>
  <si>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</si>
  <si>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</si>
  <si>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</si>
  <si>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</si>
  <si>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</si>
  <si>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</si>
  <si>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</si>
  <si>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</si>
  <si>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</si>
  <si>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</si>
  <si>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</si>
  <si>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</si>
  <si>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</si>
  <si>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</si>
  <si>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</si>
  <si>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</si>
  <si>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</si>
  <si>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</si>
  <si>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</si>
  <si>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</si>
  <si>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</si>
  <si>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</si>
  <si>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</si>
  <si>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</si>
  <si>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</si>
  <si>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</si>
  <si>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</si>
  <si>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</si>
  <si>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</si>
  <si>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</si>
  <si>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</si>
  <si>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</si>
  <si>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</si>
  <si>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</si>
  <si>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</si>
  <si>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</si>
  <si>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</si>
  <si>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</si>
  <si>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</si>
  <si>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</si>
  <si>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</si>
  <si>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</si>
  <si>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</si>
  <si>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</si>
  <si>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</si>
  <si>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</si>
  <si>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</si>
  <si>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</si>
  <si>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</si>
  <si>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</si>
  <si>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</si>
  <si>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</si>
  <si>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</si>
  <si>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</si>
  <si>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</si>
  <si>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</si>
  <si>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</si>
  <si>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</si>
  <si>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</si>
  <si>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</si>
  <si>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</si>
  <si>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</si>
  <si>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</si>
  <si>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</si>
  <si>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</si>
  <si>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</si>
  <si>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</si>
  <si>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</si>
  <si>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</si>
  <si>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</si>
  <si>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</si>
  <si>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</si>
  <si>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"CYTOTOXIC WASTE"</t>
  </si>
  <si>
    <t xml:space="preserve"> +/- 5mm</t>
  </si>
  <si>
    <t xml:space="preserve"> +/- 5um</t>
  </si>
  <si>
    <t>CYTO120</t>
  </si>
  <si>
    <t>(470+465)</t>
  </si>
  <si>
    <t>Notes - 48 CARTONS PER PALLET</t>
  </si>
  <si>
    <t>QLD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</si>
</sst>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J2" sqref="J2:L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PB935G125050LIWHP</v>
      </c>
      <c r="C1" s="108"/>
      <c r="D1" s="109"/>
      <c r="E1" s="11" t="s">
        <v>57</v>
      </c>
      <c r="F1" s="62" t="s">
        <v>200</v>
      </c>
      <c r="G1" s="62"/>
      <c r="H1" s="63"/>
      <c r="I1" s="12" t="s">
        <v>181</v>
      </c>
      <c r="J1" s="119">
        <f ca="1">TODAY()</f>
        <v>45932</v>
      </c>
      <c r="K1" s="119"/>
      <c r="L1" s="120"/>
      <c r="M1" s="29"/>
      <c r="N1" s="11" t="s">
        <v>56</v>
      </c>
      <c r="O1" s="108" t="str">
        <f>B1</f>
        <v>PB935G125050LIWHP</v>
      </c>
      <c r="P1" s="108"/>
      <c r="Q1" s="109"/>
      <c r="R1" s="11" t="s">
        <v>57</v>
      </c>
      <c r="S1" s="108" t="str">
        <f>F1</f>
        <v>QLD HEALTH</v>
      </c>
      <c r="T1" s="108"/>
      <c r="U1" s="109"/>
      <c r="V1" s="11" t="s">
        <v>181</v>
      </c>
      <c r="W1" s="119">
        <f ca="1">J1</f>
        <v>45932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>CYTO120</v>
      </c>
      <c r="C2" s="108"/>
      <c r="D2" s="109"/>
      <c r="E2" s="11" t="s">
        <v>58</v>
      </c>
      <c r="F2" s="62">
        <v>56356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>CYTO120</v>
      </c>
      <c r="P2" s="108"/>
      <c r="Q2" s="109"/>
      <c r="R2" s="11" t="s">
        <v>58</v>
      </c>
      <c r="S2" s="108">
        <f>IF(F2="","",F2)</f>
        <v>56356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174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100</v>
      </c>
      <c r="S7" s="63"/>
      <c r="T7" s="11" t="str">
        <f>IF(ISNUMBER(SEARCH("bag",O8,1)),"Total Bags","Total Sheets")</f>
        <v>Total Bags</v>
      </c>
      <c r="U7" s="108">
        <f>R7*O7</f>
        <v>2000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935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(470+465)</v>
      </c>
      <c r="F8" s="97"/>
      <c r="G8" s="13" t="s">
        <v>52</v>
      </c>
      <c r="H8" s="96">
        <f>(IF(V9&lt;30,"30",V9))</f>
        <v>50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49999999999999" customHeight="1" x14ac:dyDescent="0.9">
      <c r="A9" s="16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196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935</v>
      </c>
      <c r="S9" s="18" t="s">
        <v>78</v>
      </c>
      <c r="T9" s="30">
        <v>1250</v>
      </c>
      <c r="U9" s="18" t="s">
        <v>78</v>
      </c>
      <c r="V9" s="30">
        <v>50</v>
      </c>
      <c r="W9" s="17"/>
      <c r="X9" s="88" t="s">
        <v>198</v>
      </c>
      <c r="Y9" s="89"/>
    </row>
    <row r="10" spans="1:25" ht="20.149999999999999" customHeight="1" x14ac:dyDescent="0.8">
      <c r="A10" s="11" t="s">
        <v>51</v>
      </c>
      <c r="B10" s="62">
        <v>6</v>
      </c>
      <c r="C10" s="63"/>
      <c r="D10" s="47" t="s">
        <v>134</v>
      </c>
      <c r="E10" s="127">
        <f>IF(ISNUMBER(SEARCH("sheet",O8,1)),((R9*T9*H8/540000)*U7/2000*1.3),((R9*T9*H8/540000)*U7/1000*1.08))</f>
        <v>233.75000000000003</v>
      </c>
      <c r="F10" s="128"/>
      <c r="G10" s="11" t="s">
        <v>53</v>
      </c>
      <c r="H10" s="131">
        <f>IF(ISNUMBER(SEARCH("sheet",O8,1)),(U7*T9/2000*1.08),(U7*T9/1000*1.08))</f>
        <v>2700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 t="s">
        <v>197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38.958333333333336</v>
      </c>
      <c r="F11" s="130"/>
      <c r="G11" s="11" t="s">
        <v>15</v>
      </c>
      <c r="H11" s="129">
        <f>H10/B10</f>
        <v>450</v>
      </c>
      <c r="I11" s="130"/>
      <c r="J11" s="11" t="s">
        <v>50</v>
      </c>
      <c r="K11" s="62" t="s">
        <v>64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70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155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2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 t="s">
        <v>194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199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LILAC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LI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 t="s">
        <v>155</v>
      </c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WH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45953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D17A317-8DBF-4760-9C51-FA53B233E6CF}"/>
</file>

<file path=customXml/itemProps2.xml><?xml version="1.0" encoding="utf-8"?>
<ds:datastoreItem xmlns:ds="http://schemas.openxmlformats.org/officeDocument/2006/customXml" ds:itemID="{A2CA329F-9A37-4B57-858A-D04E742F7A04}"/>
</file>

<file path=customXml/itemProps3.xml><?xml version="1.0" encoding="utf-8"?>
<ds:datastoreItem xmlns:ds="http://schemas.openxmlformats.org/officeDocument/2006/customXml" ds:itemID="{F797199B-924D-46EC-A039-B1FC1F38FA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2025-10-02T01:33:32Z</cp:lastPrinted>
  <dcterms:created xsi:type="dcterms:W3CDTF">2019-11-27T23:28:06Z</dcterms:created>
  <dcterms:modified xsi:type="dcterms:W3CDTF">2025-10-02T01:33:46Z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