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DC5F3FED-96B5-4848-9384-A9C31D6AEE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<sst xmlns="http://schemas.openxmlformats.org/spreadsheetml/2006/main" count="303" uniqueCount="199">
  <si>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</si>
  <si>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</si>
  <si>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</si>
  <si>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</si>
  <si>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</si>
  <si>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</si>
  <si>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</si>
  <si>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</si>
  <si>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</si>
  <si>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</si>
  <si>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</si>
  <si>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</si>
  <si>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</si>
  <si>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</si>
  <si>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</si>
  <si>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</si>
  <si>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</si>
  <si>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</si>
  <si>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</si>
  <si>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</si>
  <si>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</si>
  <si>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</si>
  <si>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</si>
  <si>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</si>
  <si>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</si>
  <si>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</si>
  <si>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</si>
  <si>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</si>
  <si>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</si>
  <si>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</si>
  <si>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</si>
  <si>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</si>
  <si>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</si>
  <si>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</si>
  <si>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</si>
  <si>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</si>
  <si>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</si>
  <si>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</si>
  <si>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</si>
  <si>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</si>
  <si>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</si>
  <si>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</si>
  <si>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</si>
  <si>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</si>
  <si>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</si>
  <si>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</si>
  <si>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</si>
  <si>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</si>
  <si>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</si>
  <si>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</si>
  <si>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</si>
  <si>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</si>
  <si>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</si>
  <si>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</si>
  <si>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</si>
  <si>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</si>
  <si>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</si>
  <si>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</si>
  <si>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</si>
  <si>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</si>
  <si>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</si>
  <si>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</si>
  <si>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</si>
  <si>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</si>
  <si>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</si>
  <si>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</si>
  <si>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</si>
  <si>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</si>
  <si>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</si>
  <si>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</si>
  <si>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</si>
  <si>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</si>
  <si>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</si>
  <si>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</si>
  <si>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</si>
  <si>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</si>
  <si>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</si>
  <si>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</si>
  <si>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</si>
  <si>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</si>
  <si>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</si>
  <si>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</si>
  <si>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</si>
  <si>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</si>
  <si>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</si>
  <si>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</si>
  <si>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</si>
  <si>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</si>
  <si>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</si>
  <si>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</si>
  <si>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</si>
  <si>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</si>
  <si>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</si>
  <si>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</si>
  <si>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</si>
  <si>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</si>
  <si>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</si>
  <si>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</si>
  <si>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</si>
  <si>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</si>
  <si>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</si>
  <si>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</si>
  <si>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</si>
  <si>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</si>
  <si>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</si>
  <si>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</si>
  <si>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</si>
  <si>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</si>
  <si>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</si>
  <si>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</si>
  <si>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</si>
  <si>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</si>
  <si>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</si>
  <si>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</si>
  <si>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</si>
  <si>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</si>
  <si>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</si>
  <si>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</si>
  <si>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</si>
  <si>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</si>
  <si>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</si>
  <si>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</si>
  <si>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</si>
  <si>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</si>
  <si>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</si>
  <si>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</si>
  <si>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</si>
  <si>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</si>
  <si>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</si>
  <si>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</si>
  <si>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</si>
  <si>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</si>
  <si>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</si>
  <si>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</si>
  <si>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</si>
  <si>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</si>
  <si>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</si>
  <si>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</si>
  <si>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</si>
  <si>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</si>
  <si>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</si>
  <si>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</si>
  <si>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</si>
  <si>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</si>
  <si>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</si>
  <si>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</si>
  <si>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</si>
  <si>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</si>
  <si>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</si>
  <si>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</si>
  <si>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</si>
  <si>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</si>
  <si>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</si>
  <si>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</si>
  <si>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</si>
  <si>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</si>
  <si>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</si>
  <si>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</si>
  <si>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</si>
  <si>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</si>
  <si>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</si>
  <si>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</si>
  <si>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</si>
  <si>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</si>
  <si>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</si>
  <si>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</si>
  <si>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</si>
  <si>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</si>
  <si>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</si>
  <si>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</si>
  <si>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</si>
  <si>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</si>
  <si>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</si>
  <si>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</si>
  <si>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</si>
  <si>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</si>
  <si>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</si>
  <si>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</si>
  <si>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</si>
  <si>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</si>
  <si>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</si>
  <si>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</si>
  <si>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</si>
  <si>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</si>
  <si>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</si>
  <si>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</si>
  <si>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</si>
  <si>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</si>
  <si>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</si>
  <si>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</si>
  <si>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</si>
  <si>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</si>
  <si>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</si>
  <si>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</si>
  <si>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</si>
  <si>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LIMAX</t>
  </si>
  <si>
    <t>FOODPAC</t>
  </si>
  <si>
    <t>ANTISTATIC</t>
  </si>
  <si>
    <t>MUST HAVE GOOD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</si>
</sst>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PB40050040BTAS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44139</v>
      </c>
      <c r="K1" s="95"/>
      <c r="L1" s="96"/>
      <c r="M1" s="34"/>
      <c r="N1" s="12" t="s">
        <v>56</v>
      </c>
      <c r="O1" s="122" t="str">
        <f>B1</f>
        <v>PB40050040BTAS</v>
      </c>
      <c r="P1" s="122"/>
      <c r="Q1" s="123"/>
      <c r="R1" s="12" t="s">
        <v>57</v>
      </c>
      <c r="S1" s="122" t="str">
        <f>F1</f>
        <v>FOODPAC</v>
      </c>
      <c r="T1" s="122"/>
      <c r="U1" s="123"/>
      <c r="V1" s="12" t="s">
        <v>181</v>
      </c>
      <c r="W1" s="95">
        <f ca="1">J1</f>
        <v>44139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938862</v>
      </c>
      <c r="G2" s="98"/>
      <c r="H2" s="99"/>
      <c r="I2" s="12" t="s">
        <v>59</v>
      </c>
      <c r="J2" s="97">
        <v>44174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938862</v>
      </c>
      <c r="T2" s="122"/>
      <c r="U2" s="123"/>
      <c r="V2" s="12" t="s">
        <v>59</v>
      </c>
      <c r="W2" s="135">
        <f>J2</f>
        <v>44174</v>
      </c>
      <c r="X2" s="122"/>
      <c r="Y2" s="123"/>
    </row>
    <row r="3" spans="1:28" ht="20.100000000000001" customHeight="1" x14ac:dyDescent="0.25">
      <c r="A3" s="124" t="s">
        <v>198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HAVE GOOD SEALS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159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9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9000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400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40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193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400</v>
      </c>
      <c r="S9" s="20" t="s">
        <v>78</v>
      </c>
      <c r="T9" s="35">
        <v>500</v>
      </c>
      <c r="U9" s="20" t="s">
        <v>78</v>
      </c>
      <c r="V9" s="35">
        <v>40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144.00000000000003</v>
      </c>
      <c r="F10" s="113"/>
      <c r="G10" s="12" t="s">
        <v>53</v>
      </c>
      <c r="H10" s="116">
        <f>IF(ISNUMBER(SEARCH("sheet",O8,1)),(U7*T9/2000*1.08),(U7*T9/1000*1.08))</f>
        <v>4860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36.000000000000007</v>
      </c>
      <c r="F11" s="115"/>
      <c r="G11" s="12" t="s">
        <v>15</v>
      </c>
      <c r="H11" s="114">
        <f>H10/B10</f>
        <v>1215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36</v>
      </c>
      <c r="P13" s="12" t="s">
        <v>73</v>
      </c>
      <c r="Q13" s="24">
        <f>O7</f>
        <v>9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150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59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1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2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4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2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4"/>
    </row>
    <row r="22" spans="1:25" ht="20.100000000000001" customHeight="1" x14ac:dyDescent="0.25">
      <c r="A22" s="85" t="str">
        <f>(IF(B7="NATURAL","",B7))</f>
        <v>BLUE TINT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9"/>
      <c r="E22" s="168">
        <v>0.01</v>
      </c>
      <c r="F22" s="94"/>
      <c r="G22" s="56" t="s">
        <v>86</v>
      </c>
      <c r="H22" s="37"/>
      <c r="I22" s="93"/>
      <c r="J22" s="94"/>
      <c r="K22" s="93"/>
      <c r="L22" s="94"/>
      <c r="M22" s="34"/>
      <c r="N22" s="165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7"/>
    </row>
    <row r="23" spans="1:25" ht="20.100000000000001" customHeight="1" x14ac:dyDescent="0.25">
      <c r="A23" s="90" t="s">
        <v>197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9"/>
      <c r="E23" s="168">
        <v>0.02</v>
      </c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195</v>
      </c>
      <c r="P25" s="39"/>
      <c r="Q25" s="10">
        <v>28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44169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44160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66D17CA-7E0F-460F-ABF4-1922CF3DE1C8}"/>
</file>

<file path=customXml/itemProps2.xml><?xml version="1.0" encoding="utf-8"?>
<ds:datastoreItem xmlns:ds="http://schemas.openxmlformats.org/officeDocument/2006/customXml" ds:itemID="{0F247FFC-C1DC-4A1F-A137-1154B1C1B31B}"/>
</file>

<file path=customXml/itemProps3.xml><?xml version="1.0" encoding="utf-8"?>
<ds:datastoreItem xmlns:ds="http://schemas.openxmlformats.org/officeDocument/2006/customXml" ds:itemID="{3F43CDFC-C5BB-4373-8A9A-60289FF5F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2020-11-04T05:46:15Z</cp:lastPrinted>
  <dcterms:created xsi:type="dcterms:W3CDTF">2019-11-27T23:28:06Z</dcterms:created>
  <dcterms:modified xsi:type="dcterms:W3CDTF">2020-11-04T05:46:16Z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