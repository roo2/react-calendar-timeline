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7CC2612-6197-4543-A8BE-1406AB04D015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<sst xmlns="http://schemas.openxmlformats.org/spreadsheetml/2006/main" count="306" uniqueCount="201">
  <si>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</si>
  <si>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</si>
  <si>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</si>
  <si>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</si>
  <si>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</si>
  <si>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</si>
  <si>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</si>
  <si>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</si>
  <si>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</si>
  <si>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</si>
  <si>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</si>
  <si>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</si>
  <si>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</si>
  <si>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</si>
  <si>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</si>
  <si>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</si>
  <si>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</si>
  <si>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</si>
  <si>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</si>
  <si>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</si>
  <si>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</si>
  <si>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</si>
  <si>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</si>
  <si>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</si>
  <si>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</si>
  <si>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</si>
  <si>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</si>
  <si>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</si>
  <si>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</si>
  <si>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</si>
  <si>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</si>
  <si>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</si>
  <si>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</si>
  <si>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</si>
  <si>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</si>
  <si>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</si>
  <si>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</si>
  <si>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</si>
  <si>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</si>
  <si>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</si>
  <si>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</si>
  <si>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</si>
  <si>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</si>
  <si>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</si>
  <si>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</si>
  <si>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</si>
  <si>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</si>
  <si>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</si>
  <si>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</si>
  <si>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</si>
  <si>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</si>
  <si>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</si>
  <si>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</si>
  <si>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</si>
  <si>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</si>
  <si>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</si>
  <si>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</si>
  <si>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</si>
  <si>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</si>
  <si>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</si>
  <si>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</si>
  <si>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</si>
  <si>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</si>
  <si>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</si>
  <si>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</si>
  <si>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</si>
  <si>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</si>
  <si>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</si>
  <si>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</si>
  <si>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</si>
  <si>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</si>
  <si>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</si>
  <si>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</si>
  <si>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</si>
  <si>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</si>
  <si>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</si>
  <si>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</si>
  <si>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</si>
  <si>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</si>
  <si>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</si>
  <si>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</si>
  <si>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</si>
  <si>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</si>
  <si>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</si>
  <si>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</si>
  <si>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</si>
  <si>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</si>
  <si>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</si>
  <si>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</si>
  <si>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</si>
  <si>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</si>
  <si>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</si>
  <si>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</si>
  <si>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</si>
  <si>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</si>
  <si>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</si>
  <si>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</si>
  <si>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</si>
  <si>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</si>
  <si>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</si>
  <si>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</si>
  <si>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</si>
  <si>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</si>
  <si>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</si>
  <si>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</si>
  <si>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</si>
  <si>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</si>
  <si>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</si>
  <si>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</si>
  <si>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</si>
  <si>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</si>
  <si>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</si>
  <si>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</si>
  <si>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</si>
  <si>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</si>
  <si>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</si>
  <si>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</si>
  <si>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</si>
  <si>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</si>
  <si>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</si>
  <si>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</si>
  <si>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</si>
  <si>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</si>
  <si>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</si>
  <si>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</si>
  <si>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</si>
  <si>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</si>
  <si>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</si>
  <si>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</si>
  <si>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</si>
  <si>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</si>
  <si>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</si>
  <si>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</si>
  <si>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</si>
  <si>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</si>
  <si>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</si>
  <si>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</si>
  <si>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</si>
  <si>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</si>
  <si>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</si>
  <si>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</si>
  <si>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</si>
  <si>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</si>
  <si>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</si>
  <si>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</si>
  <si>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</si>
  <si>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</si>
  <si>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</si>
  <si>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</si>
  <si>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</si>
  <si>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</si>
  <si>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</si>
  <si>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</si>
  <si>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</si>
  <si>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</si>
  <si>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</si>
  <si>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</si>
  <si>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</si>
  <si>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</si>
  <si>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</si>
  <si>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</si>
  <si>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</si>
  <si>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</si>
  <si>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</si>
  <si>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</si>
  <si>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</si>
  <si>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</si>
  <si>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</si>
  <si>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</si>
  <si>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</si>
  <si>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</si>
  <si>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</si>
  <si>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</si>
  <si>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</si>
  <si>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</si>
  <si>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</si>
  <si>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</si>
  <si>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</si>
  <si>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</si>
  <si>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</si>
  <si>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</si>
  <si>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</si>
  <si>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</si>
  <si>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</si>
  <si>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</si>
  <si>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</si>
  <si>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</si>
  <si>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</si>
  <si>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</si>
  <si>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</si>
  <si>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</si>
  <si>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</si>
  <si>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</si>
  <si>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</si>
  <si>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</si>
  <si>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 xml:space="preserve"> +/- 10mm</t>
  </si>
  <si>
    <t>LIMAX</t>
  </si>
  <si>
    <t>GREY</t>
  </si>
  <si>
    <t>DAFF WACOL</t>
  </si>
  <si>
    <t>(440+340)</t>
  </si>
  <si>
    <t>NEW ITEM - PLEASE ENSURE CORRECT SIZE AND NOT UNDER 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</si>
</sst>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6" fillId="5" borderId="2" xfId="0" applyFont="1" applyFill="1" applyBorder="1" applyAlignment="1" applyProtection="1">
      <alignment horizontal="center"/>
      <protection locked="0"/>
    </xf>
    <xf numFmtId="0" fontId="16" fillId="5" borderId="5" xfId="0" applyFont="1" applyFill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N3" sqref="N3:Y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PB780G70050</v>
      </c>
      <c r="C1" s="111"/>
      <c r="D1" s="112"/>
      <c r="E1" s="11" t="s">
        <v>57</v>
      </c>
      <c r="F1" s="87" t="s">
        <v>198</v>
      </c>
      <c r="G1" s="87"/>
      <c r="H1" s="88"/>
      <c r="I1" s="12" t="s">
        <v>181</v>
      </c>
      <c r="J1" s="84">
        <f ca="1">TODAY()</f>
        <v>44909</v>
      </c>
      <c r="K1" s="84"/>
      <c r="L1" s="85"/>
      <c r="M1" s="29"/>
      <c r="N1" s="11" t="s">
        <v>56</v>
      </c>
      <c r="O1" s="111" t="str">
        <f>B1</f>
        <v>PB780G70050</v>
      </c>
      <c r="P1" s="111"/>
      <c r="Q1" s="112"/>
      <c r="R1" s="11" t="s">
        <v>57</v>
      </c>
      <c r="S1" s="111" t="str">
        <f>F1</f>
        <v>DAFF WACOL</v>
      </c>
      <c r="T1" s="111"/>
      <c r="U1" s="112"/>
      <c r="V1" s="11" t="s">
        <v>181</v>
      </c>
      <c r="W1" s="84">
        <f ca="1">J1</f>
        <v>44909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87">
        <v>944716</v>
      </c>
      <c r="G2" s="87"/>
      <c r="H2" s="88"/>
      <c r="I2" s="11" t="s">
        <v>59</v>
      </c>
      <c r="J2" s="86">
        <v>44940</v>
      </c>
      <c r="K2" s="87"/>
      <c r="L2" s="88"/>
      <c r="M2" s="29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>
        <f>IF(F2="","",F2)</f>
        <v>944716</v>
      </c>
      <c r="T2" s="111"/>
      <c r="U2" s="112"/>
      <c r="V2" s="11" t="s">
        <v>59</v>
      </c>
      <c r="W2" s="122">
        <f>J2</f>
        <v>44940</v>
      </c>
      <c r="X2" s="111"/>
      <c r="Y2" s="112"/>
    </row>
    <row r="3" spans="1:25" ht="20.149999999999999" customHeight="1" x14ac:dyDescent="0.75">
      <c r="A3" s="113" t="s">
        <v>200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 t="str">
        <f>A3</f>
        <v>NEW ITEM - PLEASE ENSURE CORRECT SIZE AND NOT UNDER GUAGE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5</v>
      </c>
      <c r="P7" s="88"/>
      <c r="Q7" s="11" t="str">
        <f>IF(ISNUMBER(SEARCH("roll",O8,1)),"Per Roll","Per Carton")</f>
        <v>Per Carton</v>
      </c>
      <c r="R7" s="87">
        <v>200</v>
      </c>
      <c r="S7" s="88"/>
      <c r="T7" s="11" t="str">
        <f>IF(ISNUMBER(SEARCH("bag",O8,1)),"Total Bags","Total Sheets")</f>
        <v>Total Bags</v>
      </c>
      <c r="U7" s="111">
        <f>R7*O7</f>
        <v>1000</v>
      </c>
      <c r="V7" s="112"/>
      <c r="W7" s="11" t="s">
        <v>102</v>
      </c>
      <c r="X7" s="87" t="s">
        <v>23</v>
      </c>
      <c r="Y7" s="88"/>
    </row>
    <row r="8" spans="1:25" ht="20.149999999999999" customHeight="1" x14ac:dyDescent="0.8">
      <c r="A8" s="13" t="s">
        <v>16</v>
      </c>
      <c r="B8" s="89">
        <f>R9</f>
        <v>780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(440+340)</v>
      </c>
      <c r="F8" s="90"/>
      <c r="G8" s="13" t="s">
        <v>52</v>
      </c>
      <c r="H8" s="89">
        <f>(IF(V9&lt;30,"30",V9))</f>
        <v>50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Gusset Tube</v>
      </c>
      <c r="L8" s="112"/>
      <c r="M8" s="29"/>
      <c r="N8" s="14" t="s">
        <v>54</v>
      </c>
      <c r="O8" s="125" t="s">
        <v>164</v>
      </c>
      <c r="P8" s="126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G</v>
      </c>
      <c r="Y8" s="124"/>
    </row>
    <row r="9" spans="1:25" ht="20.149999999999999" customHeight="1" x14ac:dyDescent="0.9">
      <c r="A9" s="16" t="s">
        <v>48</v>
      </c>
      <c r="B9" s="99" t="s">
        <v>195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194</v>
      </c>
      <c r="I9" s="100"/>
      <c r="J9" s="11" t="s">
        <v>55</v>
      </c>
      <c r="K9" s="87" t="s">
        <v>30</v>
      </c>
      <c r="L9" s="88"/>
      <c r="M9" s="29"/>
      <c r="N9" s="17"/>
      <c r="O9" s="129" t="str">
        <f>IF(O8="Poly Bag","PB",IF(O8="Poly Bag Roll","PBR",IF(O8="Centrefold Roll","CFR",IF(O8="Sheet","S",IF(O8="Sheet Roll","SR")))))</f>
        <v>PB</v>
      </c>
      <c r="P9" s="130"/>
      <c r="Q9" s="17"/>
      <c r="R9" s="30">
        <v>780</v>
      </c>
      <c r="S9" s="18" t="s">
        <v>78</v>
      </c>
      <c r="T9" s="30">
        <v>700</v>
      </c>
      <c r="U9" s="18" t="s">
        <v>78</v>
      </c>
      <c r="V9" s="30">
        <v>50</v>
      </c>
      <c r="W9" s="17"/>
      <c r="X9" s="138" t="s">
        <v>199</v>
      </c>
      <c r="Y9" s="139"/>
    </row>
    <row r="10" spans="1:25" ht="20.149999999999999" customHeight="1" x14ac:dyDescent="0.8">
      <c r="A10" s="11" t="s">
        <v>51</v>
      </c>
      <c r="B10" s="87">
        <v>2</v>
      </c>
      <c r="C10" s="88"/>
      <c r="D10" s="47" t="s">
        <v>134</v>
      </c>
      <c r="E10" s="101">
        <f>IF(ISNUMBER(SEARCH("sheet",O8,1)),((R9*T9*H8/540000)*U7/2000*1.3),((R9*T9*H8/540000)*U7/1000*1.08))</f>
        <v>54.600000000000009</v>
      </c>
      <c r="F10" s="102"/>
      <c r="G10" s="11" t="s">
        <v>53</v>
      </c>
      <c r="H10" s="105">
        <f>IF(ISNUMBER(SEARCH("sheet",O8,1)),(U7*T9/2000*1.08),(U7*T9/1000*1.08))</f>
        <v>756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None</v>
      </c>
      <c r="S10" s="123"/>
      <c r="T10" s="14" t="s">
        <v>100</v>
      </c>
      <c r="U10" s="132"/>
      <c r="V10" s="132"/>
      <c r="W10" s="132"/>
      <c r="X10" s="132"/>
      <c r="Y10" s="133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27.300000000000004</v>
      </c>
      <c r="F11" s="104"/>
      <c r="G11" s="11" t="s">
        <v>15</v>
      </c>
      <c r="H11" s="103">
        <f>H10/B10</f>
        <v>378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4"/>
      <c r="V11" s="134"/>
      <c r="W11" s="134"/>
      <c r="X11" s="134"/>
      <c r="Y11" s="135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31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5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49999999999999" customHeight="1" x14ac:dyDescent="1.2">
      <c r="A14" s="13" t="s">
        <v>60</v>
      </c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8"/>
      <c r="M14" s="29"/>
      <c r="N14" s="131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130</v>
      </c>
      <c r="P16" s="88"/>
      <c r="Q16" s="11" t="s">
        <v>105</v>
      </c>
      <c r="R16" s="87" t="s">
        <v>23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44"/>
      <c r="Y16" s="83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141"/>
      <c r="J17" s="142"/>
      <c r="K17" s="141"/>
      <c r="L17" s="142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23</v>
      </c>
      <c r="V17" s="88"/>
      <c r="W17" s="11" t="str">
        <f>IF(ISNUMBER(SEARCH("roll",O8,1)),"Total Rolls","Total Ctns")</f>
        <v>Total Ctns</v>
      </c>
      <c r="X17" s="144"/>
      <c r="Y17" s="83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141"/>
      <c r="J18" s="142"/>
      <c r="K18" s="141"/>
      <c r="L18" s="142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44"/>
      <c r="Y18" s="83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141"/>
      <c r="J19" s="142"/>
      <c r="K19" s="141"/>
      <c r="L19" s="142"/>
      <c r="M19" s="29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141"/>
      <c r="J20" s="142"/>
      <c r="K20" s="141"/>
      <c r="L20" s="142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141"/>
      <c r="J21" s="142"/>
      <c r="K21" s="141"/>
      <c r="L21" s="142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49999999999999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8" t="s">
        <v>86</v>
      </c>
      <c r="H22" s="32"/>
      <c r="I22" s="141"/>
      <c r="J22" s="142"/>
      <c r="K22" s="141"/>
      <c r="L22" s="142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49999999999999" customHeight="1" x14ac:dyDescent="0.7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140"/>
      <c r="F23" s="83"/>
      <c r="G23" s="48" t="s">
        <v>87</v>
      </c>
      <c r="H23" s="32"/>
      <c r="I23" s="141"/>
      <c r="J23" s="142"/>
      <c r="K23" s="141"/>
      <c r="L23" s="142"/>
      <c r="M23" s="29"/>
      <c r="N23" s="131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141"/>
      <c r="F24" s="142"/>
      <c r="G24" s="48" t="s">
        <v>88</v>
      </c>
      <c r="H24" s="32"/>
      <c r="I24" s="141"/>
      <c r="J24" s="142"/>
      <c r="K24" s="141"/>
      <c r="L24" s="142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196</v>
      </c>
      <c r="P25" s="34"/>
      <c r="Q25" s="10">
        <v>26</v>
      </c>
      <c r="R25" s="10"/>
      <c r="S25" s="10"/>
      <c r="T25" s="10"/>
      <c r="U25" s="10"/>
      <c r="V25" s="10"/>
      <c r="W25" s="10">
        <v>15</v>
      </c>
      <c r="X25" s="33" t="s">
        <v>127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43" t="s">
        <v>132</v>
      </c>
      <c r="H26" s="143"/>
      <c r="I26" s="143" t="s">
        <v>131</v>
      </c>
      <c r="J26" s="143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6"/>
      <c r="G29" s="136"/>
      <c r="H29" s="136"/>
      <c r="I29" s="136"/>
      <c r="J29" s="136"/>
      <c r="K29" s="92"/>
      <c r="L29" s="13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Sheet2!$N$54:$N$55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Sheet2!$N$58:$N$59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Sheet2!$N$32:$N$39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Sheet2!$N$42:$N$44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Sheet2!$A$9:$A$29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Sheet2!$N$47:$N$51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Sheet2!$N$18:$N$22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Sheet2!$N$25:$N$29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zoomScaleNormal="100" workbookViewId="0">
      <selection activeCell="E17" sqref="E17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44940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44930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197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151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152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56" t="s">
        <v>25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153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174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 t="s">
        <v>165</v>
      </c>
      <c r="O19" s="1"/>
      <c r="P19" s="1"/>
      <c r="Q19" s="1"/>
      <c r="R19" s="1"/>
      <c r="S19" s="1"/>
      <c r="T19" s="1"/>
      <c r="U19" s="1"/>
      <c r="V19" s="1"/>
    </row>
    <row r="20" spans="1:23" x14ac:dyDescent="0.75">
      <c r="A20" s="55" t="s">
        <v>154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193</v>
      </c>
      <c r="T20" s="1"/>
      <c r="V20" s="1"/>
    </row>
    <row r="21" spans="1:23" x14ac:dyDescent="0.75">
      <c r="A21" s="55" t="s">
        <v>156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166</v>
      </c>
      <c r="T21" s="1"/>
      <c r="V21" s="1"/>
    </row>
    <row r="22" spans="1:23" x14ac:dyDescent="0.75">
      <c r="A22" s="55" t="s">
        <v>157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54"/>
      <c r="N22" s="21" t="s">
        <v>167</v>
      </c>
      <c r="T22" s="1"/>
      <c r="V22" s="1"/>
      <c r="W22" s="2"/>
    </row>
    <row r="23" spans="1:23" x14ac:dyDescent="0.75">
      <c r="A23" s="55" t="s">
        <v>158</v>
      </c>
      <c r="B23" s="21"/>
      <c r="C23" s="21"/>
      <c r="D23" s="21"/>
      <c r="E23" s="5"/>
      <c r="F23" s="21"/>
      <c r="G23" s="5"/>
      <c r="H23" s="21"/>
      <c r="I23" s="5"/>
      <c r="J23" s="21"/>
      <c r="K23" s="21"/>
      <c r="L23" s="21"/>
      <c r="M23" s="54"/>
      <c r="N23" s="54"/>
      <c r="T23" s="1"/>
      <c r="V23" s="1"/>
      <c r="W23" s="2"/>
    </row>
    <row r="24" spans="1:23" x14ac:dyDescent="0.75">
      <c r="A24" s="55" t="s">
        <v>159</v>
      </c>
      <c r="B24" s="21"/>
      <c r="C24" s="21"/>
      <c r="D24" s="21"/>
      <c r="E24" s="5"/>
      <c r="F24" s="21"/>
      <c r="G24" s="5"/>
      <c r="H24" s="21"/>
      <c r="I24" s="21"/>
      <c r="J24" s="21"/>
      <c r="K24" s="21"/>
      <c r="L24" s="21"/>
      <c r="M24" s="54"/>
      <c r="N24" s="56" t="s">
        <v>141</v>
      </c>
      <c r="T24" s="1"/>
      <c r="V24" s="1"/>
      <c r="W24" s="2"/>
    </row>
    <row r="25" spans="1:23" x14ac:dyDescent="0.75">
      <c r="A25" s="55" t="s">
        <v>160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44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161</v>
      </c>
      <c r="B26" s="21"/>
      <c r="C26" s="21"/>
      <c r="D26" s="21"/>
      <c r="E26" s="5"/>
      <c r="F26" s="21"/>
      <c r="G26" s="21"/>
      <c r="H26" s="21"/>
      <c r="I26" s="21"/>
      <c r="J26" s="21"/>
      <c r="K26" s="21"/>
      <c r="L26" s="21"/>
      <c r="M26" s="21"/>
      <c r="N26" s="21" t="s">
        <v>188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162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186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175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187</v>
      </c>
      <c r="O28" s="1"/>
      <c r="P28" s="1"/>
      <c r="Q28" s="1"/>
      <c r="R28" s="1"/>
      <c r="S28" s="1"/>
      <c r="T28" s="1"/>
      <c r="V28" s="1"/>
      <c r="W28" s="2"/>
    </row>
    <row r="29" spans="1:23" x14ac:dyDescent="0.75">
      <c r="A29" s="55" t="s">
        <v>184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 t="s">
        <v>140</v>
      </c>
      <c r="U29" s="1"/>
      <c r="V29" s="1"/>
    </row>
    <row r="30" spans="1:23" x14ac:dyDescent="0.75">
      <c r="A30" s="5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4"/>
      <c r="U30" s="1"/>
      <c r="V30" s="1"/>
    </row>
    <row r="31" spans="1:23" x14ac:dyDescent="0.75">
      <c r="A31" s="57" t="s">
        <v>46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7" t="s">
        <v>28</v>
      </c>
      <c r="U31" s="1"/>
      <c r="V31" s="1"/>
    </row>
    <row r="32" spans="1:23" x14ac:dyDescent="0.75">
      <c r="A32" s="5" t="s">
        <v>30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 t="s">
        <v>168</v>
      </c>
      <c r="U32" s="1"/>
      <c r="V32" s="1"/>
    </row>
    <row r="33" spans="1:22" x14ac:dyDescent="0.75">
      <c r="A33" s="5" t="s">
        <v>34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110</v>
      </c>
      <c r="U33" s="1"/>
      <c r="V33" s="1"/>
    </row>
    <row r="34" spans="1:22" x14ac:dyDescent="0.75">
      <c r="A34" s="5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130</v>
      </c>
      <c r="U34" s="1"/>
      <c r="V34" s="1"/>
    </row>
    <row r="35" spans="1:22" x14ac:dyDescent="0.75">
      <c r="A35" s="57" t="s">
        <v>47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150</v>
      </c>
      <c r="U35" s="1"/>
      <c r="V35" s="1"/>
    </row>
    <row r="36" spans="1:22" x14ac:dyDescent="0.75">
      <c r="A36" s="5" t="s">
        <v>44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>
        <v>180</v>
      </c>
      <c r="U36" s="1"/>
      <c r="V36" s="1"/>
    </row>
    <row r="37" spans="1:22" x14ac:dyDescent="0.75">
      <c r="A37" s="5" t="s">
        <v>42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169</v>
      </c>
      <c r="U37" s="1"/>
      <c r="V37" s="1"/>
    </row>
    <row r="38" spans="1:22" x14ac:dyDescent="0.75">
      <c r="A38" s="5" t="s">
        <v>43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170</v>
      </c>
      <c r="U38" s="1"/>
      <c r="V38" s="1"/>
    </row>
    <row r="39" spans="1:22" x14ac:dyDescent="0.75">
      <c r="A39" s="5" t="s">
        <v>45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5" t="s">
        <v>38</v>
      </c>
      <c r="U39" s="1"/>
      <c r="V39" s="1"/>
    </row>
    <row r="40" spans="1:22" x14ac:dyDescent="0.75">
      <c r="A40" s="21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</row>
    <row r="41" spans="1:22" x14ac:dyDescent="0.75">
      <c r="A41" s="57" t="s">
        <v>63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7" t="s">
        <v>26</v>
      </c>
    </row>
    <row r="42" spans="1:22" x14ac:dyDescent="0.75">
      <c r="A42" s="5" t="s">
        <v>44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35</v>
      </c>
    </row>
    <row r="43" spans="1:22" x14ac:dyDescent="0.75">
      <c r="A43" s="5" t="s">
        <v>65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37</v>
      </c>
    </row>
    <row r="44" spans="1:22" x14ac:dyDescent="0.75">
      <c r="A44" s="5" t="s">
        <v>64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 t="s">
        <v>171</v>
      </c>
    </row>
    <row r="45" spans="1:22" x14ac:dyDescent="0.7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"/>
    </row>
    <row r="46" spans="1:22" x14ac:dyDescent="0.75">
      <c r="A46" s="57" t="s">
        <v>68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7" t="s">
        <v>101</v>
      </c>
    </row>
    <row r="47" spans="1:22" x14ac:dyDescent="0.75">
      <c r="A47" s="5" t="s">
        <v>44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38</v>
      </c>
    </row>
    <row r="48" spans="1:22" x14ac:dyDescent="0.75">
      <c r="A48" s="5" t="s">
        <v>70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32</v>
      </c>
    </row>
    <row r="49" spans="1:20" x14ac:dyDescent="0.75">
      <c r="A49" s="5" t="s">
        <v>69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172</v>
      </c>
    </row>
    <row r="50" spans="1:20" x14ac:dyDescent="0.75">
      <c r="A50" s="21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183</v>
      </c>
    </row>
    <row r="51" spans="1:20" x14ac:dyDescent="0.75">
      <c r="A51" s="57" t="s">
        <v>61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" t="s">
        <v>185</v>
      </c>
    </row>
    <row r="52" spans="1:20" x14ac:dyDescent="0.75">
      <c r="A52" s="5" t="s">
        <v>44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</row>
    <row r="53" spans="1:20" x14ac:dyDescent="0.75">
      <c r="A53" s="5" t="s">
        <v>66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6" t="s">
        <v>173</v>
      </c>
    </row>
    <row r="54" spans="1:20" x14ac:dyDescent="0.75">
      <c r="A54" s="5" t="s">
        <v>67</v>
      </c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31</v>
      </c>
    </row>
    <row r="55" spans="1:20" x14ac:dyDescent="0.75">
      <c r="A55" s="21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21" t="s">
        <v>23</v>
      </c>
    </row>
    <row r="56" spans="1:20" x14ac:dyDescent="0.75">
      <c r="A56" s="56" t="s">
        <v>62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</row>
    <row r="57" spans="1:20" x14ac:dyDescent="0.75">
      <c r="A57" s="21" t="s">
        <v>44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7" t="s">
        <v>27</v>
      </c>
    </row>
    <row r="58" spans="1:20" x14ac:dyDescent="0.75">
      <c r="A58" s="54" t="s">
        <v>177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36</v>
      </c>
      <c r="O58" s="1"/>
      <c r="P58" s="1"/>
      <c r="Q58" s="1"/>
      <c r="R58" s="1"/>
      <c r="S58" s="1"/>
      <c r="T58" s="1"/>
    </row>
    <row r="59" spans="1:20" x14ac:dyDescent="0.75">
      <c r="A59" s="55" t="s">
        <v>155</v>
      </c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21" t="s">
        <v>33</v>
      </c>
    </row>
    <row r="60" spans="1:20" x14ac:dyDescent="0.75">
      <c r="A60" s="55" t="s">
        <v>148</v>
      </c>
    </row>
    <row r="61" spans="1:20" x14ac:dyDescent="0.75">
      <c r="A61" s="55" t="s">
        <v>149</v>
      </c>
      <c r="O61" s="1"/>
      <c r="Q61" s="1"/>
      <c r="R61" s="3"/>
      <c r="S61" s="1"/>
    </row>
    <row r="62" spans="1:20" x14ac:dyDescent="0.75">
      <c r="A62" s="55" t="s">
        <v>150</v>
      </c>
      <c r="O62" s="1"/>
      <c r="Q62" s="1"/>
      <c r="R62" s="1"/>
      <c r="S62" s="1"/>
    </row>
    <row r="63" spans="1:20" x14ac:dyDescent="0.75">
      <c r="A63" s="55" t="s">
        <v>151</v>
      </c>
      <c r="O63" s="1"/>
      <c r="Q63" s="1"/>
      <c r="R63" s="1"/>
      <c r="S63" s="1"/>
    </row>
    <row r="64" spans="1:20" x14ac:dyDescent="0.75">
      <c r="A64" s="55" t="s">
        <v>152</v>
      </c>
      <c r="O64" s="1"/>
      <c r="Q64" s="1"/>
      <c r="R64" s="1"/>
      <c r="S64" s="1"/>
      <c r="T64" s="1"/>
    </row>
    <row r="65" spans="1:20" x14ac:dyDescent="0.75">
      <c r="A65" s="55" t="s">
        <v>153</v>
      </c>
      <c r="O65" s="1"/>
      <c r="Q65" s="1"/>
      <c r="R65" s="1"/>
      <c r="S65" s="1"/>
      <c r="T65" s="1"/>
    </row>
    <row r="66" spans="1:20" x14ac:dyDescent="0.75">
      <c r="A66" s="55" t="s">
        <v>174</v>
      </c>
      <c r="N66" s="3"/>
      <c r="O66" s="1"/>
      <c r="P66" s="1"/>
      <c r="Q66" s="1"/>
      <c r="R66" s="1"/>
      <c r="S66" s="1"/>
      <c r="T66" s="1"/>
    </row>
    <row r="67" spans="1:20" x14ac:dyDescent="0.75">
      <c r="A67" s="55" t="s">
        <v>154</v>
      </c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  <c r="O69" s="1"/>
      <c r="P69" s="1"/>
      <c r="Q69" s="1"/>
      <c r="R69" s="1"/>
      <c r="S69" s="1"/>
      <c r="T69" s="1"/>
    </row>
    <row r="70" spans="1:20" x14ac:dyDescent="0.75">
      <c r="N7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D9D314F-C561-4BEC-8B59-EBC379AC32C5}"/>
</file>

<file path=customXml/itemProps2.xml><?xml version="1.0" encoding="utf-8"?>
<ds:datastoreItem xmlns:ds="http://schemas.openxmlformats.org/officeDocument/2006/customXml" ds:itemID="{DDA6F317-FCEB-43E4-A05F-4FB711EA4BD4}"/>
</file>

<file path=customXml/itemProps3.xml><?xml version="1.0" encoding="utf-8"?>
<ds:datastoreItem xmlns:ds="http://schemas.openxmlformats.org/officeDocument/2006/customXml" ds:itemID="{6F6F2989-A9B5-4E66-8B86-5829E88237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2022-12-14T02:15:18Z</cp:lastPrinted>
  <dcterms:created xsi:type="dcterms:W3CDTF">2019-11-27T23:28:06Z</dcterms:created>
  <dcterms:modified xsi:type="dcterms:W3CDTF">2022-12-14T03:04:04Z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