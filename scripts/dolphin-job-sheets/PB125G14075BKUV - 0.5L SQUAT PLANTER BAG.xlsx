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A3833E0-B76B-4E8F-8F2F-8E0A44550FE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<sst xmlns="http://schemas.openxmlformats.org/spreadsheetml/2006/main" count="309" uniqueCount="204">
  <si>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</si>
  <si>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</si>
  <si>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</si>
  <si>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</si>
  <si>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</si>
  <si>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</si>
  <si>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</si>
  <si>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</si>
  <si>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</si>
  <si>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</si>
  <si>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</si>
  <si>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</si>
  <si>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</si>
  <si>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</si>
  <si>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</si>
  <si>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</si>
  <si>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</si>
  <si>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</si>
  <si>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</si>
  <si>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</si>
  <si>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</si>
  <si>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</si>
  <si>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</si>
  <si>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</si>
  <si>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</si>
  <si>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</si>
  <si>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</si>
  <si>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</si>
  <si>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</si>
  <si>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</si>
  <si>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</si>
  <si>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</si>
  <si>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</si>
  <si>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</si>
  <si>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</si>
  <si>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</si>
  <si>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</si>
  <si>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</si>
  <si>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</si>
  <si>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</si>
  <si>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</si>
  <si>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</si>
  <si>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</si>
  <si>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</si>
  <si>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</si>
  <si>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</si>
  <si>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</si>
  <si>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</si>
  <si>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</si>
  <si>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</si>
  <si>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</si>
  <si>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</si>
  <si>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</si>
  <si>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</si>
  <si>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</si>
  <si>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</si>
  <si>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</si>
  <si>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</si>
  <si>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</si>
  <si>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</si>
  <si>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</si>
  <si>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</si>
  <si>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</si>
  <si>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</si>
  <si>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</si>
  <si>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</si>
  <si>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</si>
  <si>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</si>
  <si>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</si>
  <si>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</si>
  <si>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</si>
  <si>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</si>
  <si>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</si>
  <si>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</si>
  <si>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</si>
  <si>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</si>
  <si>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</si>
  <si>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</si>
  <si>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</si>
  <si>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</si>
  <si>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</si>
  <si>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</si>
  <si>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</si>
  <si>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</si>
  <si>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</si>
  <si>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</si>
  <si>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</si>
  <si>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</si>
  <si>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</si>
  <si>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</si>
  <si>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</si>
  <si>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</si>
  <si>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</si>
  <si>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</si>
  <si>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</si>
  <si>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</si>
  <si>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</si>
  <si>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</si>
  <si>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</si>
  <si>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</si>
  <si>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</si>
  <si>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</si>
  <si>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</si>
  <si>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</si>
  <si>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</si>
  <si>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</si>
  <si>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</si>
  <si>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</si>
  <si>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</si>
  <si>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</si>
  <si>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</si>
  <si>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</si>
  <si>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</si>
  <si>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</si>
  <si>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</si>
  <si>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</si>
  <si>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</si>
  <si>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</si>
  <si>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</si>
  <si>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</si>
  <si>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</si>
  <si>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</si>
  <si>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</si>
  <si>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</si>
  <si>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</si>
  <si>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</si>
  <si>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</si>
  <si>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</si>
  <si>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</si>
  <si>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</si>
  <si>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</si>
  <si>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</si>
  <si>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</si>
  <si>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</si>
  <si>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</si>
  <si>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</si>
  <si>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</si>
  <si>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</si>
  <si>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</si>
  <si>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</si>
  <si>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</si>
  <si>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</si>
  <si>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</si>
  <si>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</si>
  <si>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</si>
  <si>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</si>
  <si>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</si>
  <si>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</si>
  <si>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</si>
  <si>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</si>
  <si>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</si>
  <si>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</si>
  <si>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</si>
  <si>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</si>
  <si>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</si>
  <si>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</si>
  <si>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</si>
  <si>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</si>
  <si>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</si>
  <si>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</si>
  <si>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</si>
  <si>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</si>
  <si>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</si>
  <si>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</si>
  <si>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</si>
  <si>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</si>
  <si>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</si>
  <si>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</si>
  <si>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</si>
  <si>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</si>
  <si>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</si>
  <si>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</si>
  <si>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</si>
  <si>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</si>
  <si>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</si>
  <si>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</si>
  <si>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</si>
  <si>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</si>
  <si>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</si>
  <si>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</si>
  <si>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</si>
  <si>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</si>
  <si>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</si>
  <si>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</si>
  <si>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</si>
  <si>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</si>
  <si>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</si>
  <si>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</si>
  <si>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</si>
  <si>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</si>
  <si>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</si>
  <si>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</si>
  <si>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</si>
  <si>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 xml:space="preserve"> +/-5mm</t>
  </si>
  <si>
    <t>UV</t>
  </si>
  <si>
    <t>HT CONCEPTS</t>
  </si>
  <si>
    <t>ASAP</t>
  </si>
  <si>
    <t>Centrefold Roll</t>
  </si>
  <si>
    <t>0.5L SQUAT PLANTER BAG</t>
  </si>
  <si>
    <t>(65+60)</t>
  </si>
  <si>
    <t>PERF</t>
  </si>
  <si>
    <t>SPOT ON FINISH. USE DOLPHIN REMILL, MUST NOT BE BLOCKED.</t>
  </si>
  <si>
    <t>130 Meat</t>
  </si>
  <si>
    <t>130 MEAT CARTONS ONLY - BUNDLES MUST BE IN PACKS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</si>
</sst>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PB125G14075BKUVV</v>
      </c>
      <c r="C1" s="110"/>
      <c r="D1" s="111"/>
      <c r="E1" s="11" t="s">
        <v>57</v>
      </c>
      <c r="F1" s="64" t="s">
        <v>195</v>
      </c>
      <c r="G1" s="64"/>
      <c r="H1" s="65"/>
      <c r="I1" s="12" t="s">
        <v>181</v>
      </c>
      <c r="J1" s="121">
        <f ca="1">TODAY()</f>
        <v>45236</v>
      </c>
      <c r="K1" s="121"/>
      <c r="L1" s="122"/>
      <c r="M1" s="30"/>
      <c r="N1" s="11" t="s">
        <v>56</v>
      </c>
      <c r="O1" s="110" t="str">
        <f>B1</f>
        <v>PB125G14075BKUVV</v>
      </c>
      <c r="P1" s="110"/>
      <c r="Q1" s="111"/>
      <c r="R1" s="11" t="s">
        <v>57</v>
      </c>
      <c r="S1" s="110" t="str">
        <f>F1</f>
        <v>HT CONCEPTS</v>
      </c>
      <c r="T1" s="110"/>
      <c r="U1" s="111"/>
      <c r="V1" s="11" t="s">
        <v>181</v>
      </c>
      <c r="W1" s="121">
        <f ca="1">J1</f>
        <v>45236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0.5L SQUAT PLANTER BAG</v>
      </c>
      <c r="C2" s="110"/>
      <c r="D2" s="111"/>
      <c r="E2" s="11" t="s">
        <v>58</v>
      </c>
      <c r="F2" s="64">
        <v>946782</v>
      </c>
      <c r="G2" s="64"/>
      <c r="H2" s="65"/>
      <c r="I2" s="11" t="s">
        <v>59</v>
      </c>
      <c r="J2" s="124" t="s">
        <v>196</v>
      </c>
      <c r="K2" s="64"/>
      <c r="L2" s="65"/>
      <c r="M2" s="30"/>
      <c r="N2" s="11" t="s">
        <v>100</v>
      </c>
      <c r="O2" s="110" t="str">
        <f>IF(B2="","",B2)</f>
        <v>0.5L SQUAT PLANTER BAG</v>
      </c>
      <c r="P2" s="110"/>
      <c r="Q2" s="111"/>
      <c r="R2" s="11" t="s">
        <v>58</v>
      </c>
      <c r="S2" s="110">
        <f>IF(F2="","",F2)</f>
        <v>946782</v>
      </c>
      <c r="T2" s="110"/>
      <c r="U2" s="111"/>
      <c r="V2" s="11" t="s">
        <v>59</v>
      </c>
      <c r="W2" s="123" t="str">
        <f>J2</f>
        <v>ASAP</v>
      </c>
      <c r="X2" s="110"/>
      <c r="Y2" s="111"/>
    </row>
    <row r="3" spans="1:25" ht="20.149999999999999" customHeight="1" x14ac:dyDescent="0.75">
      <c r="A3" s="112" t="s">
        <v>201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30"/>
      <c r="N3" s="112" t="str">
        <f>A3</f>
        <v>SPOT ON FINISH. USE DOLPHIN REMILL, MUST NOT BE BLOCKED.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30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30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30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1" t="s">
        <v>49</v>
      </c>
      <c r="B7" s="102" t="s">
        <v>177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30"/>
      <c r="N7" s="11" t="str">
        <f>IF(ISNUMBER(SEARCH("roll",O8,1)),"No. Rolls","No. Cartons")</f>
        <v>No. Cartons</v>
      </c>
      <c r="O7" s="64">
        <v>5</v>
      </c>
      <c r="P7" s="65"/>
      <c r="Q7" s="11" t="str">
        <f>IF(ISNUMBER(SEARCH("roll",O8,1)),"Per Roll","Per Carton")</f>
        <v>Per Carton</v>
      </c>
      <c r="R7" s="64">
        <v>5000</v>
      </c>
      <c r="S7" s="65"/>
      <c r="T7" s="11" t="str">
        <f>IF(ISNUMBER(SEARCH("bag",O8,1)),"Total Bags","Total Sheets")</f>
        <v>Total Bags</v>
      </c>
      <c r="U7" s="110">
        <f>R7*O7</f>
        <v>25000</v>
      </c>
      <c r="V7" s="111"/>
      <c r="W7" s="11" t="s">
        <v>102</v>
      </c>
      <c r="X7" s="64" t="s">
        <v>23</v>
      </c>
      <c r="Y7" s="65"/>
    </row>
    <row r="8" spans="1:25" ht="20.149999999999999" customHeight="1" x14ac:dyDescent="0.8">
      <c r="A8" s="13" t="s">
        <v>16</v>
      </c>
      <c r="B8" s="98">
        <f>R9</f>
        <v>125</v>
      </c>
      <c r="C8" s="99"/>
      <c r="D8" s="13" t="str">
        <f>IF(ISNUMBER(SEARCH("bag",O8,1)),"Gusset","Centrefold")</f>
        <v>Gusset</v>
      </c>
      <c r="E8" s="98" t="str">
        <f>IF(O8="Centrefold Roll",B8*2,IF(X9="","None",X9))</f>
        <v>(65+60)</v>
      </c>
      <c r="F8" s="99"/>
      <c r="G8" s="13" t="s">
        <v>52</v>
      </c>
      <c r="H8" s="98">
        <f>(IF(V9&lt;30,"30",V9))</f>
        <v>75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30"/>
      <c r="N8" s="14" t="s">
        <v>54</v>
      </c>
      <c r="O8" s="100" t="s">
        <v>164</v>
      </c>
      <c r="P8" s="101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7" t="s">
        <v>48</v>
      </c>
      <c r="B9" s="127" t="s">
        <v>182</v>
      </c>
      <c r="C9" s="128"/>
      <c r="D9" s="135" t="str">
        <f>IF(K10="Middle","RUN 2 UP",IF(AND(O8="Centrefold Roll",B8=380),"RUN 2 UP",""))</f>
        <v/>
      </c>
      <c r="E9" s="102"/>
      <c r="F9" s="103"/>
      <c r="G9" s="17" t="s">
        <v>48</v>
      </c>
      <c r="H9" s="127" t="s">
        <v>193</v>
      </c>
      <c r="I9" s="128"/>
      <c r="J9" s="11" t="s">
        <v>55</v>
      </c>
      <c r="K9" s="64" t="s">
        <v>30</v>
      </c>
      <c r="L9" s="65"/>
      <c r="M9" s="30"/>
      <c r="N9" s="18"/>
      <c r="O9" s="104" t="str">
        <f>IF(O8="Poly Bag","PB",IF(O8="Poly Bag Roll","PBR",IF(O8="Centrefold Roll","CFR",IF(O8="Sheet","S",IF(O8="Sheet Roll","SR")))))</f>
        <v>PB</v>
      </c>
      <c r="P9" s="105"/>
      <c r="Q9" s="18"/>
      <c r="R9" s="31">
        <v>125</v>
      </c>
      <c r="S9" s="19" t="s">
        <v>78</v>
      </c>
      <c r="T9" s="31">
        <v>140</v>
      </c>
      <c r="U9" s="19" t="s">
        <v>78</v>
      </c>
      <c r="V9" s="31">
        <v>75</v>
      </c>
      <c r="W9" s="18"/>
      <c r="X9" s="90" t="s">
        <v>199</v>
      </c>
      <c r="Y9" s="91"/>
    </row>
    <row r="10" spans="1:25" ht="20.149999999999999" customHeight="1" x14ac:dyDescent="0.8">
      <c r="A10" s="11" t="s">
        <v>51</v>
      </c>
      <c r="B10" s="64">
        <v>5</v>
      </c>
      <c r="C10" s="65"/>
      <c r="D10" s="48" t="s">
        <v>134</v>
      </c>
      <c r="E10" s="129">
        <f>IF(ISNUMBER(SEARCH("sheet",O8,1)),((R9*T9*H8/540000)*U7/2000*1.3),((R9*T9*H8/540000)*U7/1000*1.08))</f>
        <v>65.625</v>
      </c>
      <c r="F10" s="130"/>
      <c r="G10" s="11" t="s">
        <v>53</v>
      </c>
      <c r="H10" s="133">
        <f>IF(ISNUMBER(SEARCH("sheet",O8,1)),(U7*T9/2000*1.08),(U7*T9/1000*1.08))</f>
        <v>3780.0000000000005</v>
      </c>
      <c r="I10" s="134"/>
      <c r="J10" s="11" t="s">
        <v>41</v>
      </c>
      <c r="K10" s="64" t="s">
        <v>44</v>
      </c>
      <c r="L10" s="65"/>
      <c r="M10" s="30"/>
      <c r="N10" s="14" t="s">
        <v>141</v>
      </c>
      <c r="O10" s="100" t="s">
        <v>140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198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1">
        <f>E10/B10</f>
        <v>13.125</v>
      </c>
      <c r="F11" s="132"/>
      <c r="G11" s="11" t="s">
        <v>15</v>
      </c>
      <c r="H11" s="131">
        <f>H10/B10</f>
        <v>756.00000000000011</v>
      </c>
      <c r="I11" s="132"/>
      <c r="J11" s="11" t="s">
        <v>50</v>
      </c>
      <c r="K11" s="64" t="s">
        <v>44</v>
      </c>
      <c r="L11" s="65"/>
      <c r="M11" s="30"/>
      <c r="N11" s="13"/>
      <c r="O11" s="98" t="str">
        <f>IF(O10="NONE","","V")</f>
        <v>V</v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30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49999999999999" customHeight="1" x14ac:dyDescent="0.8">
      <c r="A13" s="11" t="s">
        <v>68</v>
      </c>
      <c r="B13" s="64" t="s">
        <v>44</v>
      </c>
      <c r="C13" s="64"/>
      <c r="D13" s="65"/>
      <c r="E13" s="20" t="s">
        <v>61</v>
      </c>
      <c r="F13" s="64" t="s">
        <v>44</v>
      </c>
      <c r="G13" s="64"/>
      <c r="H13" s="65"/>
      <c r="I13" s="11" t="s">
        <v>62</v>
      </c>
      <c r="J13" s="64" t="s">
        <v>44</v>
      </c>
      <c r="K13" s="64"/>
      <c r="L13" s="65"/>
      <c r="M13" s="30"/>
      <c r="N13" s="11" t="s">
        <v>72</v>
      </c>
      <c r="O13" s="32" t="s">
        <v>57</v>
      </c>
      <c r="P13" s="11" t="s">
        <v>73</v>
      </c>
      <c r="Q13" s="21">
        <f>O7</f>
        <v>5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60"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30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49999999999999" customHeight="1" x14ac:dyDescent="0.7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30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49999999999999" customHeight="1" x14ac:dyDescent="0.8">
      <c r="A16" s="68" t="s">
        <v>3</v>
      </c>
      <c r="B16" s="70"/>
      <c r="C16" s="68" t="s">
        <v>142</v>
      </c>
      <c r="D16" s="70"/>
      <c r="E16" s="148" t="s">
        <v>4</v>
      </c>
      <c r="F16" s="148"/>
      <c r="G16" s="148" t="s">
        <v>5</v>
      </c>
      <c r="H16" s="148"/>
      <c r="I16" s="69" t="s">
        <v>11</v>
      </c>
      <c r="J16" s="70"/>
      <c r="K16" s="69" t="s">
        <v>12</v>
      </c>
      <c r="L16" s="70"/>
      <c r="M16" s="30"/>
      <c r="N16" s="11" t="s">
        <v>28</v>
      </c>
      <c r="O16" s="64" t="s">
        <v>202</v>
      </c>
      <c r="P16" s="65"/>
      <c r="Q16" s="11" t="s">
        <v>105</v>
      </c>
      <c r="R16" s="64" t="s">
        <v>23</v>
      </c>
      <c r="S16" s="65"/>
      <c r="T16" s="12" t="s">
        <v>103</v>
      </c>
      <c r="U16" s="64" t="s">
        <v>31</v>
      </c>
      <c r="V16" s="65"/>
      <c r="W16" s="11" t="str">
        <f>IF(ISNUMBER(SEARCH("bag",O8,1)),"Total Bags","Total Sheets")</f>
        <v>Total Bags</v>
      </c>
      <c r="X16" s="66"/>
      <c r="Y16" s="67"/>
    </row>
    <row r="17" spans="1:25" ht="20.149999999999999" customHeight="1" x14ac:dyDescent="0.8">
      <c r="A17" s="63" t="s">
        <v>6</v>
      </c>
      <c r="B17" s="63"/>
      <c r="C17" s="94" t="s">
        <v>147</v>
      </c>
      <c r="D17" s="95"/>
      <c r="E17" s="61"/>
      <c r="F17" s="62"/>
      <c r="G17" s="49" t="s">
        <v>81</v>
      </c>
      <c r="H17" s="33"/>
      <c r="I17" s="61"/>
      <c r="J17" s="62"/>
      <c r="K17" s="61"/>
      <c r="L17" s="62"/>
      <c r="M17" s="30"/>
      <c r="N17" s="11" t="s">
        <v>26</v>
      </c>
      <c r="O17" s="64" t="s">
        <v>37</v>
      </c>
      <c r="P17" s="65"/>
      <c r="Q17" s="11" t="s">
        <v>104</v>
      </c>
      <c r="R17" s="64" t="s">
        <v>31</v>
      </c>
      <c r="S17" s="65"/>
      <c r="T17" s="12" t="str">
        <f>IF(ISNUMBER(SEARCH("roll",O8,1)),"Part Rolls","Part Ctns")</f>
        <v>Part Ctns</v>
      </c>
      <c r="U17" s="64" t="s">
        <v>31</v>
      </c>
      <c r="V17" s="65"/>
      <c r="W17" s="11" t="str">
        <f>IF(ISNUMBER(SEARCH("roll",O8,1)),"Total Rolls","Total Ctns")</f>
        <v>Total Ctns</v>
      </c>
      <c r="X17" s="66"/>
      <c r="Y17" s="67"/>
    </row>
    <row r="18" spans="1:25" ht="20.149999999999999" customHeight="1" x14ac:dyDescent="0.8">
      <c r="A18" s="63" t="s">
        <v>7</v>
      </c>
      <c r="B18" s="63"/>
      <c r="C18" s="94" t="s">
        <v>146</v>
      </c>
      <c r="D18" s="95"/>
      <c r="E18" s="61"/>
      <c r="F18" s="62"/>
      <c r="G18" s="49" t="s">
        <v>82</v>
      </c>
      <c r="H18" s="33"/>
      <c r="I18" s="61"/>
      <c r="J18" s="62"/>
      <c r="K18" s="61"/>
      <c r="L18" s="62"/>
      <c r="M18" s="30"/>
      <c r="N18" s="11" t="s">
        <v>101</v>
      </c>
      <c r="O18" s="64" t="s">
        <v>186</v>
      </c>
      <c r="P18" s="65"/>
      <c r="Q18" s="11" t="s">
        <v>106</v>
      </c>
      <c r="R18" s="64" t="s">
        <v>31</v>
      </c>
      <c r="S18" s="65"/>
      <c r="T18" s="22" t="s">
        <v>27</v>
      </c>
      <c r="U18" s="64" t="s">
        <v>36</v>
      </c>
      <c r="V18" s="65"/>
      <c r="W18" s="11" t="s">
        <v>109</v>
      </c>
      <c r="X18" s="66"/>
      <c r="Y18" s="67"/>
    </row>
    <row r="19" spans="1:25" ht="20.149999999999999" customHeight="1" x14ac:dyDescent="0.75">
      <c r="A19" s="63" t="s">
        <v>8</v>
      </c>
      <c r="B19" s="63"/>
      <c r="C19" s="94" t="s">
        <v>145</v>
      </c>
      <c r="D19" s="95"/>
      <c r="E19" s="61"/>
      <c r="F19" s="62"/>
      <c r="G19" s="49" t="s">
        <v>83</v>
      </c>
      <c r="H19" s="33"/>
      <c r="I19" s="61"/>
      <c r="J19" s="62"/>
      <c r="K19" s="61"/>
      <c r="L19" s="62"/>
      <c r="M19" s="30"/>
      <c r="N19" s="77" t="s">
        <v>203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49999999999999" customHeight="1" x14ac:dyDescent="0.75">
      <c r="A20" s="63" t="s">
        <v>9</v>
      </c>
      <c r="B20" s="63"/>
      <c r="C20" s="94" t="s">
        <v>144</v>
      </c>
      <c r="D20" s="95"/>
      <c r="E20" s="61"/>
      <c r="F20" s="62"/>
      <c r="G20" s="49" t="s">
        <v>84</v>
      </c>
      <c r="H20" s="33"/>
      <c r="I20" s="61"/>
      <c r="J20" s="62"/>
      <c r="K20" s="61"/>
      <c r="L20" s="62"/>
      <c r="M20" s="30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49999999999999" customHeight="1" x14ac:dyDescent="0.75">
      <c r="A21" s="63" t="s">
        <v>10</v>
      </c>
      <c r="B21" s="63"/>
      <c r="C21" s="94" t="s">
        <v>143</v>
      </c>
      <c r="D21" s="95"/>
      <c r="E21" s="61"/>
      <c r="F21" s="62"/>
      <c r="G21" s="49" t="s">
        <v>85</v>
      </c>
      <c r="H21" s="33"/>
      <c r="I21" s="61"/>
      <c r="J21" s="62"/>
      <c r="K21" s="61"/>
      <c r="L21" s="62"/>
      <c r="M21" s="30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49999999999999" customHeight="1" x14ac:dyDescent="0.75">
      <c r="A22" s="63" t="str">
        <f>(IF(B7="NATURAL","",B7))</f>
        <v>BLACK</v>
      </c>
      <c r="B22" s="63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5"/>
      <c r="E22" s="61"/>
      <c r="F22" s="62"/>
      <c r="G22" s="49" t="s">
        <v>86</v>
      </c>
      <c r="H22" s="33"/>
      <c r="I22" s="61"/>
      <c r="J22" s="62"/>
      <c r="K22" s="61"/>
      <c r="L22" s="62"/>
      <c r="M22" s="30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49999999999999" customHeight="1" x14ac:dyDescent="0.75">
      <c r="A23" s="149" t="s">
        <v>194</v>
      </c>
      <c r="B23" s="149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5"/>
      <c r="E23" s="61"/>
      <c r="F23" s="62"/>
      <c r="G23" s="49" t="s">
        <v>87</v>
      </c>
      <c r="H23" s="33"/>
      <c r="I23" s="61"/>
      <c r="J23" s="62"/>
      <c r="K23" s="61"/>
      <c r="L23" s="62"/>
      <c r="M23" s="30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49999999999999" customHeight="1" x14ac:dyDescent="0.75">
      <c r="A24" s="150"/>
      <c r="B24" s="151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61"/>
      <c r="F24" s="62"/>
      <c r="G24" s="49" t="s">
        <v>88</v>
      </c>
      <c r="H24" s="33"/>
      <c r="I24" s="61"/>
      <c r="J24" s="62"/>
      <c r="K24" s="61"/>
      <c r="L24" s="62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30"/>
      <c r="N25" s="23" t="s">
        <v>96</v>
      </c>
      <c r="O25" s="10" t="s">
        <v>200</v>
      </c>
      <c r="P25" s="35"/>
      <c r="Q25" s="10">
        <v>24</v>
      </c>
      <c r="R25" s="10">
        <v>6</v>
      </c>
      <c r="S25" s="10"/>
      <c r="T25" s="10">
        <v>8</v>
      </c>
      <c r="U25" s="10"/>
      <c r="V25" s="10">
        <v>3</v>
      </c>
      <c r="W25" s="10">
        <v>180</v>
      </c>
      <c r="X25" s="10">
        <v>180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3" t="s">
        <v>132</v>
      </c>
      <c r="H26" s="93"/>
      <c r="I26" s="93" t="s">
        <v>131</v>
      </c>
      <c r="J26" s="93"/>
      <c r="K26" s="25" t="s">
        <v>94</v>
      </c>
      <c r="L26" s="25" t="s">
        <v>95</v>
      </c>
      <c r="M26" s="30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Sheet2!$N$56:$N$57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Sheet2!$A$48:$A$50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Sheet2!$A$53:$A$55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Sheet2!$N$60:$N$61</xm:f>
          </x14:formula1>
          <xm:sqref>U18:V18</xm:sqref>
        </x14:dataValidation>
        <x14:dataValidation type="list" allowBlank="1" showInputMessage="1" showErrorMessage="1" xr:uid="{00000000-0002-0000-0000-00000B000000}">
          <x14:formula1>
            <xm:f>Sheet2!$N$44:$N$46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Sheet2!$A$43:$A$45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Sheet2!$A$58:$A$68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Sheet2!$N$49:$N$53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9000000}">
          <x14:formula1>
            <xm:f>Sheet2!$N$31:$N$39</xm:f>
          </x14:formula1>
          <xm:sqref>O16:P16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2"/>
  <sheetViews>
    <sheetView topLeftCell="A31" zoomScaleNormal="100" workbookViewId="0">
      <selection activeCell="S36" sqref="S3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45266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45257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197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 t="s">
        <v>202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>
        <v>180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169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170</v>
      </c>
      <c r="U38" s="1"/>
      <c r="V38" s="1"/>
    </row>
    <row r="39" spans="1:22" x14ac:dyDescent="0.75">
      <c r="A39" s="5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5" t="s">
        <v>38</v>
      </c>
      <c r="U39" s="1"/>
      <c r="V39" s="1"/>
    </row>
    <row r="40" spans="1:22" x14ac:dyDescent="0.75">
      <c r="A40" s="5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5"/>
      <c r="U40" s="1"/>
      <c r="V40" s="1"/>
    </row>
    <row r="41" spans="1:22" x14ac:dyDescent="0.75">
      <c r="A41" s="22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/>
    </row>
    <row r="42" spans="1:22" x14ac:dyDescent="0.75">
      <c r="A42" s="58" t="s">
        <v>63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</row>
    <row r="43" spans="1:22" x14ac:dyDescent="0.75">
      <c r="A43" s="5" t="s">
        <v>44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8" t="s">
        <v>26</v>
      </c>
    </row>
    <row r="44" spans="1:22" x14ac:dyDescent="0.75">
      <c r="A44" s="5" t="s">
        <v>65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 t="s">
        <v>35</v>
      </c>
    </row>
    <row r="45" spans="1:22" x14ac:dyDescent="0.75">
      <c r="A45" s="5" t="s">
        <v>64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" t="s">
        <v>37</v>
      </c>
    </row>
    <row r="46" spans="1:22" x14ac:dyDescent="0.7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171</v>
      </c>
    </row>
    <row r="47" spans="1:22" x14ac:dyDescent="0.75">
      <c r="A47" s="58" t="s">
        <v>68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/>
    </row>
    <row r="48" spans="1:22" x14ac:dyDescent="0.75">
      <c r="A48" s="5" t="s">
        <v>44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8" t="s">
        <v>101</v>
      </c>
    </row>
    <row r="49" spans="1:20" x14ac:dyDescent="0.75">
      <c r="A49" s="5" t="s">
        <v>70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38</v>
      </c>
    </row>
    <row r="50" spans="1:20" x14ac:dyDescent="0.75">
      <c r="A50" s="5" t="s">
        <v>69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32</v>
      </c>
    </row>
    <row r="51" spans="1:20" x14ac:dyDescent="0.75">
      <c r="A51" s="22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" t="s">
        <v>172</v>
      </c>
    </row>
    <row r="52" spans="1:20" x14ac:dyDescent="0.75">
      <c r="A52" s="58" t="s">
        <v>61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" t="s">
        <v>184</v>
      </c>
    </row>
    <row r="53" spans="1:20" x14ac:dyDescent="0.75">
      <c r="A53" s="5" t="s">
        <v>44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" t="s">
        <v>186</v>
      </c>
    </row>
    <row r="54" spans="1:20" x14ac:dyDescent="0.75">
      <c r="A54" s="5" t="s">
        <v>66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</row>
    <row r="55" spans="1:20" x14ac:dyDescent="0.75">
      <c r="A55" s="5" t="s">
        <v>67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7" t="s">
        <v>173</v>
      </c>
    </row>
    <row r="56" spans="1:20" x14ac:dyDescent="0.75">
      <c r="A56" s="22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22" t="s">
        <v>31</v>
      </c>
    </row>
    <row r="57" spans="1:20" x14ac:dyDescent="0.75">
      <c r="A57" s="57" t="s">
        <v>62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23</v>
      </c>
    </row>
    <row r="58" spans="1:20" x14ac:dyDescent="0.75">
      <c r="A58" s="22" t="s">
        <v>44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</row>
    <row r="59" spans="1:20" x14ac:dyDescent="0.75">
      <c r="A59" s="55" t="s">
        <v>177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8" t="s">
        <v>27</v>
      </c>
      <c r="O59" s="1"/>
      <c r="P59" s="1"/>
      <c r="Q59" s="1"/>
      <c r="R59" s="1"/>
      <c r="S59" s="1"/>
      <c r="T59" s="1"/>
    </row>
    <row r="60" spans="1:20" x14ac:dyDescent="0.75">
      <c r="A60" s="56" t="s">
        <v>155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22" t="s">
        <v>36</v>
      </c>
    </row>
    <row r="61" spans="1:20" x14ac:dyDescent="0.75">
      <c r="A61" s="56" t="s">
        <v>148</v>
      </c>
      <c r="N61" s="22" t="s">
        <v>33</v>
      </c>
    </row>
    <row r="62" spans="1:20" x14ac:dyDescent="0.75">
      <c r="A62" s="56" t="s">
        <v>149</v>
      </c>
      <c r="O62" s="1"/>
      <c r="Q62" s="1"/>
      <c r="R62" s="3"/>
      <c r="S62" s="1"/>
    </row>
    <row r="63" spans="1:20" x14ac:dyDescent="0.75">
      <c r="A63" s="56" t="s">
        <v>150</v>
      </c>
      <c r="O63" s="1"/>
      <c r="Q63" s="1"/>
      <c r="R63" s="1"/>
      <c r="S63" s="1"/>
    </row>
    <row r="64" spans="1:20" x14ac:dyDescent="0.75">
      <c r="A64" s="56" t="s">
        <v>151</v>
      </c>
      <c r="O64" s="1"/>
      <c r="Q64" s="1"/>
      <c r="R64" s="1"/>
      <c r="S64" s="1"/>
    </row>
    <row r="65" spans="1:20" x14ac:dyDescent="0.75">
      <c r="A65" s="56" t="s">
        <v>152</v>
      </c>
      <c r="O65" s="1"/>
      <c r="Q65" s="1"/>
      <c r="R65" s="1"/>
      <c r="S65" s="1"/>
      <c r="T65" s="1"/>
    </row>
    <row r="66" spans="1:20" x14ac:dyDescent="0.75">
      <c r="A66" s="56" t="s">
        <v>153</v>
      </c>
      <c r="O66" s="1"/>
      <c r="Q66" s="1"/>
      <c r="R66" s="1"/>
      <c r="S66" s="1"/>
      <c r="T66" s="1"/>
    </row>
    <row r="67" spans="1:20" x14ac:dyDescent="0.75">
      <c r="A67" s="56" t="s">
        <v>174</v>
      </c>
      <c r="O67" s="1"/>
      <c r="P67" s="1"/>
      <c r="Q67" s="1"/>
      <c r="R67" s="1"/>
      <c r="S67" s="1"/>
      <c r="T67" s="1"/>
    </row>
    <row r="68" spans="1:20" x14ac:dyDescent="0.75">
      <c r="A68" s="56" t="s">
        <v>154</v>
      </c>
      <c r="N68" s="3"/>
      <c r="O68" s="1"/>
      <c r="P68" s="1"/>
      <c r="Q68" s="1"/>
      <c r="R68" s="1"/>
      <c r="S68" s="1"/>
      <c r="T68" s="1"/>
    </row>
    <row r="69" spans="1:20" x14ac:dyDescent="0.75">
      <c r="N69" s="4"/>
      <c r="O69" s="1"/>
      <c r="P69" s="1"/>
      <c r="Q69" s="1"/>
      <c r="R69" s="1"/>
      <c r="S69" s="1"/>
      <c r="T69" s="1"/>
    </row>
    <row r="70" spans="1:20" x14ac:dyDescent="0.75">
      <c r="N70" s="4"/>
      <c r="O70" s="1"/>
      <c r="P70" s="1"/>
      <c r="Q70" s="1"/>
      <c r="R70" s="1"/>
      <c r="S70" s="1"/>
      <c r="T70" s="1"/>
    </row>
    <row r="71" spans="1:20" x14ac:dyDescent="0.75">
      <c r="N71" s="4"/>
    </row>
    <row r="72" spans="1:20" x14ac:dyDescent="0.75">
      <c r="N72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D6A8C14-8A65-4F1C-9429-F4AA59AF1526}"/>
</file>

<file path=customXml/itemProps2.xml><?xml version="1.0" encoding="utf-8"?>
<ds:datastoreItem xmlns:ds="http://schemas.openxmlformats.org/officeDocument/2006/customXml" ds:itemID="{00B5E380-34BB-4B8E-809F-3655E13222C6}"/>
</file>

<file path=customXml/itemProps3.xml><?xml version="1.0" encoding="utf-8"?>
<ds:datastoreItem xmlns:ds="http://schemas.openxmlformats.org/officeDocument/2006/customXml" ds:itemID="{35E5CC9B-6CDB-4E48-9066-08C1BF007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2023-11-06T00:36:57Z</cp:lastPrinted>
  <dcterms:created xsi:type="dcterms:W3CDTF">2019-11-27T23:28:06Z</dcterms:created>
  <dcterms:modified xsi:type="dcterms:W3CDTF">2023-11-06T00:37:06Z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