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176F5BC-CEF8-4EF6-B8F5-93BB5B4918F3}" xr6:coauthVersionLast="47" xr6:coauthVersionMax="47" xr10:uidLastSave="{00000000-0000-0000-0000-000000000000}"/>
  <bookViews>
    <workbookView minimized="1" xWindow="78150" yWindow="6660" windowWidth="5760" windowHeight="10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<sst xmlns="http://schemas.openxmlformats.org/spreadsheetml/2006/main" count="304" uniqueCount="199">
  <si>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</si>
  <si>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</si>
  <si>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</si>
  <si>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</si>
  <si>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</si>
  <si>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</si>
  <si>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</si>
  <si>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</si>
  <si>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</si>
  <si>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</si>
  <si>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</si>
  <si>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</si>
  <si>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</si>
  <si>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</si>
  <si>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</si>
  <si>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</si>
  <si>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</si>
  <si>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</si>
  <si>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</si>
  <si>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</si>
  <si>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</si>
  <si>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</si>
  <si>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</si>
  <si>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</si>
  <si>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</si>
  <si>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</si>
  <si>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</si>
  <si>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</si>
  <si>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</si>
  <si>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</si>
  <si>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</si>
  <si>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</si>
  <si>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</si>
  <si>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</si>
  <si>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</si>
  <si>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</si>
  <si>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</si>
  <si>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</si>
  <si>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</si>
  <si>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</si>
  <si>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</si>
  <si>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</si>
  <si>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</si>
  <si>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</si>
  <si>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</si>
  <si>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</si>
  <si>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</si>
  <si>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</si>
  <si>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</si>
  <si>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</si>
  <si>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</si>
  <si>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</si>
  <si>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</si>
  <si>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</si>
  <si>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</si>
  <si>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</si>
  <si>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</si>
  <si>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</si>
  <si>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</si>
  <si>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</si>
  <si>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</si>
  <si>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</si>
  <si>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</si>
  <si>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</si>
  <si>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</si>
  <si>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</si>
  <si>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</si>
  <si>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</si>
  <si>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</si>
  <si>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</si>
  <si>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</si>
  <si>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</si>
  <si>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</si>
  <si>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</si>
  <si>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</si>
  <si>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</si>
  <si>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</si>
  <si>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</si>
  <si>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</si>
  <si>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</si>
  <si>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</si>
  <si>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</si>
  <si>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</si>
  <si>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</si>
  <si>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</si>
  <si>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</si>
  <si>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</si>
  <si>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</si>
  <si>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</si>
  <si>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</si>
  <si>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</si>
  <si>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</si>
  <si>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</si>
  <si>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</si>
  <si>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</si>
  <si>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</si>
  <si>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</si>
  <si>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</si>
  <si>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</si>
  <si>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</si>
  <si>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</si>
  <si>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</si>
  <si>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</si>
  <si>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</si>
  <si>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</si>
  <si>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</si>
  <si>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</si>
  <si>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</si>
  <si>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</si>
  <si>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</si>
  <si>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</si>
  <si>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</si>
  <si>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</si>
  <si>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</si>
  <si>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</si>
  <si>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</si>
  <si>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</si>
  <si>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</si>
  <si>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</si>
  <si>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</si>
  <si>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</si>
  <si>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</si>
  <si>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</si>
  <si>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</si>
  <si>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</si>
  <si>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</si>
  <si>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</si>
  <si>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</si>
  <si>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</si>
  <si>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</si>
  <si>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</si>
  <si>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</si>
  <si>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</si>
  <si>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</si>
  <si>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</si>
  <si>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</si>
  <si>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</si>
  <si>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</si>
  <si>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</si>
  <si>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</si>
  <si>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</si>
  <si>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</si>
  <si>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</si>
  <si>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</si>
  <si>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</si>
  <si>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</si>
  <si>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</si>
  <si>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</si>
  <si>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</si>
  <si>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</si>
  <si>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</si>
  <si>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</si>
  <si>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</si>
  <si>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</si>
  <si>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</si>
  <si>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</si>
  <si>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</si>
  <si>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</si>
  <si>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</si>
  <si>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</si>
  <si>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</si>
  <si>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</si>
  <si>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</si>
  <si>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</si>
  <si>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</si>
  <si>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</si>
  <si>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</si>
  <si>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</si>
  <si>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</si>
  <si>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</si>
  <si>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</si>
  <si>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</si>
  <si>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</si>
  <si>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</si>
  <si>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</si>
  <si>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</si>
  <si>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</si>
  <si>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</si>
  <si>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</si>
  <si>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</si>
  <si>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</si>
  <si>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</si>
  <si>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</si>
  <si>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</si>
  <si>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</si>
  <si>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</si>
  <si>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</si>
  <si>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</si>
  <si>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</si>
  <si>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</si>
  <si>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</si>
  <si>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</si>
  <si>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</si>
  <si>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</si>
  <si>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</si>
  <si>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</si>
  <si>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AUS FISH CORAL</t>
  </si>
  <si>
    <t>02.11.2022</t>
  </si>
  <si>
    <t xml:space="preserve"> MUST HAVE WATER TIGHT SEALS - PLEASE CHECK FREQUENTLY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</si>
</sst>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C13" sqref="AC13"/>
    </sheetView>
  </sheetViews>
  <sheetFormatPr defaultRowHeight="14.75" x14ac:dyDescent="0.75"/>
  <sheetData>
    <row r="1" spans="1:25" ht="20.100000000000001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PB12530050</v>
      </c>
      <c r="C1" s="111"/>
      <c r="D1" s="112"/>
      <c r="E1" s="11" t="s">
        <v>57</v>
      </c>
      <c r="F1" s="122" t="s">
        <v>196</v>
      </c>
      <c r="G1" s="87"/>
      <c r="H1" s="88"/>
      <c r="I1" s="12" t="s">
        <v>181</v>
      </c>
      <c r="J1" s="84">
        <f ca="1">TODAY()</f>
        <v>44833</v>
      </c>
      <c r="K1" s="84"/>
      <c r="L1" s="85"/>
      <c r="M1" s="29"/>
      <c r="N1" s="11" t="s">
        <v>56</v>
      </c>
      <c r="O1" s="111" t="str">
        <f>B1</f>
        <v>PB12530050</v>
      </c>
      <c r="P1" s="111"/>
      <c r="Q1" s="112"/>
      <c r="R1" s="11" t="s">
        <v>57</v>
      </c>
      <c r="S1" s="111" t="str">
        <f>F1</f>
        <v>AUS FISH CORAL</v>
      </c>
      <c r="T1" s="111"/>
      <c r="U1" s="112"/>
      <c r="V1" s="11" t="s">
        <v>181</v>
      </c>
      <c r="W1" s="84">
        <f ca="1">J1</f>
        <v>44833</v>
      </c>
      <c r="X1" s="84"/>
      <c r="Y1" s="85"/>
    </row>
    <row r="2" spans="1:25" ht="20.100000000000001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944203</v>
      </c>
      <c r="G2" s="87"/>
      <c r="H2" s="88"/>
      <c r="I2" s="11" t="s">
        <v>59</v>
      </c>
      <c r="J2" s="86" t="s">
        <v>197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944203</v>
      </c>
      <c r="T2" s="111"/>
      <c r="U2" s="112"/>
      <c r="V2" s="11" t="s">
        <v>59</v>
      </c>
      <c r="W2" s="123" t="str">
        <f>J2</f>
        <v>02.11.2022</v>
      </c>
      <c r="X2" s="111"/>
      <c r="Y2" s="112"/>
    </row>
    <row r="3" spans="1:25" ht="20.100000000000001" customHeight="1" x14ac:dyDescent="0.7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 xml:space="preserve"> MUST HAVE WATER TIGHT SEALS - PLEASE CHECK FREQUENTLY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4</v>
      </c>
      <c r="P7" s="88"/>
      <c r="Q7" s="11" t="str">
        <f>IF(ISNUMBER(SEARCH("roll",O8,1)),"Per Roll","Per Carton")</f>
        <v>Per Carton</v>
      </c>
      <c r="R7" s="87">
        <v>5000</v>
      </c>
      <c r="S7" s="88"/>
      <c r="T7" s="11" t="str">
        <f>IF(ISNUMBER(SEARCH("bag",O8,1)),"Total Bags","Total Sheets")</f>
        <v>Total Bags</v>
      </c>
      <c r="U7" s="111">
        <f>R7*O7</f>
        <v>20000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8">
      <c r="A8" s="13" t="s">
        <v>16</v>
      </c>
      <c r="B8" s="89">
        <f>R9</f>
        <v>125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125</v>
      </c>
      <c r="S9" s="18" t="s">
        <v>78</v>
      </c>
      <c r="T9" s="30">
        <v>300</v>
      </c>
      <c r="U9" s="18" t="s">
        <v>78</v>
      </c>
      <c r="V9" s="30">
        <v>50</v>
      </c>
      <c r="W9" s="17"/>
      <c r="X9" s="137"/>
      <c r="Y9" s="138"/>
    </row>
    <row r="10" spans="1:25" ht="20.100000000000001" customHeight="1" x14ac:dyDescent="0.8">
      <c r="A10" s="11" t="s">
        <v>51</v>
      </c>
      <c r="B10" s="87">
        <v>6</v>
      </c>
      <c r="C10" s="88"/>
      <c r="D10" s="47" t="s">
        <v>134</v>
      </c>
      <c r="E10" s="101">
        <f>IF(ISNUMBER(SEARCH("sheet",O8,1)),((R9*T9*H8/540000)*U7/2000*1.3),((R9*T9*H8/540000)*U7/1000*1.08))</f>
        <v>75.000000000000014</v>
      </c>
      <c r="F10" s="102"/>
      <c r="G10" s="11" t="s">
        <v>53</v>
      </c>
      <c r="H10" s="105">
        <f>IF(ISNUMBER(SEARCH("sheet",O8,1)),(U7*T9/2000*1.08),(U7*T9/1000*1.08))</f>
        <v>6480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00000000000001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12.500000000000002</v>
      </c>
      <c r="F11" s="104"/>
      <c r="G11" s="11" t="s">
        <v>15</v>
      </c>
      <c r="H11" s="103">
        <f>H10/B10</f>
        <v>1080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00000000000001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4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00000000000001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0"/>
      <c r="Y17" s="141"/>
    </row>
    <row r="18" spans="1:25" ht="20.100000000000001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00000000000001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2" t="s">
        <v>116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00000000000001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00000000000001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00000000000001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00000000000001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75">
      <c r="N43" s="51"/>
    </row>
    <row r="44" spans="1:25" ht="20.100000000000001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75"/>
    <row r="87" spans="1:25" ht="20.100000000000001" customHeight="1" x14ac:dyDescent="0.75"/>
    <row r="88" spans="1:25" ht="20.100000000000001" customHeight="1" x14ac:dyDescent="0.75"/>
    <row r="89" spans="1:25" ht="20.100000000000001" customHeight="1" x14ac:dyDescent="0.75"/>
    <row r="90" spans="1:25" ht="20.100000000000001" customHeight="1" x14ac:dyDescent="0.75"/>
    <row r="91" spans="1:25" ht="20.100000000000001" customHeight="1" x14ac:dyDescent="0.75"/>
    <row r="92" spans="1:25" ht="20.100000000000001" customHeight="1" x14ac:dyDescent="0.75"/>
    <row r="93" spans="1:25" ht="20.100000000000001" customHeight="1" x14ac:dyDescent="0.75"/>
    <row r="94" spans="1:25" ht="20.100000000000001" customHeight="1" x14ac:dyDescent="0.75"/>
    <row r="95" spans="1:25" ht="20.100000000000001" customHeight="1" x14ac:dyDescent="0.75"/>
    <row r="96" spans="1:25" ht="20.100000000000001" customHeight="1" x14ac:dyDescent="0.75"/>
    <row r="97" ht="20.100000000000001" customHeight="1" x14ac:dyDescent="0.75"/>
    <row r="98" ht="20.100000000000001" customHeight="1" x14ac:dyDescent="0.75"/>
    <row r="99" ht="20.100000000000001" customHeight="1" x14ac:dyDescent="0.75"/>
    <row r="100" ht="20.100000000000001" customHeight="1" x14ac:dyDescent="0.75"/>
    <row r="101" ht="20.100000000000001" customHeight="1" x14ac:dyDescent="0.75"/>
    <row r="102" ht="20.100000000000001" customHeight="1" x14ac:dyDescent="0.75"/>
    <row r="103" ht="20.100000000000001" customHeight="1" x14ac:dyDescent="0.75"/>
    <row r="104" ht="20.100000000000001" customHeight="1" x14ac:dyDescent="0.75"/>
    <row r="105" ht="20.100000000000001" customHeight="1" x14ac:dyDescent="0.75"/>
    <row r="106" ht="20.100000000000001" customHeight="1" x14ac:dyDescent="0.75"/>
    <row r="107" ht="20.100000000000001" customHeight="1" x14ac:dyDescent="0.75"/>
    <row r="108" ht="20.100000000000001" customHeight="1" x14ac:dyDescent="0.75"/>
    <row r="109" ht="20.100000000000001" customHeight="1" x14ac:dyDescent="0.75"/>
    <row r="110" ht="20.100000000000001" customHeight="1" x14ac:dyDescent="0.75"/>
    <row r="111" ht="20.100000000000001" customHeight="1" x14ac:dyDescent="0.75"/>
    <row r="112" ht="20.100000000000001" customHeight="1" x14ac:dyDescent="0.75"/>
    <row r="113" ht="20.100000000000001" customHeight="1" x14ac:dyDescent="0.75"/>
    <row r="114" ht="20.100000000000001" customHeight="1" x14ac:dyDescent="0.75"/>
    <row r="115" ht="20.100000000000001" customHeight="1" x14ac:dyDescent="0.75"/>
    <row r="116" ht="20.100000000000001" customHeight="1" x14ac:dyDescent="0.75"/>
    <row r="117" ht="20.100000000000001" customHeight="1" x14ac:dyDescent="0.75"/>
    <row r="118" ht="20.100000000000001" customHeight="1" x14ac:dyDescent="0.75"/>
    <row r="119" ht="20.100000000000001" customHeight="1" x14ac:dyDescent="0.75"/>
    <row r="120" ht="20.100000000000001" customHeight="1" x14ac:dyDescent="0.75"/>
    <row r="121" ht="20.100000000000001" customHeight="1" x14ac:dyDescent="0.75"/>
    <row r="122" ht="20.100000000000001" customHeight="1" x14ac:dyDescent="0.75"/>
    <row r="123" ht="20.100000000000001" customHeight="1" x14ac:dyDescent="0.75"/>
    <row r="124" ht="20.100000000000001" customHeight="1" x14ac:dyDescent="0.75"/>
    <row r="125" ht="20.100000000000001" customHeight="1" x14ac:dyDescent="0.75"/>
    <row r="126" ht="20.100000000000001" customHeight="1" x14ac:dyDescent="0.75"/>
    <row r="127" ht="20.100000000000001" customHeight="1" x14ac:dyDescent="0.75"/>
    <row r="128" ht="20.100000000000001" customHeight="1" x14ac:dyDescent="0.75"/>
    <row r="129" ht="20.100000000000001" customHeight="1" x14ac:dyDescent="0.75"/>
    <row r="130" ht="20.100000000000001" customHeight="1" x14ac:dyDescent="0.75"/>
    <row r="131" ht="20.100000000000001" customHeight="1" x14ac:dyDescent="0.75"/>
    <row r="132" ht="20.100000000000001" customHeight="1" x14ac:dyDescent="0.75"/>
    <row r="133" ht="20.100000000000001" customHeight="1" x14ac:dyDescent="0.75"/>
    <row r="134" ht="20.100000000000001" customHeight="1" x14ac:dyDescent="0.75"/>
    <row r="135" ht="20.100000000000001" customHeight="1" x14ac:dyDescent="0.75"/>
    <row r="136" ht="20.100000000000001" customHeight="1" x14ac:dyDescent="0.75"/>
    <row r="137" ht="20.100000000000001" customHeight="1" x14ac:dyDescent="0.75"/>
    <row r="138" ht="20.100000000000001" customHeight="1" x14ac:dyDescent="0.75"/>
    <row r="139" ht="20.100000000000001" customHeight="1" x14ac:dyDescent="0.75"/>
    <row r="140" ht="20.100000000000001" customHeight="1" x14ac:dyDescent="0.75"/>
    <row r="141" ht="20.100000000000001" customHeight="1" x14ac:dyDescent="0.75"/>
    <row r="142" ht="20.100000000000001" customHeight="1" x14ac:dyDescent="0.75"/>
    <row r="143" ht="20.100000000000001" customHeight="1" x14ac:dyDescent="0.75"/>
    <row r="144" ht="20.100000000000001" customHeight="1" x14ac:dyDescent="0.75"/>
    <row r="145" ht="20.100000000000001" customHeight="1" x14ac:dyDescent="0.75"/>
    <row r="146" ht="20.100000000000001" customHeight="1" x14ac:dyDescent="0.75"/>
    <row r="147" ht="20.100000000000001" customHeight="1" x14ac:dyDescent="0.75"/>
    <row r="148" ht="20.100000000000001" customHeight="1" x14ac:dyDescent="0.75"/>
    <row r="149" ht="20.100000000000001" customHeight="1" x14ac:dyDescent="0.75"/>
    <row r="150" ht="20.100000000000001" customHeight="1" x14ac:dyDescent="0.75"/>
    <row r="151" ht="20.100000000000001" customHeight="1" x14ac:dyDescent="0.75"/>
    <row r="152" ht="20.100000000000001" customHeight="1" x14ac:dyDescent="0.75"/>
    <row r="153" ht="20.100000000000001" customHeight="1" x14ac:dyDescent="0.75"/>
    <row r="154" ht="20.100000000000001" customHeight="1" x14ac:dyDescent="0.75"/>
    <row r="155" ht="20.100000000000001" customHeight="1" x14ac:dyDescent="0.75"/>
    <row r="156" ht="20.100000000000001" customHeight="1" x14ac:dyDescent="0.75"/>
    <row r="157" ht="20.100000000000001" customHeight="1" x14ac:dyDescent="0.75"/>
    <row r="158" ht="20.100000000000001" customHeight="1" x14ac:dyDescent="0.75"/>
    <row r="159" ht="20.100000000000001" customHeight="1" x14ac:dyDescent="0.75"/>
    <row r="160" ht="20.100000000000001" customHeight="1" x14ac:dyDescent="0.75"/>
    <row r="161" ht="20.100000000000001" customHeight="1" x14ac:dyDescent="0.75"/>
    <row r="162" ht="20.100000000000001" customHeight="1" x14ac:dyDescent="0.75"/>
    <row r="163" ht="20.100000000000001" customHeight="1" x14ac:dyDescent="0.75"/>
    <row r="164" ht="20.100000000000001" customHeight="1" x14ac:dyDescent="0.75"/>
    <row r="165" ht="20.100000000000001" customHeight="1" x14ac:dyDescent="0.75"/>
    <row r="166" ht="20.100000000000001" customHeight="1" x14ac:dyDescent="0.75"/>
    <row r="167" ht="20.100000000000001" customHeight="1" x14ac:dyDescent="0.75"/>
    <row r="168" ht="20.100000000000001" customHeight="1" x14ac:dyDescent="0.75"/>
    <row r="169" ht="20.100000000000001" customHeight="1" x14ac:dyDescent="0.75"/>
    <row r="170" ht="20.100000000000001" customHeight="1" x14ac:dyDescent="0.75"/>
    <row r="171" ht="20.100000000000001" customHeight="1" x14ac:dyDescent="0.75"/>
    <row r="172" ht="20.100000000000001" customHeight="1" x14ac:dyDescent="0.75"/>
    <row r="173" ht="20.100000000000001" customHeight="1" x14ac:dyDescent="0.75"/>
    <row r="174" ht="20.100000000000001" customHeight="1" x14ac:dyDescent="0.75"/>
    <row r="175" ht="20.100000000000001" customHeight="1" x14ac:dyDescent="0.75"/>
    <row r="176" ht="20.100000000000001" customHeight="1" x14ac:dyDescent="0.75"/>
    <row r="177" ht="20.100000000000001" customHeight="1" x14ac:dyDescent="0.75"/>
    <row r="178" ht="20.100000000000001" customHeight="1" x14ac:dyDescent="0.75"/>
    <row r="179" ht="20.100000000000001" customHeight="1" x14ac:dyDescent="0.75"/>
    <row r="180" ht="20.100000000000001" customHeight="1" x14ac:dyDescent="0.75"/>
    <row r="181" ht="20.100000000000001" customHeight="1" x14ac:dyDescent="0.75"/>
    <row r="182" ht="20.100000000000001" customHeight="1" x14ac:dyDescent="0.75"/>
    <row r="183" ht="20.100000000000001" customHeight="1" x14ac:dyDescent="0.75"/>
    <row r="184" ht="20.100000000000001" customHeight="1" x14ac:dyDescent="0.75"/>
    <row r="185" ht="20.100000000000001" customHeight="1" x14ac:dyDescent="0.75"/>
    <row r="186" ht="20.100000000000001" customHeight="1" x14ac:dyDescent="0.75"/>
    <row r="187" ht="20.100000000000001" customHeight="1" x14ac:dyDescent="0.75"/>
    <row r="188" ht="20.100000000000001" customHeight="1" x14ac:dyDescent="0.75"/>
    <row r="189" ht="20.100000000000001" customHeight="1" x14ac:dyDescent="0.75"/>
    <row r="190" ht="20.100000000000001" customHeight="1" x14ac:dyDescent="0.75"/>
    <row r="191" ht="20.100000000000001" customHeight="1" x14ac:dyDescent="0.75"/>
    <row r="192" ht="20.100000000000001" customHeight="1" x14ac:dyDescent="0.75"/>
    <row r="193" ht="20.100000000000001" customHeight="1" x14ac:dyDescent="0.75"/>
    <row r="194" ht="20.100000000000001" customHeight="1" x14ac:dyDescent="0.75"/>
    <row r="195" ht="20.100000000000001" customHeight="1" x14ac:dyDescent="0.75"/>
    <row r="196" ht="20.100000000000001" customHeight="1" x14ac:dyDescent="0.75"/>
    <row r="197" ht="20.100000000000001" customHeight="1" x14ac:dyDescent="0.75"/>
    <row r="198" ht="20.100000000000001" customHeight="1" x14ac:dyDescent="0.75"/>
    <row r="199" ht="20.100000000000001" customHeight="1" x14ac:dyDescent="0.75"/>
    <row r="200" ht="20.100000000000001" customHeight="1" x14ac:dyDescent="0.75"/>
    <row r="201" ht="20.100000000000001" customHeight="1" x14ac:dyDescent="0.75"/>
    <row r="202" ht="20.100000000000001" customHeight="1" x14ac:dyDescent="0.75"/>
    <row r="203" ht="20.100000000000001" customHeight="1" x14ac:dyDescent="0.75"/>
    <row r="204" ht="20.100000000000001" customHeight="1" x14ac:dyDescent="0.75"/>
    <row r="205" ht="20.100000000000001" customHeight="1" x14ac:dyDescent="0.75"/>
    <row r="206" ht="20.100000000000001" customHeight="1" x14ac:dyDescent="0.75"/>
    <row r="207" ht="20.100000000000001" customHeight="1" x14ac:dyDescent="0.75"/>
    <row r="208" ht="20.100000000000001" customHeight="1" x14ac:dyDescent="0.75"/>
    <row r="209" ht="20.100000000000001" customHeight="1" x14ac:dyDescent="0.75"/>
    <row r="210" ht="20.100000000000001" customHeight="1" x14ac:dyDescent="0.75"/>
    <row r="211" ht="20.100000000000001" customHeight="1" x14ac:dyDescent="0.75"/>
    <row r="212" ht="20.100000000000001" customHeight="1" x14ac:dyDescent="0.75"/>
    <row r="213" ht="20.100000000000001" customHeight="1" x14ac:dyDescent="0.75"/>
    <row r="214" ht="20.100000000000001" customHeight="1" x14ac:dyDescent="0.75"/>
    <row r="215" ht="20.100000000000001" customHeight="1" x14ac:dyDescent="0.75"/>
    <row r="216" ht="20.100000000000001" customHeight="1" x14ac:dyDescent="0.75"/>
    <row r="217" ht="20.100000000000001" customHeight="1" x14ac:dyDescent="0.75"/>
    <row r="218" ht="20.100000000000001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44863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44854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3FC1DFB-E457-4EA0-97E2-ED7DF9DEB985}"/>
</file>

<file path=customXml/itemProps2.xml><?xml version="1.0" encoding="utf-8"?>
<ds:datastoreItem xmlns:ds="http://schemas.openxmlformats.org/officeDocument/2006/customXml" ds:itemID="{B5D9E1C0-34B5-429C-9D4E-6F7D97C7E68B}"/>
</file>

<file path=customXml/itemProps3.xml><?xml version="1.0" encoding="utf-8"?>
<ds:datastoreItem xmlns:ds="http://schemas.openxmlformats.org/officeDocument/2006/customXml" ds:itemID="{23CCBBE1-4EA3-4234-874C-982F34A479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2022-09-29T03:19:03Z</cp:lastPrinted>
  <dcterms:created xsi:type="dcterms:W3CDTF">2019-11-27T23:28:06Z</dcterms:created>
  <dcterms:modified xsi:type="dcterms:W3CDTF">2022-09-29T23:56:33Z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