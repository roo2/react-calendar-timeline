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3CD6585-48DF-4316-B841-129A7581328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7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H10" i="1" l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<sst xmlns="http://schemas.openxmlformats.org/spreadsheetml/2006/main" count="311" uniqueCount="206">
  <si>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</si>
  <si>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</si>
  <si>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</si>
  <si>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</si>
  <si>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</si>
  <si>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</si>
  <si>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</si>
  <si>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</si>
  <si>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</si>
  <si>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</si>
  <si>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</si>
  <si>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</si>
  <si>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</si>
  <si>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</si>
  <si>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</si>
  <si>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</si>
  <si>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</si>
  <si>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</si>
  <si>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</si>
  <si>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</si>
  <si>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</si>
  <si>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</si>
  <si>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</si>
  <si>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</si>
  <si>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</si>
  <si>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</si>
  <si>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</si>
  <si>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</si>
  <si>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</si>
  <si>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</si>
  <si>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</si>
  <si>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</si>
  <si>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</si>
  <si>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</si>
  <si>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</si>
  <si>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</si>
  <si>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</si>
  <si>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</si>
  <si>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</si>
  <si>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</si>
  <si>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</si>
  <si>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</si>
  <si>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</si>
  <si>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</si>
  <si>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</si>
  <si>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</si>
  <si>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</si>
  <si>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</si>
  <si>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</si>
  <si>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</si>
  <si>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</si>
  <si>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</si>
  <si>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</si>
  <si>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</si>
  <si>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</si>
  <si>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</si>
  <si>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</si>
  <si>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</si>
  <si>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</si>
  <si>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</si>
  <si>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</si>
  <si>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</si>
  <si>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</si>
  <si>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</si>
  <si>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</si>
  <si>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</si>
  <si>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</si>
  <si>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</si>
  <si>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</si>
  <si>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</si>
  <si>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</si>
  <si>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</si>
  <si>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</si>
  <si>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</si>
  <si>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</si>
  <si>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</si>
  <si>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</si>
  <si>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</si>
  <si>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</si>
  <si>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</si>
  <si>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</si>
  <si>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</si>
  <si>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</si>
  <si>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</si>
  <si>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</si>
  <si>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</si>
  <si>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</si>
  <si>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</si>
  <si>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</si>
  <si>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</si>
  <si>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</si>
  <si>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</si>
  <si>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</si>
  <si>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</si>
  <si>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</si>
  <si>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</si>
  <si>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</si>
  <si>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</si>
  <si>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</si>
  <si>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</si>
  <si>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</si>
  <si>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</si>
  <si>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</si>
  <si>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</si>
  <si>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</si>
  <si>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</si>
  <si>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</si>
  <si>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</si>
  <si>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</si>
  <si>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</si>
  <si>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</si>
  <si>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</si>
  <si>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</si>
  <si>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</si>
  <si>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</si>
  <si>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</si>
  <si>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</si>
  <si>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</si>
  <si>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</si>
  <si>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</si>
  <si>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</si>
  <si>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</si>
  <si>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</si>
  <si>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</si>
  <si>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</si>
  <si>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</si>
  <si>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</si>
  <si>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</si>
  <si>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</si>
  <si>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</si>
  <si>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</si>
  <si>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</si>
  <si>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</si>
  <si>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</si>
  <si>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</si>
  <si>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</si>
  <si>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</si>
  <si>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</si>
  <si>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</si>
  <si>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</si>
  <si>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</si>
  <si>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</si>
  <si>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</si>
  <si>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</si>
  <si>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</si>
  <si>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</si>
  <si>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</si>
  <si>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</si>
  <si>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</si>
  <si>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</si>
  <si>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</si>
  <si>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</si>
  <si>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</si>
  <si>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</si>
  <si>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</si>
  <si>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</si>
  <si>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</si>
  <si>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</si>
  <si>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</si>
  <si>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</si>
  <si>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</si>
  <si>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</si>
  <si>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</si>
  <si>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</si>
  <si>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</si>
  <si>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</si>
  <si>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</si>
  <si>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</si>
  <si>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</si>
  <si>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</si>
  <si>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</si>
  <si>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</si>
  <si>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</si>
  <si>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</si>
  <si>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</si>
  <si>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</si>
  <si>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</si>
  <si>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</si>
  <si>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</si>
  <si>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</si>
  <si>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</si>
  <si>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</si>
  <si>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</si>
  <si>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</si>
  <si>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</si>
  <si>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</si>
  <si>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</si>
  <si>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</si>
  <si>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</si>
  <si>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</si>
  <si>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</si>
  <si>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</si>
  <si>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</si>
  <si>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</si>
  <si>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50UM</t>
  </si>
  <si>
    <t xml:space="preserve"> +/- 10mm</t>
  </si>
  <si>
    <t xml:space="preserve">RAMSAY </t>
  </si>
  <si>
    <t>VENTED CL40404</t>
  </si>
  <si>
    <t>(290+290)</t>
  </si>
  <si>
    <t>ANTIBLOCK</t>
  </si>
  <si>
    <t>ANTISTATIC</t>
  </si>
  <si>
    <t>limax/PERF</t>
  </si>
  <si>
    <t>145/17</t>
  </si>
  <si>
    <t>145/13</t>
  </si>
  <si>
    <t>24/28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</si>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</sst>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60" zoomScaleNormal="6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PB580G710300AS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181</v>
      </c>
      <c r="J1" s="84">
        <f ca="1">TODAY()</f>
        <v>45663</v>
      </c>
      <c r="K1" s="84"/>
      <c r="L1" s="85"/>
      <c r="M1" s="29"/>
      <c r="N1" s="11" t="s">
        <v>56</v>
      </c>
      <c r="O1" s="111" t="str">
        <f>B1</f>
        <v>PB580G710300AS</v>
      </c>
      <c r="P1" s="111"/>
      <c r="Q1" s="112"/>
      <c r="R1" s="11" t="s">
        <v>57</v>
      </c>
      <c r="S1" s="111" t="str">
        <f>F1</f>
        <v xml:space="preserve">RAMSAY </v>
      </c>
      <c r="T1" s="111"/>
      <c r="U1" s="112"/>
      <c r="V1" s="11" t="s">
        <v>181</v>
      </c>
      <c r="W1" s="84">
        <f ca="1">J1</f>
        <v>45663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VENTED CL40404</v>
      </c>
      <c r="C2" s="111"/>
      <c r="D2" s="112"/>
      <c r="E2" s="11" t="s">
        <v>58</v>
      </c>
      <c r="F2" s="87">
        <v>949181</v>
      </c>
      <c r="G2" s="87"/>
      <c r="H2" s="88"/>
      <c r="I2" s="11" t="s">
        <v>59</v>
      </c>
      <c r="J2" s="86">
        <v>45357</v>
      </c>
      <c r="K2" s="87"/>
      <c r="L2" s="88"/>
      <c r="M2" s="29"/>
      <c r="N2" s="11" t="s">
        <v>100</v>
      </c>
      <c r="O2" s="111" t="str">
        <f>IF(B2="","",B2)</f>
        <v>VENTED CL40404</v>
      </c>
      <c r="P2" s="111"/>
      <c r="Q2" s="112"/>
      <c r="R2" s="11" t="s">
        <v>58</v>
      </c>
      <c r="S2" s="111">
        <f>IF(F2="","",F2)</f>
        <v>949181</v>
      </c>
      <c r="T2" s="111"/>
      <c r="U2" s="112"/>
      <c r="V2" s="11" t="s">
        <v>59</v>
      </c>
      <c r="W2" s="122">
        <f>J2</f>
        <v>45357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60</v>
      </c>
      <c r="P7" s="88"/>
      <c r="Q7" s="11" t="str">
        <f>IF(ISNUMBER(SEARCH("roll",O8,1)),"Per Roll","Per Carton")</f>
        <v>Per Carton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15000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580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(290+290)</v>
      </c>
      <c r="F8" s="90"/>
      <c r="G8" s="13" t="s">
        <v>52</v>
      </c>
      <c r="H8" s="89">
        <f>(IF(V9&lt;30,"30",V9))</f>
        <v>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580</v>
      </c>
      <c r="S9" s="18" t="s">
        <v>78</v>
      </c>
      <c r="T9" s="30">
        <v>710</v>
      </c>
      <c r="U9" s="18" t="s">
        <v>78</v>
      </c>
      <c r="V9" s="30">
        <v>30</v>
      </c>
      <c r="W9" s="17"/>
      <c r="X9" s="132" t="s">
        <v>198</v>
      </c>
      <c r="Y9" s="133"/>
    </row>
    <row r="10" spans="1:25" ht="20.149999999999999" customHeight="1" x14ac:dyDescent="0.8">
      <c r="A10" s="11" t="s">
        <v>51</v>
      </c>
      <c r="B10" s="87">
        <v>10</v>
      </c>
      <c r="C10" s="88"/>
      <c r="D10" s="47" t="s">
        <v>134</v>
      </c>
      <c r="E10" s="101">
        <f>IF(ISNUMBER(SEARCH("sheet",O8,1)),((R9*T9*H8/540000)*U7/2000*1.3),((R9*T9*H8/540000)*U7/1000*1.08))</f>
        <v>370.62</v>
      </c>
      <c r="F10" s="102"/>
      <c r="G10" s="11" t="s">
        <v>53</v>
      </c>
      <c r="H10" s="105">
        <f>IF(ISNUMBER(SEARCH("sheet",O8,1)),(U7*T9/2000*1.08),(U7*T9/1000*1.08))</f>
        <v>11502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9" t="s">
        <v>197</v>
      </c>
      <c r="V10" s="139"/>
      <c r="W10" s="139"/>
      <c r="X10" s="139"/>
      <c r="Y10" s="140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37.061999999999998</v>
      </c>
      <c r="F11" s="104"/>
      <c r="G11" s="11" t="s">
        <v>15</v>
      </c>
      <c r="H11" s="103">
        <f>H10/B10</f>
        <v>1150.2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41"/>
      <c r="V11" s="141"/>
      <c r="W11" s="141"/>
      <c r="X11" s="141"/>
      <c r="Y11" s="142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60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13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7"/>
      <c r="Y16" s="138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7"/>
      <c r="Y17" s="138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7"/>
      <c r="Y18" s="138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199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134" t="s">
        <v>205</v>
      </c>
      <c r="F23" s="135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200</v>
      </c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8"/>
      <c r="E24" s="134" t="s">
        <v>205</v>
      </c>
      <c r="F24" s="135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201</v>
      </c>
      <c r="P25" s="34"/>
      <c r="Q25" s="10" t="s">
        <v>204</v>
      </c>
      <c r="R25" s="10">
        <v>6.5</v>
      </c>
      <c r="S25" s="10"/>
      <c r="T25" s="10">
        <v>6</v>
      </c>
      <c r="U25" s="10"/>
      <c r="V25" s="10"/>
      <c r="W25" s="10" t="s">
        <v>202</v>
      </c>
      <c r="X25" s="10" t="s">
        <v>203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6" t="s">
        <v>132</v>
      </c>
      <c r="H26" s="136"/>
      <c r="I26" s="136" t="s">
        <v>131</v>
      </c>
      <c r="J26" s="136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0"/>
      <c r="G29" s="130"/>
      <c r="H29" s="130"/>
      <c r="I29" s="130"/>
      <c r="J29" s="130"/>
      <c r="K29" s="92"/>
      <c r="L29" s="131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45694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45684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FC5910C-1FF9-4939-B4AC-BE2A03ADC5DB}"/>
</file>

<file path=customXml/itemProps2.xml><?xml version="1.0" encoding="utf-8"?>
<ds:datastoreItem xmlns:ds="http://schemas.openxmlformats.org/officeDocument/2006/customXml" ds:itemID="{D3011D36-A141-4CB8-8BB9-A53B9442090B}"/>
</file>

<file path=customXml/itemProps3.xml><?xml version="1.0" encoding="utf-8"?>
<ds:datastoreItem xmlns:ds="http://schemas.openxmlformats.org/officeDocument/2006/customXml" ds:itemID="{116A5717-DFD8-468A-968C-BED5EEE8C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2025-01-06T03:15:33Z</cp:lastPrinted>
  <dcterms:created xsi:type="dcterms:W3CDTF">2019-11-27T23:28:06Z</dcterms:created>
  <dcterms:modified xsi:type="dcterms:W3CDTF">2025-01-06T03:55:20Z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