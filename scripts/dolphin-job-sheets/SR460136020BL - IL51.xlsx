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B8189F-5EEA-4B0B-A8C2-11997615D22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<sst xmlns="http://schemas.openxmlformats.org/spreadsheetml/2006/main" count="305" uniqueCount="199">
  <si>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</si>
  <si>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</si>
  <si>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</si>
  <si>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</si>
  <si>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</si>
  <si>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</si>
  <si>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</si>
  <si>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</si>
  <si>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</si>
  <si>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</si>
  <si>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</si>
  <si>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</si>
  <si>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</si>
  <si>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</si>
  <si>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</si>
  <si>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</si>
  <si>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</si>
  <si>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</si>
  <si>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</si>
  <si>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</si>
  <si>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</si>
  <si>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</si>
  <si>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</si>
  <si>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</si>
  <si>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</si>
  <si>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</si>
  <si>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</si>
  <si>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</si>
  <si>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</si>
  <si>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</si>
  <si>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</si>
  <si>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</si>
  <si>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</si>
  <si>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</si>
  <si>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</si>
  <si>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</si>
  <si>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</si>
  <si>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</si>
  <si>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</si>
  <si>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</si>
  <si>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</si>
  <si>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</si>
  <si>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</si>
  <si>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</si>
  <si>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</si>
  <si>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</si>
  <si>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</si>
  <si>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</si>
  <si>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</si>
  <si>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</si>
  <si>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</si>
  <si>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</si>
  <si>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</si>
  <si>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</si>
  <si>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</si>
  <si>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</si>
  <si>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</si>
  <si>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</si>
  <si>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</si>
  <si>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</si>
  <si>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</si>
  <si>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</si>
  <si>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</si>
  <si>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</si>
  <si>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</si>
  <si>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</si>
  <si>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</si>
  <si>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</si>
  <si>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</si>
  <si>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</si>
  <si>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</si>
  <si>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</si>
  <si>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</si>
  <si>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</si>
  <si>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</si>
  <si>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</si>
  <si>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</si>
  <si>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</si>
  <si>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</si>
  <si>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</si>
  <si>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</si>
  <si>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</si>
  <si>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</si>
  <si>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</si>
  <si>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</si>
  <si>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</si>
  <si>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</si>
  <si>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</si>
  <si>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</si>
  <si>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</si>
  <si>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</si>
  <si>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</si>
  <si>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</si>
  <si>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</si>
  <si>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</si>
  <si>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</si>
  <si>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</si>
  <si>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</si>
  <si>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</si>
  <si>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</si>
  <si>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</si>
  <si>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</si>
  <si>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</si>
  <si>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</si>
  <si>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</si>
  <si>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</si>
  <si>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</si>
  <si>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</si>
  <si>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</si>
  <si>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</si>
  <si>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</si>
  <si>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</si>
  <si>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</si>
  <si>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</si>
  <si>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</si>
  <si>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</si>
  <si>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</si>
  <si>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</si>
  <si>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</si>
  <si>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</si>
  <si>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</si>
  <si>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</si>
  <si>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</si>
  <si>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</si>
  <si>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</si>
  <si>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</si>
  <si>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</si>
  <si>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</si>
  <si>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</si>
  <si>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</si>
  <si>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</si>
  <si>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</si>
  <si>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</si>
  <si>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</si>
  <si>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</si>
  <si>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</si>
  <si>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</si>
  <si>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</si>
  <si>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</si>
  <si>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</si>
  <si>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</si>
  <si>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</si>
  <si>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</si>
  <si>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</si>
  <si>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</si>
  <si>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</si>
  <si>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</si>
  <si>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</si>
  <si>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</si>
  <si>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</si>
  <si>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</si>
  <si>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</si>
  <si>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</si>
  <si>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</si>
  <si>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</si>
  <si>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</si>
  <si>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</si>
  <si>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</si>
  <si>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</si>
  <si>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</si>
  <si>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</si>
  <si>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</si>
  <si>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</si>
  <si>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</si>
  <si>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</si>
  <si>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</si>
  <si>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</si>
  <si>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</si>
  <si>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</si>
  <si>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</si>
  <si>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</si>
  <si>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</si>
  <si>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</si>
  <si>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</si>
  <si>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</si>
  <si>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</si>
  <si>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</si>
  <si>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</si>
  <si>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</si>
  <si>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</si>
  <si>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</si>
  <si>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</si>
  <si>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</si>
  <si>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</si>
  <si>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</si>
  <si>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</si>
  <si>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</si>
  <si>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</si>
  <si>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</si>
  <si>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</si>
  <si>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</si>
  <si>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</si>
  <si>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</si>
  <si>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</si>
  <si>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THE DECKSTORE</t>
  </si>
  <si>
    <t>RUN AT 20-25UM</t>
  </si>
  <si>
    <t xml:space="preserve"> +/- 5mm</t>
  </si>
  <si>
    <t>IL51</t>
  </si>
  <si>
    <t>FEB ORDER &amp; EASTER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</si>
</sst>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20" t="str">
        <f>O9&amp;R9&amp;IF(X8="G","G","")&amp;IF(O8="Centrefold Roll","("&amp;E8&amp;")","")&amp;T9&amp;V9&amp;C22&amp;C23&amp;C24&amp;O11&amp;R11</f>
        <v>SR460136020BT</v>
      </c>
      <c r="C1" s="120"/>
      <c r="D1" s="121"/>
      <c r="E1" s="28" t="s">
        <v>56</v>
      </c>
      <c r="F1" s="142" t="s">
        <v>194</v>
      </c>
      <c r="G1" s="142"/>
      <c r="H1" s="143"/>
      <c r="I1" s="28" t="s">
        <v>180</v>
      </c>
      <c r="J1" s="144">
        <f ca="1">TODAY()</f>
        <v>44209</v>
      </c>
      <c r="K1" s="144"/>
      <c r="L1" s="145"/>
      <c r="M1" s="12"/>
      <c r="N1" s="28" t="s">
        <v>55</v>
      </c>
      <c r="O1" s="120" t="str">
        <f>B1</f>
        <v>SR460136020BT</v>
      </c>
      <c r="P1" s="120"/>
      <c r="Q1" s="121"/>
      <c r="R1" s="28" t="s">
        <v>56</v>
      </c>
      <c r="S1" s="120" t="str">
        <f>F1</f>
        <v>THE DECKSTORE</v>
      </c>
      <c r="T1" s="120"/>
      <c r="U1" s="121"/>
      <c r="V1" s="28" t="s">
        <v>180</v>
      </c>
      <c r="W1" s="144">
        <f ca="1">J1</f>
        <v>44209</v>
      </c>
      <c r="X1" s="144"/>
      <c r="Y1" s="145"/>
    </row>
    <row r="2" spans="1:25" ht="20.100000000000001" customHeight="1" x14ac:dyDescent="0.25">
      <c r="A2" s="28" t="s">
        <v>99</v>
      </c>
      <c r="B2" s="120" t="str">
        <f>IF(U10="","",U10)</f>
        <v>IL51</v>
      </c>
      <c r="C2" s="120"/>
      <c r="D2" s="121"/>
      <c r="E2" s="28" t="s">
        <v>57</v>
      </c>
      <c r="F2" s="83">
        <v>55585</v>
      </c>
      <c r="G2" s="83"/>
      <c r="H2" s="84"/>
      <c r="I2" s="28" t="s">
        <v>58</v>
      </c>
      <c r="J2" s="147">
        <v>44230</v>
      </c>
      <c r="K2" s="83"/>
      <c r="L2" s="84"/>
      <c r="M2" s="12"/>
      <c r="N2" s="28" t="s">
        <v>99</v>
      </c>
      <c r="O2" s="120" t="str">
        <f>IF(B2="","",B2)</f>
        <v>IL51</v>
      </c>
      <c r="P2" s="120"/>
      <c r="Q2" s="121"/>
      <c r="R2" s="28" t="s">
        <v>57</v>
      </c>
      <c r="S2" s="120">
        <f>IF(F2="","",F2)</f>
        <v>55585</v>
      </c>
      <c r="T2" s="120"/>
      <c r="U2" s="121"/>
      <c r="V2" s="28" t="s">
        <v>58</v>
      </c>
      <c r="W2" s="146">
        <f>J2</f>
        <v>44230</v>
      </c>
      <c r="X2" s="120"/>
      <c r="Y2" s="121"/>
    </row>
    <row r="3" spans="1:25" ht="20.100000000000001" customHeight="1" x14ac:dyDescent="0.25">
      <c r="A3" s="128" t="s">
        <v>198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 t="str">
        <f>A3</f>
        <v>FEB ORDER &amp; EASTER STOCK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00000000000001" customHeight="1" x14ac:dyDescent="0.2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00000000000001" customHeight="1" x14ac:dyDescent="0.3">
      <c r="A7" s="28" t="s">
        <v>48</v>
      </c>
      <c r="B7" s="112" t="s">
        <v>158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Rolls</v>
      </c>
      <c r="O7" s="83">
        <v>12</v>
      </c>
      <c r="P7" s="84"/>
      <c r="Q7" s="28" t="str">
        <f>IF(ISNUMBER(SEARCH("roll",O8,1)),"Per Roll","Per Carton")</f>
        <v>Per Roll</v>
      </c>
      <c r="R7" s="83">
        <v>1000</v>
      </c>
      <c r="S7" s="84"/>
      <c r="T7" s="28" t="str">
        <f>IF(ISNUMBER(SEARCH("bag",O8,1)),"Total Bags","Total Sheets")</f>
        <v>Total Sheets</v>
      </c>
      <c r="U7" s="120">
        <f>R7*O7</f>
        <v>12000</v>
      </c>
      <c r="V7" s="121"/>
      <c r="W7" s="28" t="s">
        <v>101</v>
      </c>
      <c r="X7" s="83" t="s">
        <v>22</v>
      </c>
      <c r="Y7" s="84"/>
    </row>
    <row r="8" spans="1:25" ht="20.100000000000001" customHeight="1" x14ac:dyDescent="0.25">
      <c r="A8" s="32" t="s">
        <v>15</v>
      </c>
      <c r="B8" s="108">
        <f>R9</f>
        <v>460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 t="str">
        <f>(IF(V9&lt;30,"30",V9))</f>
        <v>30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166</v>
      </c>
      <c r="P8" s="110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00000000000001" customHeight="1" x14ac:dyDescent="0.3">
      <c r="A9" s="47" t="s">
        <v>47</v>
      </c>
      <c r="B9" s="118" t="s">
        <v>196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195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SR</v>
      </c>
      <c r="P9" s="115"/>
      <c r="Q9" s="30"/>
      <c r="R9" s="13">
        <v>460</v>
      </c>
      <c r="S9" s="35" t="s">
        <v>77</v>
      </c>
      <c r="T9" s="13">
        <v>1360</v>
      </c>
      <c r="U9" s="35" t="s">
        <v>77</v>
      </c>
      <c r="V9" s="13">
        <v>20</v>
      </c>
      <c r="W9" s="30"/>
      <c r="X9" s="104"/>
      <c r="Y9" s="105"/>
    </row>
    <row r="10" spans="1:25" ht="20.100000000000001" customHeight="1" x14ac:dyDescent="0.25">
      <c r="A10" s="28" t="s">
        <v>50</v>
      </c>
      <c r="B10" s="83">
        <v>12</v>
      </c>
      <c r="C10" s="84"/>
      <c r="D10" s="55" t="s">
        <v>133</v>
      </c>
      <c r="E10" s="122">
        <f>IF(ISNUMBER(SEARCH("sheet",O8,1)),((R9*T9*H8/540000)*U7/2000*1.3),((R9*T9*H8/540000)*U7/1000*1.08))</f>
        <v>271.09333333333331</v>
      </c>
      <c r="F10" s="123"/>
      <c r="G10" s="28" t="s">
        <v>52</v>
      </c>
      <c r="H10" s="126">
        <f>IF(ISNUMBER(SEARCH("sheet",O8,1)),(U7*T9/2000*1.08),(U7*T9/1000*1.08))</f>
        <v>8812.8000000000011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 t="s">
        <v>197</v>
      </c>
      <c r="V10" s="137"/>
      <c r="W10" s="137"/>
      <c r="X10" s="137"/>
      <c r="Y10" s="138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24</v>
      </c>
      <c r="C11" s="121"/>
      <c r="D11" s="28" t="s">
        <v>134</v>
      </c>
      <c r="E11" s="124">
        <f>E10/B10</f>
        <v>22.591111111111108</v>
      </c>
      <c r="F11" s="125"/>
      <c r="G11" s="28" t="s">
        <v>14</v>
      </c>
      <c r="H11" s="124">
        <f>H10/B10</f>
        <v>734.40000000000009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00000000000001" customHeight="1" x14ac:dyDescent="0.2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12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>100</v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77" t="s">
        <v>181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00000000000001" customHeight="1" x14ac:dyDescent="0.25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/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00000000000001" customHeight="1" x14ac:dyDescent="0.25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/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Rolls</v>
      </c>
      <c r="U17" s="83" t="s">
        <v>22</v>
      </c>
      <c r="V17" s="84"/>
      <c r="W17" s="28" t="str">
        <f>IF(ISNUMBER(SEARCH("roll",O8,1)),"Total Rolls","Total Ctns")</f>
        <v>Total Rolls</v>
      </c>
      <c r="X17" s="87"/>
      <c r="Y17" s="88"/>
    </row>
    <row r="18" spans="1:25" ht="20.100000000000001" customHeight="1" x14ac:dyDescent="0.25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/>
      <c r="P18" s="84"/>
      <c r="Q18" s="28" t="s">
        <v>105</v>
      </c>
      <c r="R18" s="83" t="s">
        <v>22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00000000000001" customHeight="1" x14ac:dyDescent="0.2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00000000000001" customHeight="1" x14ac:dyDescent="0.2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00000000000001" customHeight="1" x14ac:dyDescent="0.2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00000000000001" customHeight="1" x14ac:dyDescent="0.25">
      <c r="A22" s="80" t="str">
        <f>(IF(B7="NATURAL","",B7))</f>
        <v>BLUE TINT</v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6"/>
      <c r="E22" s="81">
        <v>0.01</v>
      </c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00000000000001" customHeight="1" x14ac:dyDescent="0.25">
      <c r="A23" s="156"/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6"/>
      <c r="E23" s="81"/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44240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44230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882702-3533-45CD-8785-EDE3483F590E}"/>
</file>

<file path=customXml/itemProps2.xml><?xml version="1.0" encoding="utf-8"?>
<ds:datastoreItem xmlns:ds="http://schemas.openxmlformats.org/officeDocument/2006/customXml" ds:itemID="{194D37F5-30BA-4C37-B565-577D2B5A48F6}"/>
</file>

<file path=customXml/itemProps3.xml><?xml version="1.0" encoding="utf-8"?>
<ds:datastoreItem xmlns:ds="http://schemas.openxmlformats.org/officeDocument/2006/customXml" ds:itemID="{4EC7BA0A-2F80-46FB-A9AD-D0ABD542B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2021-01-13T01:43:18Z</cp:lastPrinted>
  <dcterms:created xsi:type="dcterms:W3CDTF">2019-11-27T23:28:06Z</dcterms:created>
  <dcterms:modified xsi:type="dcterms:W3CDTF">2021-01-13T01:43:24Z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