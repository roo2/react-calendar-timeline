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EB51CFB2-F849-44C1-805C-F4C4336CDDD9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<sst xmlns="http://schemas.openxmlformats.org/spreadsheetml/2006/main" count="304" uniqueCount="199">
  <si>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</si>
  <si>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</si>
  <si>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</si>
  <si>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</si>
  <si>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</si>
  <si>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</si>
  <si>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</si>
  <si>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</si>
  <si>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</si>
  <si>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</si>
  <si>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</si>
  <si>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</si>
  <si>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</si>
  <si>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</si>
  <si>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</si>
  <si>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</si>
  <si>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</si>
  <si>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</si>
  <si>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</si>
  <si>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</si>
  <si>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</si>
  <si>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</si>
  <si>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</si>
  <si>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</si>
  <si>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</si>
  <si>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</si>
  <si>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</si>
  <si>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</si>
  <si>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</si>
  <si>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</si>
  <si>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</si>
  <si>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</si>
  <si>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</si>
  <si>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</si>
  <si>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</si>
  <si>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</si>
  <si>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</si>
  <si>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</si>
  <si>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</si>
  <si>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</si>
  <si>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</si>
  <si>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</si>
  <si>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</si>
  <si>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</si>
  <si>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</si>
  <si>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</si>
  <si>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</si>
  <si>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</si>
  <si>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</si>
  <si>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</si>
  <si>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</si>
  <si>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</si>
  <si>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</si>
  <si>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</si>
  <si>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</si>
  <si>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</si>
  <si>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</si>
  <si>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</si>
  <si>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</si>
  <si>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</si>
  <si>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</si>
  <si>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</si>
  <si>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</si>
  <si>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</si>
  <si>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</si>
  <si>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</si>
  <si>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</si>
  <si>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</si>
  <si>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</si>
  <si>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</si>
  <si>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</si>
  <si>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</si>
  <si>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</si>
  <si>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</si>
  <si>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</si>
  <si>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</si>
  <si>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</si>
  <si>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</si>
  <si>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</si>
  <si>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</si>
  <si>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</si>
  <si>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</si>
  <si>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</si>
  <si>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</si>
  <si>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</si>
  <si>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</si>
  <si>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</si>
  <si>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</si>
  <si>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</si>
  <si>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</si>
  <si>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</si>
  <si>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</si>
  <si>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</si>
  <si>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</si>
  <si>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</si>
  <si>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</si>
  <si>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</si>
  <si>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</si>
  <si>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</si>
  <si>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</si>
  <si>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</si>
  <si>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</si>
  <si>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</si>
  <si>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</si>
  <si>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</si>
  <si>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</si>
  <si>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</si>
  <si>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</si>
  <si>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</si>
  <si>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</si>
  <si>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</si>
  <si>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</si>
  <si>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</si>
  <si>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</si>
  <si>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</si>
  <si>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</si>
  <si>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</si>
  <si>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</si>
  <si>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</si>
  <si>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</si>
  <si>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</si>
  <si>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</si>
  <si>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</si>
  <si>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</si>
  <si>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</si>
  <si>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</si>
  <si>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</si>
  <si>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</si>
  <si>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</si>
  <si>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</si>
  <si>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</si>
  <si>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</si>
  <si>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</si>
  <si>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</si>
  <si>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</si>
  <si>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</si>
  <si>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</si>
  <si>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</si>
  <si>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</si>
  <si>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</si>
  <si>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</si>
  <si>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</si>
  <si>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</si>
  <si>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</si>
  <si>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</si>
  <si>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</si>
  <si>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</si>
  <si>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</si>
  <si>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</si>
  <si>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</si>
  <si>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</si>
  <si>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</si>
  <si>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</si>
  <si>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</si>
  <si>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</si>
  <si>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</si>
  <si>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</si>
  <si>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</si>
  <si>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</si>
  <si>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</si>
  <si>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</si>
  <si>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</si>
  <si>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</si>
  <si>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</si>
  <si>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</si>
  <si>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</si>
  <si>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</si>
  <si>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</si>
  <si>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</si>
  <si>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</si>
  <si>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</si>
  <si>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</si>
  <si>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</si>
  <si>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</si>
  <si>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</si>
  <si>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</si>
  <si>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</si>
  <si>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</si>
  <si>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</si>
  <si>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</si>
  <si>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</si>
  <si>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</si>
  <si>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</si>
  <si>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</si>
  <si>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</si>
  <si>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</si>
  <si>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</si>
  <si>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</si>
  <si>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</si>
  <si>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</si>
  <si>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</si>
  <si>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</si>
  <si>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</si>
  <si>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</si>
  <si>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+/-3mm</t>
  </si>
  <si>
    <t>NOT UNDER</t>
  </si>
  <si>
    <t>FOOD GRADE - MUST BE CORRECT WIDTH AND LENGTH</t>
  </si>
  <si>
    <t>DAVES POPCORN</t>
  </si>
  <si>
    <t>20.11.2022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</si>
</sst>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PB23550038</v>
      </c>
      <c r="C1" s="108"/>
      <c r="D1" s="109"/>
      <c r="E1" s="11" t="s">
        <v>57</v>
      </c>
      <c r="F1" s="62" t="s">
        <v>197</v>
      </c>
      <c r="G1" s="62"/>
      <c r="H1" s="63"/>
      <c r="I1" s="12" t="s">
        <v>181</v>
      </c>
      <c r="J1" s="119">
        <f ca="1">TODAY()</f>
        <v>44848</v>
      </c>
      <c r="K1" s="119"/>
      <c r="L1" s="120"/>
      <c r="M1" s="29"/>
      <c r="N1" s="11" t="s">
        <v>56</v>
      </c>
      <c r="O1" s="108" t="str">
        <f>B1</f>
        <v>PB23550038</v>
      </c>
      <c r="P1" s="108"/>
      <c r="Q1" s="109"/>
      <c r="R1" s="11" t="s">
        <v>57</v>
      </c>
      <c r="S1" s="108" t="str">
        <f>F1</f>
        <v>DAVES POPCORN</v>
      </c>
      <c r="T1" s="108"/>
      <c r="U1" s="109"/>
      <c r="V1" s="11" t="s">
        <v>181</v>
      </c>
      <c r="W1" s="119">
        <f ca="1">J1</f>
        <v>44848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944358</v>
      </c>
      <c r="G2" s="62"/>
      <c r="H2" s="63"/>
      <c r="I2" s="11" t="s">
        <v>59</v>
      </c>
      <c r="J2" s="122" t="s">
        <v>198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944358</v>
      </c>
      <c r="T2" s="108"/>
      <c r="U2" s="109"/>
      <c r="V2" s="11" t="s">
        <v>59</v>
      </c>
      <c r="W2" s="121" t="str">
        <f>J2</f>
        <v>20.11.2022</v>
      </c>
      <c r="X2" s="108"/>
      <c r="Y2" s="109"/>
    </row>
    <row r="3" spans="1:25" ht="20.149999999999999" customHeight="1" x14ac:dyDescent="0.75">
      <c r="A3" s="110" t="s">
        <v>196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FOOD GRADE - MUST BE CORRECT WIDTH AND LENGTH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6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08">
        <f>R7*O7</f>
        <v>6000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235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38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195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235</v>
      </c>
      <c r="S9" s="18" t="s">
        <v>78</v>
      </c>
      <c r="T9" s="30">
        <v>500</v>
      </c>
      <c r="U9" s="18" t="s">
        <v>78</v>
      </c>
      <c r="V9" s="30">
        <v>38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4</v>
      </c>
      <c r="C10" s="63"/>
      <c r="D10" s="47" t="s">
        <v>134</v>
      </c>
      <c r="E10" s="127">
        <f>IF(ISNUMBER(SEARCH("sheet",O8,1)),((R9*T9*H8/540000)*U7/2000*1.3),((R9*T9*H8/540000)*U7/1000*1.08))</f>
        <v>53.580000000000005</v>
      </c>
      <c r="F10" s="128"/>
      <c r="G10" s="11" t="s">
        <v>53</v>
      </c>
      <c r="H10" s="131">
        <f>IF(ISNUMBER(SEARCH("sheet",O8,1)),(U7*T9/2000*1.08),(U7*T9/1000*1.08))</f>
        <v>3240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13.395000000000001</v>
      </c>
      <c r="F11" s="130"/>
      <c r="G11" s="11" t="s">
        <v>15</v>
      </c>
      <c r="H11" s="129">
        <f>H10/B10</f>
        <v>810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6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38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44879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44869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9DB1677-1879-42FF-8A93-234788EB53DF}"/>
</file>

<file path=customXml/itemProps2.xml><?xml version="1.0" encoding="utf-8"?>
<ds:datastoreItem xmlns:ds="http://schemas.openxmlformats.org/officeDocument/2006/customXml" ds:itemID="{1B26EBF3-6302-456B-ACD4-E825B65C3B20}"/>
</file>

<file path=customXml/itemProps3.xml><?xml version="1.0" encoding="utf-8"?>
<ds:datastoreItem xmlns:ds="http://schemas.openxmlformats.org/officeDocument/2006/customXml" ds:itemID="{ED296FA2-E3CB-4D22-BA70-FC5407CE6E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2022-10-14T00:35:23Z</cp:lastPrinted>
  <dcterms:created xsi:type="dcterms:W3CDTF">2019-11-27T23:28:06Z</dcterms:created>
  <dcterms:modified xsi:type="dcterms:W3CDTF">2022-10-14T00:35:31Z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