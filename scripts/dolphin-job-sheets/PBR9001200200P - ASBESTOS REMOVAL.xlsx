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45170AA-45D3-4915-8570-9A353A0D5CF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<sst xmlns="http://schemas.openxmlformats.org/spreadsheetml/2006/main" count="304" uniqueCount="200">
  <si>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</si>
  <si>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</si>
  <si>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</si>
  <si>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</si>
  <si>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</si>
  <si>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</si>
  <si>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</si>
  <si>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</si>
  <si>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</si>
  <si>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</si>
  <si>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</si>
  <si>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</si>
  <si>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</si>
  <si>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</si>
  <si>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</si>
  <si>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</si>
  <si>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</si>
  <si>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</si>
  <si>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</si>
  <si>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</si>
  <si>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</si>
  <si>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</si>
  <si>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</si>
  <si>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</si>
  <si>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</si>
  <si>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</si>
  <si>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</si>
  <si>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</si>
  <si>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</si>
  <si>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</si>
  <si>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</si>
  <si>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</si>
  <si>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</si>
  <si>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</si>
  <si>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</si>
  <si>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</si>
  <si>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</si>
  <si>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</si>
  <si>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</si>
  <si>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</si>
  <si>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</si>
  <si>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</si>
  <si>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</si>
  <si>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</si>
  <si>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</si>
  <si>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</si>
  <si>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</si>
  <si>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</si>
  <si>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</si>
  <si>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</si>
  <si>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</si>
  <si>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</si>
  <si>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</si>
  <si>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</si>
  <si>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</si>
  <si>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</si>
  <si>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</si>
  <si>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</si>
  <si>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</si>
  <si>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</si>
  <si>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</si>
  <si>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</si>
  <si>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</si>
  <si>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</si>
  <si>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</si>
  <si>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</si>
  <si>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</si>
  <si>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</si>
  <si>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</si>
  <si>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</si>
  <si>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</si>
  <si>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</si>
  <si>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</si>
  <si>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</si>
  <si>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</si>
  <si>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</si>
  <si>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</si>
  <si>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</si>
  <si>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</si>
  <si>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</si>
  <si>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</si>
  <si>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</si>
  <si>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</si>
  <si>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</si>
  <si>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</si>
  <si>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</si>
  <si>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</si>
  <si>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</si>
  <si>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</si>
  <si>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</si>
  <si>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</si>
  <si>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</si>
  <si>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</si>
  <si>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</si>
  <si>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</si>
  <si>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</si>
  <si>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</si>
  <si>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</si>
  <si>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</si>
  <si>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</si>
  <si>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</si>
  <si>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</si>
  <si>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</si>
  <si>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</si>
  <si>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</si>
  <si>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</si>
  <si>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</si>
  <si>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</si>
  <si>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</si>
  <si>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</si>
  <si>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</si>
  <si>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</si>
  <si>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</si>
  <si>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</si>
  <si>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</si>
  <si>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</si>
  <si>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</si>
  <si>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</si>
  <si>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</si>
  <si>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</si>
  <si>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</si>
  <si>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</si>
  <si>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</si>
  <si>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</si>
  <si>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</si>
  <si>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</si>
  <si>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</si>
  <si>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</si>
  <si>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</si>
  <si>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</si>
  <si>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</si>
  <si>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</si>
  <si>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</si>
  <si>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</si>
  <si>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</si>
  <si>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</si>
  <si>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</si>
  <si>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</si>
  <si>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</si>
  <si>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</si>
  <si>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</si>
  <si>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</si>
  <si>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</si>
  <si>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</si>
  <si>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</si>
  <si>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</si>
  <si>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</si>
  <si>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</si>
  <si>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</si>
  <si>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</si>
  <si>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</si>
  <si>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</si>
  <si>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</si>
  <si>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</si>
  <si>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</si>
  <si>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</si>
  <si>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</si>
  <si>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</si>
  <si>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</si>
  <si>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</si>
  <si>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</si>
  <si>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</si>
  <si>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</si>
  <si>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</si>
  <si>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</si>
  <si>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</si>
  <si>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</si>
  <si>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</si>
  <si>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</si>
  <si>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</si>
  <si>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</si>
  <si>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</si>
  <si>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</si>
  <si>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</si>
  <si>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</si>
  <si>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</si>
  <si>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</si>
  <si>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</si>
  <si>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</si>
  <si>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</si>
  <si>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</si>
  <si>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</si>
  <si>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</si>
  <si>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</si>
  <si>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</si>
  <si>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</si>
  <si>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</si>
  <si>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</si>
  <si>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</si>
  <si>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</si>
  <si>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</si>
  <si>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</si>
  <si>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</si>
  <si>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</si>
  <si>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"ASBESTOS REMOVAL"</t>
  </si>
  <si>
    <t>190UM</t>
  </si>
  <si>
    <t>PRINT INLINE</t>
  </si>
  <si>
    <t xml:space="preserve"> +/- 10mm</t>
  </si>
  <si>
    <t>LIMAX</t>
  </si>
  <si>
    <t>TOTALLY WORKWEAR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</si>
</sst>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16" fontId="10" fillId="5" borderId="2" xfId="0" applyNumberFormat="1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PBR9001200200P</v>
      </c>
      <c r="C1" s="124"/>
      <c r="D1" s="125"/>
      <c r="E1" s="12" t="s">
        <v>57</v>
      </c>
      <c r="F1" s="135" t="s">
        <v>199</v>
      </c>
      <c r="G1" s="135"/>
      <c r="H1" s="136"/>
      <c r="I1" s="13" t="s">
        <v>181</v>
      </c>
      <c r="J1" s="137">
        <f ca="1">TODAY()</f>
        <v>44228</v>
      </c>
      <c r="K1" s="137"/>
      <c r="L1" s="138"/>
      <c r="M1" s="34"/>
      <c r="N1" s="12" t="s">
        <v>56</v>
      </c>
      <c r="O1" s="124" t="str">
        <f>B1</f>
        <v>PBR9001200200P</v>
      </c>
      <c r="P1" s="124"/>
      <c r="Q1" s="125"/>
      <c r="R1" s="12" t="s">
        <v>57</v>
      </c>
      <c r="S1" s="124" t="str">
        <f>F1</f>
        <v>TOTALLY WORKWEAR</v>
      </c>
      <c r="T1" s="124"/>
      <c r="U1" s="125"/>
      <c r="V1" s="12" t="s">
        <v>181</v>
      </c>
      <c r="W1" s="137">
        <f ca="1">J1</f>
        <v>44228</v>
      </c>
      <c r="X1" s="137"/>
      <c r="Y1" s="138"/>
    </row>
    <row r="2" spans="1:28" ht="20.100000000000001" customHeight="1" x14ac:dyDescent="0.25">
      <c r="A2" s="12" t="s">
        <v>100</v>
      </c>
      <c r="B2" s="124" t="str">
        <f>IF(U10="","",U10)</f>
        <v/>
      </c>
      <c r="C2" s="124"/>
      <c r="D2" s="125"/>
      <c r="E2" s="12" t="s">
        <v>58</v>
      </c>
      <c r="F2" s="73">
        <v>939470</v>
      </c>
      <c r="G2" s="73"/>
      <c r="H2" s="74"/>
      <c r="I2" s="12" t="s">
        <v>59</v>
      </c>
      <c r="J2" s="140">
        <v>44249</v>
      </c>
      <c r="K2" s="73"/>
      <c r="L2" s="74"/>
      <c r="M2" s="34"/>
      <c r="N2" s="12" t="s">
        <v>100</v>
      </c>
      <c r="O2" s="124" t="str">
        <f>IF(B2="","",B2)</f>
        <v/>
      </c>
      <c r="P2" s="124"/>
      <c r="Q2" s="125"/>
      <c r="R2" s="12" t="s">
        <v>58</v>
      </c>
      <c r="S2" s="124">
        <f>IF(F2="","",F2)</f>
        <v>939470</v>
      </c>
      <c r="T2" s="124"/>
      <c r="U2" s="125"/>
      <c r="V2" s="12" t="s">
        <v>59</v>
      </c>
      <c r="W2" s="139">
        <f>J2</f>
        <v>44249</v>
      </c>
      <c r="X2" s="124"/>
      <c r="Y2" s="125"/>
    </row>
    <row r="3" spans="1:28" ht="20.100000000000001" customHeight="1" x14ac:dyDescent="0.25">
      <c r="A3" s="126" t="s">
        <v>196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4"/>
      <c r="N3" s="126" t="str">
        <f>A3</f>
        <v>PRINT INLINE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4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4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6" t="s">
        <v>163</v>
      </c>
      <c r="C7" s="116"/>
      <c r="D7" s="116"/>
      <c r="E7" s="116"/>
      <c r="F7" s="116"/>
      <c r="G7" s="116"/>
      <c r="H7" s="116"/>
      <c r="I7" s="117"/>
      <c r="J7" s="78" t="s">
        <v>179</v>
      </c>
      <c r="K7" s="78"/>
      <c r="L7" s="79"/>
      <c r="M7" s="34"/>
      <c r="N7" s="12" t="str">
        <f>IF(ISNUMBER(SEARCH("roll",O8,1)),"No. Rolls","No. Cartons")</f>
        <v>No. Rolls</v>
      </c>
      <c r="O7" s="73">
        <v>20</v>
      </c>
      <c r="P7" s="74"/>
      <c r="Q7" s="12" t="str">
        <f>IF(ISNUMBER(SEARCH("roll",O8,1)),"Per Roll","Per Carton")</f>
        <v>Per Roll</v>
      </c>
      <c r="R7" s="73">
        <v>50</v>
      </c>
      <c r="S7" s="74"/>
      <c r="T7" s="12" t="str">
        <f>IF(ISNUMBER(SEARCH("bag",O8,1)),"Total Bags","Total Sheets")</f>
        <v>Total Bags</v>
      </c>
      <c r="U7" s="124">
        <f>R7*O7</f>
        <v>1000</v>
      </c>
      <c r="V7" s="125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900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200</v>
      </c>
      <c r="I8" s="112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4"/>
      <c r="N8" s="16" t="s">
        <v>54</v>
      </c>
      <c r="O8" s="113" t="s">
        <v>165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6" t="s">
        <v>197</v>
      </c>
      <c r="C9" s="145"/>
      <c r="D9" s="153" t="str">
        <f>IF(K10="Middle","RUN 2 UP",IF(AND(O8="Centrefold Roll",B8=380),"RUN 2 UP",""))</f>
        <v/>
      </c>
      <c r="E9" s="116"/>
      <c r="F9" s="117"/>
      <c r="G9" s="18" t="s">
        <v>48</v>
      </c>
      <c r="H9" s="144" t="s">
        <v>195</v>
      </c>
      <c r="I9" s="145"/>
      <c r="J9" s="12" t="s">
        <v>55</v>
      </c>
      <c r="K9" s="73" t="s">
        <v>30</v>
      </c>
      <c r="L9" s="74"/>
      <c r="M9" s="34"/>
      <c r="N9" s="19"/>
      <c r="O9" s="118" t="str">
        <f>IF(O8="Poly Bag","PB",IF(O8="Poly Bag Roll","PBR",IF(O8="Centrefold Roll","CFR",IF(O8="Sheet","S",IF(O8="Sheet Roll","SR")))))</f>
        <v>PBR</v>
      </c>
      <c r="P9" s="119"/>
      <c r="Q9" s="19"/>
      <c r="R9" s="35">
        <v>900</v>
      </c>
      <c r="S9" s="20" t="s">
        <v>78</v>
      </c>
      <c r="T9" s="35">
        <v>1200</v>
      </c>
      <c r="U9" s="20" t="s">
        <v>78</v>
      </c>
      <c r="V9" s="35">
        <v>200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20</v>
      </c>
      <c r="C10" s="74"/>
      <c r="D10" s="54" t="s">
        <v>134</v>
      </c>
      <c r="E10" s="147">
        <f>IF(ISNUMBER(SEARCH("sheet",O8,1)),((R9*T9*H8/540000)*U7/2000*1.3),((R9*T9*H8/540000)*U7/1000*1.08))</f>
        <v>432</v>
      </c>
      <c r="F10" s="148"/>
      <c r="G10" s="12" t="s">
        <v>53</v>
      </c>
      <c r="H10" s="151">
        <f>IF(ISNUMBER(SEARCH("sheet",O8,1)),(U7*T9/2000*1.08),(U7*T9/1000*1.08))</f>
        <v>1296</v>
      </c>
      <c r="I10" s="152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Yes</v>
      </c>
      <c r="S10" s="109"/>
      <c r="T10" s="16" t="s">
        <v>100</v>
      </c>
      <c r="U10" s="120"/>
      <c r="V10" s="120"/>
      <c r="W10" s="120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49">
        <f>E10/B10</f>
        <v>21.6</v>
      </c>
      <c r="F11" s="150"/>
      <c r="G11" s="12" t="s">
        <v>15</v>
      </c>
      <c r="H11" s="149">
        <f>H10/B10</f>
        <v>64.8</v>
      </c>
      <c r="I11" s="150"/>
      <c r="J11" s="12" t="s">
        <v>50</v>
      </c>
      <c r="K11" s="73" t="s">
        <v>65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>P</v>
      </c>
      <c r="S11" s="112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70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151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 t="s">
        <v>194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7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7" t="s">
        <v>4</v>
      </c>
      <c r="F16" s="157"/>
      <c r="G16" s="157" t="s">
        <v>5</v>
      </c>
      <c r="H16" s="157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130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37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Rolls</v>
      </c>
      <c r="U17" s="73" t="s">
        <v>23</v>
      </c>
      <c r="V17" s="74"/>
      <c r="W17" s="12" t="str">
        <f>IF(ISNUMBER(SEARCH("roll",O8,1)),"Total Rolls","Total Ctns")</f>
        <v>Total Rolls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172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8"/>
      <c r="B23" s="158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9"/>
      <c r="B24" s="160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198</v>
      </c>
      <c r="P25" s="39"/>
      <c r="Q25" s="10">
        <v>18</v>
      </c>
      <c r="R25" s="10"/>
      <c r="S25" s="10"/>
      <c r="T25" s="10"/>
      <c r="U25" s="10"/>
      <c r="V25" s="10"/>
      <c r="W25" s="10">
        <v>18</v>
      </c>
      <c r="X25" s="10">
        <v>16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4" t="s">
        <v>136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44256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44249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400B823-9851-4A22-9901-677E58159CCB}"/>
</file>

<file path=customXml/itemProps2.xml><?xml version="1.0" encoding="utf-8"?>
<ds:datastoreItem xmlns:ds="http://schemas.openxmlformats.org/officeDocument/2006/customXml" ds:itemID="{0477EADA-4A1F-422D-B007-6851B861504A}"/>
</file>

<file path=customXml/itemProps3.xml><?xml version="1.0" encoding="utf-8"?>
<ds:datastoreItem xmlns:ds="http://schemas.openxmlformats.org/officeDocument/2006/customXml" ds:itemID="{8D72E57B-60F3-4C41-B2E1-72A4B4686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2021-02-01T01:31:38Z</cp:lastPrinted>
  <dcterms:created xsi:type="dcterms:W3CDTF">2019-11-27T23:28:06Z</dcterms:created>
  <dcterms:modified xsi:type="dcterms:W3CDTF">2021-02-01T01:37:59Z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