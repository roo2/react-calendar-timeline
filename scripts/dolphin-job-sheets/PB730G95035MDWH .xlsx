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75B41D3-6E7C-4F7C-B9AA-A52B34216F1B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<sst xmlns="http://schemas.openxmlformats.org/spreadsheetml/2006/main" count="305" uniqueCount="200">
  <si>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</si>
  <si>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</si>
  <si>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</si>
  <si>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</si>
  <si>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</si>
  <si>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</si>
  <si>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</si>
  <si>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</si>
  <si>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</si>
  <si>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</si>
  <si>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</si>
  <si>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</si>
  <si>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</si>
  <si>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</si>
  <si>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</si>
  <si>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</si>
  <si>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</si>
  <si>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</si>
  <si>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</si>
  <si>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</si>
  <si>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</si>
  <si>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</si>
  <si>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</si>
  <si>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</si>
  <si>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</si>
  <si>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</si>
  <si>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</si>
  <si>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</si>
  <si>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</si>
  <si>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</si>
  <si>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</si>
  <si>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</si>
  <si>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</si>
  <si>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</si>
  <si>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</si>
  <si>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</si>
  <si>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</si>
  <si>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</si>
  <si>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</si>
  <si>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</si>
  <si>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</si>
  <si>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</si>
  <si>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</si>
  <si>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</si>
  <si>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</si>
  <si>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</si>
  <si>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</si>
  <si>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</si>
  <si>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</si>
  <si>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</si>
  <si>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</si>
  <si>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</si>
  <si>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</si>
  <si>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</si>
  <si>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</si>
  <si>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</si>
  <si>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</si>
  <si>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</si>
  <si>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</si>
  <si>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</si>
  <si>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</si>
  <si>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</si>
  <si>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</si>
  <si>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</si>
  <si>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</si>
  <si>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</si>
  <si>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</si>
  <si>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</si>
  <si>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</si>
  <si>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</si>
  <si>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</si>
  <si>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</si>
  <si>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</si>
  <si>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</si>
  <si>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</si>
  <si>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</si>
  <si>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</si>
  <si>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</si>
  <si>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</si>
  <si>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</si>
  <si>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</si>
  <si>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</si>
  <si>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</si>
  <si>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</si>
  <si>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</si>
  <si>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</si>
  <si>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</si>
  <si>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</si>
  <si>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</si>
  <si>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</si>
  <si>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</si>
  <si>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</si>
  <si>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</si>
  <si>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</si>
  <si>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</si>
  <si>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</si>
  <si>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</si>
  <si>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</si>
  <si>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</si>
  <si>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</si>
  <si>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</si>
  <si>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</si>
  <si>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</si>
  <si>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</si>
  <si>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</si>
  <si>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</si>
  <si>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</si>
  <si>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</si>
  <si>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</si>
  <si>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</si>
  <si>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</si>
  <si>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</si>
  <si>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</si>
  <si>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</si>
  <si>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</si>
  <si>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</si>
  <si>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</si>
  <si>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</si>
  <si>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</si>
  <si>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</si>
  <si>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</si>
  <si>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</si>
  <si>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</si>
  <si>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</si>
  <si>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</si>
  <si>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</si>
  <si>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</si>
  <si>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</si>
  <si>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</si>
  <si>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</si>
  <si>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</si>
  <si>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</si>
  <si>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</si>
  <si>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</si>
  <si>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</si>
  <si>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</si>
  <si>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</si>
  <si>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</si>
  <si>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</si>
  <si>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</si>
  <si>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</si>
  <si>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</si>
  <si>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</si>
  <si>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</si>
  <si>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</si>
  <si>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</si>
  <si>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</si>
  <si>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</si>
  <si>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</si>
  <si>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</si>
  <si>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</si>
  <si>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</si>
  <si>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</si>
  <si>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</si>
  <si>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</si>
  <si>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</si>
  <si>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</si>
  <si>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</si>
  <si>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</si>
  <si>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</si>
  <si>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</si>
  <si>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</si>
  <si>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</si>
  <si>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</si>
  <si>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</si>
  <si>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</si>
  <si>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</si>
  <si>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</si>
  <si>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</si>
  <si>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</si>
  <si>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</si>
  <si>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</si>
  <si>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</si>
  <si>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</si>
  <si>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</si>
  <si>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</si>
  <si>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</si>
  <si>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</si>
  <si>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</si>
  <si>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</si>
  <si>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</si>
  <si>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</si>
  <si>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</si>
  <si>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</si>
  <si>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</si>
  <si>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</si>
  <si>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</si>
  <si>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</si>
  <si>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</si>
  <si>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</si>
  <si>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</si>
  <si>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</si>
  <si>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</si>
  <si>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NOT OVER</t>
  </si>
  <si>
    <t xml:space="preserve"> +/- 5mm</t>
  </si>
  <si>
    <t>Centrefold Roll</t>
  </si>
  <si>
    <t>(450+280)</t>
  </si>
  <si>
    <t>NORTHSIDE CLEANING</t>
  </si>
  <si>
    <t>730MDWH</t>
  </si>
  <si>
    <t>LIMAX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</si>
</sst>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00000000000001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PB730G95035WH</v>
      </c>
      <c r="C1" s="111"/>
      <c r="D1" s="112"/>
      <c r="E1" s="11" t="s">
        <v>57</v>
      </c>
      <c r="F1" s="87" t="s">
        <v>197</v>
      </c>
      <c r="G1" s="87"/>
      <c r="H1" s="88"/>
      <c r="I1" s="12" t="s">
        <v>181</v>
      </c>
      <c r="J1" s="84">
        <f ca="1">TODAY()</f>
        <v>45009</v>
      </c>
      <c r="K1" s="84"/>
      <c r="L1" s="85"/>
      <c r="M1" s="29"/>
      <c r="N1" s="11" t="s">
        <v>56</v>
      </c>
      <c r="O1" s="111" t="str">
        <f>B1</f>
        <v>PB730G95035WH</v>
      </c>
      <c r="P1" s="111"/>
      <c r="Q1" s="112"/>
      <c r="R1" s="11" t="s">
        <v>57</v>
      </c>
      <c r="S1" s="111" t="str">
        <f>F1</f>
        <v>NORTHSIDE CLEANING</v>
      </c>
      <c r="T1" s="111"/>
      <c r="U1" s="112"/>
      <c r="V1" s="11" t="s">
        <v>181</v>
      </c>
      <c r="W1" s="84">
        <f ca="1">J1</f>
        <v>45009</v>
      </c>
      <c r="X1" s="84"/>
      <c r="Y1" s="85"/>
    </row>
    <row r="2" spans="1:25" ht="20.100000000000001" customHeight="1" x14ac:dyDescent="0.8">
      <c r="A2" s="11" t="s">
        <v>100</v>
      </c>
      <c r="B2" s="111" t="str">
        <f>IF(U10="","",U10)</f>
        <v>730MDWH</v>
      </c>
      <c r="C2" s="111"/>
      <c r="D2" s="112"/>
      <c r="E2" s="11" t="s">
        <v>58</v>
      </c>
      <c r="F2" s="87">
        <v>945027</v>
      </c>
      <c r="G2" s="87"/>
      <c r="H2" s="88"/>
      <c r="I2" s="11" t="s">
        <v>59</v>
      </c>
      <c r="J2" s="86" t="s">
        <v>192</v>
      </c>
      <c r="K2" s="87"/>
      <c r="L2" s="88"/>
      <c r="M2" s="29"/>
      <c r="N2" s="11" t="s">
        <v>100</v>
      </c>
      <c r="O2" s="111" t="str">
        <f>IF(B2="","",B2)</f>
        <v>730MDWH</v>
      </c>
      <c r="P2" s="111"/>
      <c r="Q2" s="112"/>
      <c r="R2" s="11" t="s">
        <v>58</v>
      </c>
      <c r="S2" s="111">
        <f>IF(F2="","",F2)</f>
        <v>945027</v>
      </c>
      <c r="T2" s="111"/>
      <c r="U2" s="112"/>
      <c r="V2" s="11" t="s">
        <v>59</v>
      </c>
      <c r="W2" s="122" t="str">
        <f>J2</f>
        <v>ASAP</v>
      </c>
      <c r="X2" s="111"/>
      <c r="Y2" s="112"/>
    </row>
    <row r="3" spans="1:25" ht="20.100000000000001" customHeight="1" x14ac:dyDescent="0.75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>
        <f>A3</f>
        <v>0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00000000000001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00000000000001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00000000000001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00000000000001" customHeight="1" x14ac:dyDescent="0.9">
      <c r="A7" s="11" t="s">
        <v>49</v>
      </c>
      <c r="B7" s="108" t="s">
        <v>155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35</v>
      </c>
      <c r="P7" s="88"/>
      <c r="Q7" s="11" t="str">
        <f>IF(ISNUMBER(SEARCH("roll",O8,1)),"Per Roll","Per Carton")</f>
        <v>Per Carton</v>
      </c>
      <c r="R7" s="87">
        <v>200</v>
      </c>
      <c r="S7" s="88"/>
      <c r="T7" s="11" t="str">
        <f>IF(ISNUMBER(SEARCH("bag",O8,1)),"Total Bags","Total Sheets")</f>
        <v>Total Bags</v>
      </c>
      <c r="U7" s="111">
        <f>R7*O7</f>
        <v>7000</v>
      </c>
      <c r="V7" s="112"/>
      <c r="W7" s="11" t="s">
        <v>102</v>
      </c>
      <c r="X7" s="87" t="s">
        <v>31</v>
      </c>
      <c r="Y7" s="88"/>
    </row>
    <row r="8" spans="1:25" ht="20.100000000000001" customHeight="1" x14ac:dyDescent="0.8">
      <c r="A8" s="13" t="s">
        <v>16</v>
      </c>
      <c r="B8" s="89">
        <f>R9</f>
        <v>730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(450+280)</v>
      </c>
      <c r="F8" s="90"/>
      <c r="G8" s="13" t="s">
        <v>52</v>
      </c>
      <c r="H8" s="89">
        <f>(IF(V9&lt;30,"30",V9))</f>
        <v>35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Gusset Tube</v>
      </c>
      <c r="L8" s="112"/>
      <c r="M8" s="29"/>
      <c r="N8" s="14" t="s">
        <v>54</v>
      </c>
      <c r="O8" s="125" t="s">
        <v>164</v>
      </c>
      <c r="P8" s="126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G</v>
      </c>
      <c r="Y8" s="124"/>
    </row>
    <row r="9" spans="1:25" ht="20.100000000000001" customHeight="1" x14ac:dyDescent="0.9">
      <c r="A9" s="16" t="s">
        <v>48</v>
      </c>
      <c r="B9" s="99" t="s">
        <v>194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193</v>
      </c>
      <c r="I9" s="100"/>
      <c r="J9" s="11" t="s">
        <v>55</v>
      </c>
      <c r="K9" s="87" t="s">
        <v>30</v>
      </c>
      <c r="L9" s="88"/>
      <c r="M9" s="29"/>
      <c r="N9" s="17"/>
      <c r="O9" s="127" t="str">
        <f>IF(O8="Poly Bag","PB",IF(O8="Poly Bag Roll","PBR",IF(O8="Centrefold Roll","CFR",IF(O8="Sheet","S",IF(O8="Sheet Roll","SR")))))</f>
        <v>PB</v>
      </c>
      <c r="P9" s="128"/>
      <c r="Q9" s="17"/>
      <c r="R9" s="30">
        <v>730</v>
      </c>
      <c r="S9" s="18" t="s">
        <v>78</v>
      </c>
      <c r="T9" s="30">
        <v>950</v>
      </c>
      <c r="U9" s="18" t="s">
        <v>78</v>
      </c>
      <c r="V9" s="30">
        <v>35</v>
      </c>
      <c r="W9" s="17"/>
      <c r="X9" s="136" t="s">
        <v>196</v>
      </c>
      <c r="Y9" s="137"/>
    </row>
    <row r="10" spans="1:25" ht="20.100000000000001" customHeight="1" x14ac:dyDescent="0.8">
      <c r="A10" s="11" t="s">
        <v>51</v>
      </c>
      <c r="B10" s="87">
        <v>10</v>
      </c>
      <c r="C10" s="88"/>
      <c r="D10" s="47" t="s">
        <v>134</v>
      </c>
      <c r="E10" s="101">
        <f>IF(ISNUMBER(SEARCH("sheet",O8,1)),((R9*T9*H8/540000)*U7/2000*1.3),((R9*T9*H8/540000)*U7/1000*1.08))</f>
        <v>339.81500000000005</v>
      </c>
      <c r="F10" s="102"/>
      <c r="G10" s="11" t="s">
        <v>53</v>
      </c>
      <c r="H10" s="105">
        <f>IF(ISNUMBER(SEARCH("sheet",O8,1)),(U7*T9/2000*1.08),(U7*T9/1000*1.08))</f>
        <v>7182.0000000000009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5" t="s">
        <v>44</v>
      </c>
      <c r="P10" s="126"/>
      <c r="Q10" s="14" t="s">
        <v>50</v>
      </c>
      <c r="R10" s="123" t="str">
        <f>IF(K11="NONE","None",IF(K11="INLINE","Yes",IF(K11="OUT OF LINE","Yes")))</f>
        <v>None</v>
      </c>
      <c r="S10" s="123"/>
      <c r="T10" s="14" t="s">
        <v>100</v>
      </c>
      <c r="U10" s="130" t="s">
        <v>198</v>
      </c>
      <c r="V10" s="130"/>
      <c r="W10" s="130"/>
      <c r="X10" s="130"/>
      <c r="Y10" s="131"/>
    </row>
    <row r="11" spans="1:25" ht="20.100000000000001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33.981500000000004</v>
      </c>
      <c r="F11" s="104"/>
      <c r="G11" s="11" t="s">
        <v>15</v>
      </c>
      <c r="H11" s="103">
        <f>H10/B10</f>
        <v>718.2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2"/>
      <c r="V11" s="132"/>
      <c r="W11" s="132"/>
      <c r="X11" s="132"/>
      <c r="Y11" s="133"/>
    </row>
    <row r="12" spans="1:25" ht="20.100000000000001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00000000000001" customHeight="1" x14ac:dyDescent="0.8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35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/>
      <c r="X13" s="11" t="s">
        <v>76</v>
      </c>
      <c r="Y13" s="32"/>
    </row>
    <row r="14" spans="1:25" ht="20.100000000000001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00000000000001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00000000000001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>
        <v>110</v>
      </c>
      <c r="P16" s="88"/>
      <c r="Q16" s="11" t="s">
        <v>105</v>
      </c>
      <c r="R16" s="87" t="s">
        <v>23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39"/>
      <c r="Y16" s="140"/>
    </row>
    <row r="17" spans="1:25" ht="20.100000000000001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37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39"/>
      <c r="Y17" s="140"/>
    </row>
    <row r="18" spans="1:25" ht="20.100000000000001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172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39"/>
      <c r="Y18" s="140"/>
    </row>
    <row r="19" spans="1:25" ht="20.100000000000001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00000000000001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00000000000001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00000000000001" customHeight="1" x14ac:dyDescent="0.75">
      <c r="A22" s="74" t="str">
        <f>(IF(B7="NATURAL","",B7))</f>
        <v>WHITE</v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00000000000001" customHeight="1" x14ac:dyDescent="0.75">
      <c r="A23" s="79"/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8"/>
      <c r="E23" s="82"/>
      <c r="F23" s="83"/>
      <c r="G23" s="48" t="s">
        <v>87</v>
      </c>
      <c r="H23" s="32"/>
      <c r="I23" s="82"/>
      <c r="J23" s="83"/>
      <c r="K23" s="82"/>
      <c r="L23" s="83"/>
      <c r="M23" s="29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00000000000001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199</v>
      </c>
      <c r="P25" s="34"/>
      <c r="Q25" s="10">
        <v>26</v>
      </c>
      <c r="R25" s="10"/>
      <c r="S25" s="10"/>
      <c r="T25" s="10"/>
      <c r="U25" s="10"/>
      <c r="V25" s="10"/>
      <c r="W25" s="10">
        <v>16</v>
      </c>
      <c r="X25" s="10">
        <v>12</v>
      </c>
      <c r="Y25" s="10"/>
    </row>
    <row r="26" spans="1:25" ht="20.100000000000001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8" t="s">
        <v>132</v>
      </c>
      <c r="H26" s="138"/>
      <c r="I26" s="138" t="s">
        <v>131</v>
      </c>
      <c r="J26" s="138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00000000000001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7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75">
      <c r="N43" s="51"/>
    </row>
    <row r="44" spans="1:25" ht="20.100000000000001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75"/>
    <row r="87" spans="1:25" ht="20.100000000000001" customHeight="1" x14ac:dyDescent="0.75"/>
    <row r="88" spans="1:25" ht="20.100000000000001" customHeight="1" x14ac:dyDescent="0.75"/>
    <row r="89" spans="1:25" ht="20.100000000000001" customHeight="1" x14ac:dyDescent="0.75"/>
    <row r="90" spans="1:25" ht="20.100000000000001" customHeight="1" x14ac:dyDescent="0.75"/>
    <row r="91" spans="1:25" ht="20.100000000000001" customHeight="1" x14ac:dyDescent="0.75"/>
    <row r="92" spans="1:25" ht="20.100000000000001" customHeight="1" x14ac:dyDescent="0.75"/>
    <row r="93" spans="1:25" ht="20.100000000000001" customHeight="1" x14ac:dyDescent="0.75"/>
    <row r="94" spans="1:25" ht="20.100000000000001" customHeight="1" x14ac:dyDescent="0.75"/>
    <row r="95" spans="1:25" ht="20.100000000000001" customHeight="1" x14ac:dyDescent="0.75"/>
    <row r="96" spans="1:25" ht="20.100000000000001" customHeight="1" x14ac:dyDescent="0.75"/>
    <row r="97" ht="20.100000000000001" customHeight="1" x14ac:dyDescent="0.75"/>
    <row r="98" ht="20.100000000000001" customHeight="1" x14ac:dyDescent="0.75"/>
    <row r="99" ht="20.100000000000001" customHeight="1" x14ac:dyDescent="0.75"/>
    <row r="100" ht="20.100000000000001" customHeight="1" x14ac:dyDescent="0.75"/>
    <row r="101" ht="20.100000000000001" customHeight="1" x14ac:dyDescent="0.75"/>
    <row r="102" ht="20.100000000000001" customHeight="1" x14ac:dyDescent="0.75"/>
    <row r="103" ht="20.100000000000001" customHeight="1" x14ac:dyDescent="0.75"/>
    <row r="104" ht="20.100000000000001" customHeight="1" x14ac:dyDescent="0.75"/>
    <row r="105" ht="20.100000000000001" customHeight="1" x14ac:dyDescent="0.75"/>
    <row r="106" ht="20.100000000000001" customHeight="1" x14ac:dyDescent="0.75"/>
    <row r="107" ht="20.100000000000001" customHeight="1" x14ac:dyDescent="0.75"/>
    <row r="108" ht="20.100000000000001" customHeight="1" x14ac:dyDescent="0.75"/>
    <row r="109" ht="20.100000000000001" customHeight="1" x14ac:dyDescent="0.75"/>
    <row r="110" ht="20.100000000000001" customHeight="1" x14ac:dyDescent="0.75"/>
    <row r="111" ht="20.100000000000001" customHeight="1" x14ac:dyDescent="0.75"/>
    <row r="112" ht="20.100000000000001" customHeight="1" x14ac:dyDescent="0.75"/>
    <row r="113" ht="20.100000000000001" customHeight="1" x14ac:dyDescent="0.75"/>
    <row r="114" ht="20.100000000000001" customHeight="1" x14ac:dyDescent="0.75"/>
    <row r="115" ht="20.100000000000001" customHeight="1" x14ac:dyDescent="0.75"/>
    <row r="116" ht="20.100000000000001" customHeight="1" x14ac:dyDescent="0.75"/>
    <row r="117" ht="20.100000000000001" customHeight="1" x14ac:dyDescent="0.75"/>
    <row r="118" ht="20.100000000000001" customHeight="1" x14ac:dyDescent="0.75"/>
    <row r="119" ht="20.100000000000001" customHeight="1" x14ac:dyDescent="0.75"/>
    <row r="120" ht="20.100000000000001" customHeight="1" x14ac:dyDescent="0.75"/>
    <row r="121" ht="20.100000000000001" customHeight="1" x14ac:dyDescent="0.75"/>
    <row r="122" ht="20.100000000000001" customHeight="1" x14ac:dyDescent="0.75"/>
    <row r="123" ht="20.100000000000001" customHeight="1" x14ac:dyDescent="0.75"/>
    <row r="124" ht="20.100000000000001" customHeight="1" x14ac:dyDescent="0.75"/>
    <row r="125" ht="20.100000000000001" customHeight="1" x14ac:dyDescent="0.75"/>
    <row r="126" ht="20.100000000000001" customHeight="1" x14ac:dyDescent="0.75"/>
    <row r="127" ht="20.100000000000001" customHeight="1" x14ac:dyDescent="0.75"/>
    <row r="128" ht="20.100000000000001" customHeight="1" x14ac:dyDescent="0.75"/>
    <row r="129" ht="20.100000000000001" customHeight="1" x14ac:dyDescent="0.75"/>
    <row r="130" ht="20.100000000000001" customHeight="1" x14ac:dyDescent="0.75"/>
    <row r="131" ht="20.100000000000001" customHeight="1" x14ac:dyDescent="0.75"/>
    <row r="132" ht="20.100000000000001" customHeight="1" x14ac:dyDescent="0.75"/>
    <row r="133" ht="20.100000000000001" customHeight="1" x14ac:dyDescent="0.75"/>
    <row r="134" ht="20.100000000000001" customHeight="1" x14ac:dyDescent="0.75"/>
    <row r="135" ht="20.100000000000001" customHeight="1" x14ac:dyDescent="0.75"/>
    <row r="136" ht="20.100000000000001" customHeight="1" x14ac:dyDescent="0.75"/>
    <row r="137" ht="20.100000000000001" customHeight="1" x14ac:dyDescent="0.75"/>
    <row r="138" ht="20.100000000000001" customHeight="1" x14ac:dyDescent="0.75"/>
    <row r="139" ht="20.100000000000001" customHeight="1" x14ac:dyDescent="0.75"/>
    <row r="140" ht="20.100000000000001" customHeight="1" x14ac:dyDescent="0.75"/>
    <row r="141" ht="20.100000000000001" customHeight="1" x14ac:dyDescent="0.75"/>
    <row r="142" ht="20.100000000000001" customHeight="1" x14ac:dyDescent="0.75"/>
    <row r="143" ht="20.100000000000001" customHeight="1" x14ac:dyDescent="0.75"/>
    <row r="144" ht="20.100000000000001" customHeight="1" x14ac:dyDescent="0.75"/>
    <row r="145" ht="20.100000000000001" customHeight="1" x14ac:dyDescent="0.75"/>
    <row r="146" ht="20.100000000000001" customHeight="1" x14ac:dyDescent="0.75"/>
    <row r="147" ht="20.100000000000001" customHeight="1" x14ac:dyDescent="0.75"/>
    <row r="148" ht="20.100000000000001" customHeight="1" x14ac:dyDescent="0.75"/>
    <row r="149" ht="20.100000000000001" customHeight="1" x14ac:dyDescent="0.75"/>
    <row r="150" ht="20.100000000000001" customHeight="1" x14ac:dyDescent="0.75"/>
    <row r="151" ht="20.100000000000001" customHeight="1" x14ac:dyDescent="0.75"/>
    <row r="152" ht="20.100000000000001" customHeight="1" x14ac:dyDescent="0.75"/>
    <row r="153" ht="20.100000000000001" customHeight="1" x14ac:dyDescent="0.75"/>
    <row r="154" ht="20.100000000000001" customHeight="1" x14ac:dyDescent="0.75"/>
    <row r="155" ht="20.100000000000001" customHeight="1" x14ac:dyDescent="0.75"/>
    <row r="156" ht="20.100000000000001" customHeight="1" x14ac:dyDescent="0.75"/>
    <row r="157" ht="20.100000000000001" customHeight="1" x14ac:dyDescent="0.75"/>
    <row r="158" ht="20.100000000000001" customHeight="1" x14ac:dyDescent="0.75"/>
    <row r="159" ht="20.100000000000001" customHeight="1" x14ac:dyDescent="0.75"/>
    <row r="160" ht="20.100000000000001" customHeight="1" x14ac:dyDescent="0.75"/>
    <row r="161" ht="20.100000000000001" customHeight="1" x14ac:dyDescent="0.75"/>
    <row r="162" ht="20.100000000000001" customHeight="1" x14ac:dyDescent="0.75"/>
    <row r="163" ht="20.100000000000001" customHeight="1" x14ac:dyDescent="0.75"/>
    <row r="164" ht="20.100000000000001" customHeight="1" x14ac:dyDescent="0.75"/>
    <row r="165" ht="20.100000000000001" customHeight="1" x14ac:dyDescent="0.75"/>
    <row r="166" ht="20.100000000000001" customHeight="1" x14ac:dyDescent="0.75"/>
    <row r="167" ht="20.100000000000001" customHeight="1" x14ac:dyDescent="0.75"/>
    <row r="168" ht="20.100000000000001" customHeight="1" x14ac:dyDescent="0.75"/>
    <row r="169" ht="20.100000000000001" customHeight="1" x14ac:dyDescent="0.75"/>
    <row r="170" ht="20.100000000000001" customHeight="1" x14ac:dyDescent="0.75"/>
    <row r="171" ht="20.100000000000001" customHeight="1" x14ac:dyDescent="0.75"/>
    <row r="172" ht="20.100000000000001" customHeight="1" x14ac:dyDescent="0.75"/>
    <row r="173" ht="20.100000000000001" customHeight="1" x14ac:dyDescent="0.75"/>
    <row r="174" ht="20.100000000000001" customHeight="1" x14ac:dyDescent="0.75"/>
    <row r="175" ht="20.100000000000001" customHeight="1" x14ac:dyDescent="0.75"/>
    <row r="176" ht="20.100000000000001" customHeight="1" x14ac:dyDescent="0.75"/>
    <row r="177" ht="20.100000000000001" customHeight="1" x14ac:dyDescent="0.75"/>
    <row r="178" ht="20.100000000000001" customHeight="1" x14ac:dyDescent="0.75"/>
    <row r="179" ht="20.100000000000001" customHeight="1" x14ac:dyDescent="0.75"/>
    <row r="180" ht="20.100000000000001" customHeight="1" x14ac:dyDescent="0.75"/>
    <row r="181" ht="20.100000000000001" customHeight="1" x14ac:dyDescent="0.75"/>
    <row r="182" ht="20.100000000000001" customHeight="1" x14ac:dyDescent="0.75"/>
    <row r="183" ht="20.100000000000001" customHeight="1" x14ac:dyDescent="0.75"/>
    <row r="184" ht="20.100000000000001" customHeight="1" x14ac:dyDescent="0.75"/>
    <row r="185" ht="20.100000000000001" customHeight="1" x14ac:dyDescent="0.75"/>
    <row r="186" ht="20.100000000000001" customHeight="1" x14ac:dyDescent="0.75"/>
    <row r="187" ht="20.100000000000001" customHeight="1" x14ac:dyDescent="0.75"/>
    <row r="188" ht="20.100000000000001" customHeight="1" x14ac:dyDescent="0.75"/>
    <row r="189" ht="20.100000000000001" customHeight="1" x14ac:dyDescent="0.75"/>
    <row r="190" ht="20.100000000000001" customHeight="1" x14ac:dyDescent="0.75"/>
    <row r="191" ht="20.100000000000001" customHeight="1" x14ac:dyDescent="0.75"/>
    <row r="192" ht="20.100000000000001" customHeight="1" x14ac:dyDescent="0.75"/>
    <row r="193" ht="20.100000000000001" customHeight="1" x14ac:dyDescent="0.75"/>
    <row r="194" ht="20.100000000000001" customHeight="1" x14ac:dyDescent="0.75"/>
    <row r="195" ht="20.100000000000001" customHeight="1" x14ac:dyDescent="0.75"/>
    <row r="196" ht="20.100000000000001" customHeight="1" x14ac:dyDescent="0.75"/>
    <row r="197" ht="20.100000000000001" customHeight="1" x14ac:dyDescent="0.75"/>
    <row r="198" ht="20.100000000000001" customHeight="1" x14ac:dyDescent="0.75"/>
    <row r="199" ht="20.100000000000001" customHeight="1" x14ac:dyDescent="0.75"/>
    <row r="200" ht="20.100000000000001" customHeight="1" x14ac:dyDescent="0.75"/>
    <row r="201" ht="20.100000000000001" customHeight="1" x14ac:dyDescent="0.75"/>
    <row r="202" ht="20.100000000000001" customHeight="1" x14ac:dyDescent="0.75"/>
    <row r="203" ht="20.100000000000001" customHeight="1" x14ac:dyDescent="0.75"/>
    <row r="204" ht="20.100000000000001" customHeight="1" x14ac:dyDescent="0.75"/>
    <row r="205" ht="20.100000000000001" customHeight="1" x14ac:dyDescent="0.75"/>
    <row r="206" ht="20.100000000000001" customHeight="1" x14ac:dyDescent="0.75"/>
    <row r="207" ht="20.100000000000001" customHeight="1" x14ac:dyDescent="0.75"/>
    <row r="208" ht="20.100000000000001" customHeight="1" x14ac:dyDescent="0.75"/>
    <row r="209" ht="20.100000000000001" customHeight="1" x14ac:dyDescent="0.75"/>
    <row r="210" ht="20.100000000000001" customHeight="1" x14ac:dyDescent="0.75"/>
    <row r="211" ht="20.100000000000001" customHeight="1" x14ac:dyDescent="0.75"/>
    <row r="212" ht="20.100000000000001" customHeight="1" x14ac:dyDescent="0.75"/>
    <row r="213" ht="20.100000000000001" customHeight="1" x14ac:dyDescent="0.75"/>
    <row r="214" ht="20.100000000000001" customHeight="1" x14ac:dyDescent="0.75"/>
    <row r="215" ht="20.100000000000001" customHeight="1" x14ac:dyDescent="0.75"/>
    <row r="216" ht="20.100000000000001" customHeight="1" x14ac:dyDescent="0.75"/>
    <row r="217" ht="20.100000000000001" customHeight="1" x14ac:dyDescent="0.75"/>
    <row r="218" ht="20.100000000000001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2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316406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45040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45030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195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6D9F9BB-4FA6-4D9C-93E2-8FE0B9F751AA}"/>
</file>

<file path=customXml/itemProps2.xml><?xml version="1.0" encoding="utf-8"?>
<ds:datastoreItem xmlns:ds="http://schemas.openxmlformats.org/officeDocument/2006/customXml" ds:itemID="{03831FF2-3A1D-4263-B241-D53BAB62020C}"/>
</file>

<file path=customXml/itemProps3.xml><?xml version="1.0" encoding="utf-8"?>
<ds:datastoreItem xmlns:ds="http://schemas.openxmlformats.org/officeDocument/2006/customXml" ds:itemID="{B8646714-1A7F-4F13-B457-D63EE79D78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2023-03-21T02:25:27Z</cp:lastPrinted>
  <dcterms:created xsi:type="dcterms:W3CDTF">2019-11-27T23:28:06Z</dcterms:created>
  <dcterms:modified xsi:type="dcterms:W3CDTF">2023-03-24T01:39:44Z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