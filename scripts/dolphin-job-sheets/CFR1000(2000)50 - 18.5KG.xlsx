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A3DB2D2-F567-467A-875E-16D39FE127B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9" i="1" l="1"/>
  <c r="E11" i="1" s="1"/>
  <c r="B2" i="1" l="1"/>
  <c r="C25" i="1" l="1"/>
  <c r="A11" i="1" l="1"/>
  <c r="D8" i="1" l="1"/>
  <c r="K8" i="1" l="1"/>
  <c r="A24" i="1" l="1"/>
  <c r="C24" i="1" s="1"/>
  <c r="B1" i="1" s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<sst xmlns="http://schemas.openxmlformats.org/spreadsheetml/2006/main" count="227" uniqueCount="168">
  <si>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</si>
  <si>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</si>
  <si>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</si>
  <si>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</si>
  <si>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</si>
  <si>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</si>
  <si>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</si>
  <si>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</si>
  <si>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</si>
  <si>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</si>
  <si>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</si>
  <si>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</si>
  <si>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</si>
  <si>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</si>
  <si>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</si>
  <si>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</si>
  <si>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</si>
  <si>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</si>
  <si>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</si>
  <si>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</si>
  <si>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</si>
  <si>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</si>
  <si>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</si>
  <si>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</si>
  <si>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</si>
  <si>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</si>
  <si>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</si>
  <si>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</si>
  <si>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</si>
  <si>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</si>
  <si>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</si>
  <si>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</si>
  <si>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</si>
  <si>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</si>
  <si>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</si>
  <si>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</si>
  <si>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</si>
  <si>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</si>
  <si>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</si>
  <si>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</si>
  <si>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</si>
  <si>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</si>
  <si>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</si>
  <si>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</si>
  <si>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</si>
  <si>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</si>
  <si>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</si>
  <si>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</si>
  <si>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</si>
  <si>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</si>
  <si>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</si>
  <si>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</si>
  <si>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</si>
  <si>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</si>
  <si>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</si>
  <si>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</si>
  <si>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</si>
  <si>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</si>
  <si>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</si>
  <si>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</si>
  <si>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</si>
  <si>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</si>
  <si>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</si>
  <si>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</si>
  <si>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</si>
  <si>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</si>
  <si>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</si>
  <si>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</si>
  <si>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</si>
  <si>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</si>
  <si>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</si>
  <si>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</si>
  <si>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</si>
  <si>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</si>
  <si>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</si>
  <si>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</si>
  <si>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</si>
  <si>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</si>
  <si>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</si>
  <si>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</si>
  <si>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</si>
  <si>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</si>
  <si>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</si>
  <si>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</si>
  <si>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</si>
  <si>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</si>
  <si>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</si>
  <si>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</si>
  <si>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</si>
  <si>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</si>
  <si>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</si>
  <si>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</si>
  <si>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</si>
  <si>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</si>
  <si>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</si>
  <si>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</si>
  <si>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</si>
  <si>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</si>
  <si>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</si>
  <si>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</si>
  <si>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</si>
  <si>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</si>
  <si>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</si>
  <si>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</si>
  <si>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</si>
  <si>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</si>
  <si>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</si>
  <si>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</si>
  <si>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</si>
  <si>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</si>
  <si>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</si>
  <si>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</si>
  <si>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</si>
  <si>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</si>
  <si>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</si>
  <si>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</si>
  <si>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</si>
  <si>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</si>
  <si>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</si>
  <si>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</si>
  <si>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</si>
  <si>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</si>
  <si>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</si>
  <si>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</si>
  <si>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</si>
  <si>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</si>
  <si>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</si>
  <si>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</si>
  <si>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</si>
  <si>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</si>
  <si>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</si>
  <si>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</si>
  <si>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</si>
  <si>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</si>
  <si>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</si>
  <si>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</si>
  <si>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Centre Fold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</si>
  <si>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</si>
  <si>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</si>
  <si>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</si>
  <si>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</si>
  <si>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</si>
  <si>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</si>
  <si>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</si>
  <si>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</si>
  <si>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</si>
  <si>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</si>
  <si>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</si>
  <si>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</si>
  <si>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</si>
  <si>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</si>
  <si>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</si>
  <si>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</si>
  <si>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</si>
  <si>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</si>
  <si>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</si>
  <si>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</si>
  <si>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</si>
  <si>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</si>
  <si>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</si>
  <si>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</si>
  <si>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</si>
  <si>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</si>
  <si>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 xml:space="preserve"> +/- 10mm</t>
  </si>
  <si>
    <t>ANTIBLOCK</t>
  </si>
  <si>
    <t>%</t>
  </si>
  <si>
    <t>ABL -AS SIGNET</t>
  </si>
  <si>
    <t>RUN AT 150UM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</si>
</sst>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1" sqref="B11:C11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101" t="str">
        <f>IF(B7="Tube","T",IF(B7="Cont Sheet Roll","SR",IF(B7="Cont Centrefold","CFR")))&amp;B8&amp;IF(E8="","",E8)&amp;H8&amp;(IF(K11="INLINE","P",IF(K11="OUT OF LINE","P",IF(K11="NONE",""))))&amp;C24&amp;C25</f>
        <v>CFR1000(2000)150BK0</v>
      </c>
      <c r="C1" s="101"/>
      <c r="D1" s="102"/>
      <c r="E1" s="11" t="s">
        <v>55</v>
      </c>
      <c r="F1" s="46" t="s">
        <v>166</v>
      </c>
      <c r="G1" s="46"/>
      <c r="H1" s="47"/>
      <c r="I1" s="11" t="s">
        <v>148</v>
      </c>
      <c r="J1" s="112">
        <f ca="1">TODAY()</f>
        <v>46066</v>
      </c>
      <c r="K1" s="112"/>
      <c r="L1" s="113"/>
    </row>
    <row r="2" spans="1:14" ht="20.100000000000001" customHeight="1" x14ac:dyDescent="0.25">
      <c r="A2" s="11" t="s">
        <v>94</v>
      </c>
      <c r="B2" s="92" t="str">
        <f>IF(B7="Tube",(ROUNDUP(E11,0)&amp;"KG"),(ROUNDUP(H11,0)&amp;"M"))</f>
        <v>200M</v>
      </c>
      <c r="C2" s="92"/>
      <c r="D2" s="93"/>
      <c r="E2" s="11" t="s">
        <v>56</v>
      </c>
      <c r="F2" s="46">
        <v>951193</v>
      </c>
      <c r="G2" s="46"/>
      <c r="H2" s="47"/>
      <c r="I2" s="11" t="s">
        <v>57</v>
      </c>
      <c r="J2" s="114" t="s">
        <v>162</v>
      </c>
      <c r="K2" s="46"/>
      <c r="L2" s="47"/>
    </row>
    <row r="3" spans="1:14" ht="20.100000000000001" customHeight="1" x14ac:dyDescent="0.2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00000000000001" customHeight="1" x14ac:dyDescent="0.2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00000000000001" customHeight="1" x14ac:dyDescent="0.2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00000000000001" customHeight="1" x14ac:dyDescent="0.2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00000000000001" customHeight="1" x14ac:dyDescent="0.3">
      <c r="A7" s="11" t="s">
        <v>158</v>
      </c>
      <c r="B7" s="46" t="s">
        <v>161</v>
      </c>
      <c r="C7" s="47"/>
      <c r="D7" s="11" t="s">
        <v>47</v>
      </c>
      <c r="E7" s="45" t="s">
        <v>145</v>
      </c>
      <c r="F7" s="45"/>
      <c r="G7" s="45"/>
      <c r="H7" s="45"/>
      <c r="I7" s="45"/>
      <c r="J7" s="96" t="s">
        <v>146</v>
      </c>
      <c r="K7" s="96"/>
      <c r="L7" s="75"/>
    </row>
    <row r="8" spans="1:14" ht="20.100000000000001" customHeight="1" x14ac:dyDescent="0.25">
      <c r="A8" s="12" t="s">
        <v>14</v>
      </c>
      <c r="B8" s="66">
        <v>1000</v>
      </c>
      <c r="C8" s="67"/>
      <c r="D8" s="12" t="str">
        <f>IF(B7="Tube","Gusset","Centrefold")</f>
        <v>Centrefold</v>
      </c>
      <c r="E8" s="97" t="str">
        <f>IF(B7="Cont Centrefold","("&amp;B8*2&amp;")","")</f>
        <v>(2000)</v>
      </c>
      <c r="F8" s="98"/>
      <c r="G8" s="12" t="s">
        <v>50</v>
      </c>
      <c r="H8" s="66">
        <v>150</v>
      </c>
      <c r="I8" s="67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00000000000001" customHeight="1" x14ac:dyDescent="0.3">
      <c r="A9" s="13" t="s">
        <v>46</v>
      </c>
      <c r="B9" s="84" t="s">
        <v>163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167</v>
      </c>
      <c r="I9" s="85"/>
      <c r="J9" s="11" t="s">
        <v>53</v>
      </c>
      <c r="K9" s="46" t="s">
        <v>28</v>
      </c>
      <c r="L9" s="47"/>
    </row>
    <row r="10" spans="1:14" ht="20.100000000000001" customHeight="1" x14ac:dyDescent="0.25">
      <c r="A10" s="11" t="s">
        <v>49</v>
      </c>
      <c r="B10" s="46">
        <v>5</v>
      </c>
      <c r="C10" s="47"/>
      <c r="D10" s="36" t="s">
        <v>104</v>
      </c>
      <c r="E10" s="88">
        <f>E11*B10</f>
        <v>277.77777777777777</v>
      </c>
      <c r="F10" s="89"/>
      <c r="G10" s="11" t="s">
        <v>51</v>
      </c>
      <c r="H10" s="92">
        <f>H11*B10</f>
        <v>1000</v>
      </c>
      <c r="I10" s="93"/>
      <c r="J10" s="11" t="s">
        <v>39</v>
      </c>
      <c r="K10" s="46" t="s">
        <v>40</v>
      </c>
      <c r="L10" s="47"/>
    </row>
    <row r="11" spans="1:14" s="43" customFormat="1" ht="20.100000000000001" customHeight="1" x14ac:dyDescent="0.25">
      <c r="A11" s="42" t="str">
        <f>IF(B7="Cont Sheet Roll","Sheet Rolls",IF(B7="Cont Centrefold","CF Rolls",""))</f>
        <v>CF Rolls</v>
      </c>
      <c r="B11" s="86">
        <v>5</v>
      </c>
      <c r="C11" s="87"/>
      <c r="D11" s="42" t="s">
        <v>105</v>
      </c>
      <c r="E11" s="90">
        <f>IF(D9="RUN 2 UP",(B8*H8*H11/540000)*2,(B8*H8*H11/540000))</f>
        <v>55.555555555555557</v>
      </c>
      <c r="F11" s="91"/>
      <c r="G11" s="42" t="s">
        <v>13</v>
      </c>
      <c r="H11" s="94">
        <v>200</v>
      </c>
      <c r="I11" s="95"/>
      <c r="J11" s="42" t="s">
        <v>48</v>
      </c>
      <c r="K11" s="99" t="s">
        <v>42</v>
      </c>
      <c r="L11" s="100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68"/>
      <c r="F12" s="68"/>
      <c r="G12" s="68"/>
      <c r="H12" s="68"/>
      <c r="I12" s="68"/>
      <c r="J12" s="68"/>
      <c r="K12" s="68"/>
      <c r="L12" s="69"/>
    </row>
    <row r="13" spans="1:14" ht="20.100000000000001" customHeight="1" x14ac:dyDescent="0.25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00000000000001" customHeight="1" x14ac:dyDescent="0.3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0"/>
    </row>
    <row r="15" spans="1:14" ht="20.100000000000001" customHeight="1" x14ac:dyDescent="0.2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00000000000001" customHeight="1" x14ac:dyDescent="0.25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5</v>
      </c>
      <c r="G16" s="101"/>
      <c r="H16" s="102"/>
      <c r="I16" s="11" t="s">
        <v>74</v>
      </c>
      <c r="J16" s="46"/>
      <c r="K16" s="46"/>
      <c r="L16" s="47"/>
    </row>
    <row r="17" spans="1:12" ht="20.100000000000001" customHeight="1" x14ac:dyDescent="0.25">
      <c r="A17" s="71" t="s">
        <v>149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3"/>
    </row>
    <row r="18" spans="1:12" ht="20.100000000000001" customHeight="1" x14ac:dyDescent="0.25">
      <c r="A18" s="74" t="s">
        <v>2</v>
      </c>
      <c r="B18" s="75"/>
      <c r="C18" s="74" t="s">
        <v>111</v>
      </c>
      <c r="D18" s="75"/>
      <c r="E18" s="74" t="s">
        <v>3</v>
      </c>
      <c r="F18" s="75"/>
      <c r="G18" s="74" t="s">
        <v>4</v>
      </c>
      <c r="H18" s="75"/>
      <c r="I18" s="74" t="s">
        <v>9</v>
      </c>
      <c r="J18" s="75"/>
      <c r="K18" s="74" t="s">
        <v>10</v>
      </c>
      <c r="L18" s="75"/>
    </row>
    <row r="19" spans="1:12" ht="20.100000000000001" customHeight="1" x14ac:dyDescent="0.25">
      <c r="A19" s="76" t="s">
        <v>5</v>
      </c>
      <c r="B19" s="76"/>
      <c r="C19" s="57" t="s">
        <v>115</v>
      </c>
      <c r="D19" s="58"/>
      <c r="E19" s="59"/>
      <c r="F19" s="60"/>
      <c r="G19" s="10" t="s">
        <v>76</v>
      </c>
      <c r="H19" s="31"/>
      <c r="I19" s="64"/>
      <c r="J19" s="65"/>
      <c r="K19" s="64"/>
      <c r="L19" s="65"/>
    </row>
    <row r="20" spans="1:12" ht="20.100000000000001" customHeight="1" x14ac:dyDescent="0.25">
      <c r="A20" s="76" t="s">
        <v>6</v>
      </c>
      <c r="B20" s="76"/>
      <c r="C20" s="57" t="s">
        <v>114</v>
      </c>
      <c r="D20" s="58"/>
      <c r="E20" s="59"/>
      <c r="F20" s="60"/>
      <c r="G20" s="10" t="s">
        <v>77</v>
      </c>
      <c r="H20" s="31"/>
      <c r="I20" s="64"/>
      <c r="J20" s="65"/>
      <c r="K20" s="64"/>
      <c r="L20" s="65"/>
    </row>
    <row r="21" spans="1:12" ht="20.100000000000001" customHeight="1" x14ac:dyDescent="0.25">
      <c r="A21" s="76" t="s">
        <v>7</v>
      </c>
      <c r="B21" s="76"/>
      <c r="C21" s="57" t="s">
        <v>113</v>
      </c>
      <c r="D21" s="58"/>
      <c r="E21" s="59"/>
      <c r="F21" s="60"/>
      <c r="G21" s="10" t="s">
        <v>78</v>
      </c>
      <c r="H21" s="31"/>
      <c r="I21" s="64"/>
      <c r="J21" s="65"/>
      <c r="K21" s="64"/>
      <c r="L21" s="65"/>
    </row>
    <row r="22" spans="1:12" ht="20.100000000000001" customHeight="1" x14ac:dyDescent="0.25">
      <c r="A22" s="76" t="s">
        <v>8</v>
      </c>
      <c r="B22" s="76"/>
      <c r="C22" s="57" t="s">
        <v>112</v>
      </c>
      <c r="D22" s="58"/>
      <c r="E22" s="59"/>
      <c r="F22" s="60"/>
      <c r="G22" s="10" t="s">
        <v>79</v>
      </c>
      <c r="H22" s="31"/>
      <c r="I22" s="64"/>
      <c r="J22" s="65"/>
      <c r="K22" s="64"/>
      <c r="L22" s="65"/>
    </row>
    <row r="23" spans="1:12" ht="20.100000000000001" customHeight="1" x14ac:dyDescent="0.25">
      <c r="A23" s="76" t="s">
        <v>150</v>
      </c>
      <c r="B23" s="76"/>
      <c r="C23" s="57" t="s">
        <v>151</v>
      </c>
      <c r="D23" s="58"/>
      <c r="E23" s="59"/>
      <c r="F23" s="60"/>
      <c r="G23" s="10" t="s">
        <v>80</v>
      </c>
      <c r="H23" s="31"/>
      <c r="I23" s="64"/>
      <c r="J23" s="65"/>
      <c r="K23" s="64"/>
      <c r="L23" s="65"/>
    </row>
    <row r="24" spans="1:12" ht="20.100000000000001" customHeight="1" x14ac:dyDescent="0.25">
      <c r="A24" s="76" t="str">
        <f>(IF(E7="NATURAL","",E7))</f>
        <v>BLACK</v>
      </c>
      <c r="B24" s="76"/>
      <c r="C24" s="5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BK</v>
      </c>
      <c r="D24" s="58"/>
      <c r="E24" s="59"/>
      <c r="F24" s="60"/>
      <c r="G24" s="10" t="s">
        <v>81</v>
      </c>
      <c r="H24" s="31"/>
      <c r="I24" s="64"/>
      <c r="J24" s="65"/>
      <c r="K24" s="64"/>
      <c r="L24" s="65"/>
    </row>
    <row r="25" spans="1:12" ht="20.100000000000001" customHeight="1" x14ac:dyDescent="0.25">
      <c r="A25" s="76" t="s">
        <v>164</v>
      </c>
      <c r="B25" s="76"/>
      <c r="C25" s="57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>0</v>
      </c>
      <c r="D25" s="58"/>
      <c r="E25" s="78" t="s">
        <v>165</v>
      </c>
      <c r="F25" s="79"/>
      <c r="G25" s="10" t="s">
        <v>82</v>
      </c>
      <c r="H25" s="31"/>
      <c r="I25" s="64"/>
      <c r="J25" s="65"/>
      <c r="K25" s="64"/>
      <c r="L25" s="65"/>
    </row>
    <row r="26" spans="1:12" ht="20.100000000000001" customHeight="1" x14ac:dyDescent="0.25">
      <c r="A26" s="77" t="s">
        <v>0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9"/>
    </row>
    <row r="27" spans="1:12" ht="20.100000000000001" customHeight="1" x14ac:dyDescent="0.2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1" t="s">
        <v>106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29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A6" sqref="A6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46094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46087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145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143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136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144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137</v>
      </c>
      <c r="U31" s="1"/>
      <c r="V31" s="1"/>
    </row>
    <row r="32" spans="1:23" x14ac:dyDescent="0.2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138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139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140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141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142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145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143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143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0DEB405-21A7-495D-BE87-C23B82A1C1E3}"/>
</file>

<file path=customXml/itemProps2.xml><?xml version="1.0" encoding="utf-8"?>
<ds:datastoreItem xmlns:ds="http://schemas.openxmlformats.org/officeDocument/2006/customXml" ds:itemID="{08C10834-515B-4F3D-937B-8389284A045A}"/>
</file>

<file path=customXml/itemProps3.xml><?xml version="1.0" encoding="utf-8"?>
<ds:datastoreItem xmlns:ds="http://schemas.openxmlformats.org/officeDocument/2006/customXml" ds:itemID="{70DF25C7-BF8F-436A-8E4E-E7B6097E9D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2026-02-13T06:55:14Z</cp:lastPrinted>
  <dcterms:created xsi:type="dcterms:W3CDTF">2019-11-27T23:28:06Z</dcterms:created>
  <dcterms:modified xsi:type="dcterms:W3CDTF">2026-02-13T07:13:58Z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