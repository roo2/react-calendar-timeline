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90F0999-10B8-405F-BA7C-F34B9CFF8A3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<sst xmlns="http://schemas.openxmlformats.org/spreadsheetml/2006/main" count="300" uniqueCount="199">
  <si>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</si>
  <si>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</si>
  <si>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</si>
  <si>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</si>
  <si>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</si>
  <si>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</si>
  <si>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</si>
  <si>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</si>
  <si>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</si>
  <si>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</si>
  <si>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</si>
  <si>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</si>
  <si>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</si>
  <si>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</si>
  <si>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</si>
  <si>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</si>
  <si>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</si>
  <si>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</si>
  <si>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</si>
  <si>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</si>
  <si>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</si>
  <si>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</si>
  <si>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</si>
  <si>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</si>
  <si>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</si>
  <si>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</si>
  <si>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</si>
  <si>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</si>
  <si>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</si>
  <si>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</si>
  <si>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</si>
  <si>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</si>
  <si>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</si>
  <si>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</si>
  <si>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</si>
  <si>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</si>
  <si>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</si>
  <si>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</si>
  <si>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</si>
  <si>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</si>
  <si>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</si>
  <si>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</si>
  <si>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</si>
  <si>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</si>
  <si>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</si>
  <si>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</si>
  <si>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</si>
  <si>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</si>
  <si>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</si>
  <si>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</si>
  <si>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</si>
  <si>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</si>
  <si>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</si>
  <si>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</si>
  <si>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</si>
  <si>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</si>
  <si>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</si>
  <si>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</si>
  <si>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</si>
  <si>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</si>
  <si>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</si>
  <si>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</si>
  <si>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</si>
  <si>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</si>
  <si>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</si>
  <si>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</si>
  <si>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</si>
  <si>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</si>
  <si>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</si>
  <si>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</si>
  <si>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</si>
  <si>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</si>
  <si>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</si>
  <si>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</si>
  <si>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</si>
  <si>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</si>
  <si>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</si>
  <si>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</si>
  <si>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</si>
  <si>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</si>
  <si>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</si>
  <si>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</si>
  <si>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</si>
  <si>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</si>
  <si>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</si>
  <si>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</si>
  <si>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</si>
  <si>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</si>
  <si>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</si>
  <si>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</si>
  <si>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</si>
  <si>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</si>
  <si>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</si>
  <si>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</si>
  <si>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</si>
  <si>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</si>
  <si>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</si>
  <si>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</si>
  <si>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</si>
  <si>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</si>
  <si>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</si>
  <si>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</si>
  <si>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</si>
  <si>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</si>
  <si>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</si>
  <si>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</si>
  <si>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</si>
  <si>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</si>
  <si>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</si>
  <si>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</si>
  <si>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</si>
  <si>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</si>
  <si>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</si>
  <si>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</si>
  <si>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</si>
  <si>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</si>
  <si>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</si>
  <si>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</si>
  <si>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</si>
  <si>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</si>
  <si>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</si>
  <si>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</si>
  <si>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</si>
  <si>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</si>
  <si>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</si>
  <si>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</si>
  <si>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</si>
  <si>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</si>
  <si>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</si>
  <si>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</si>
  <si>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</si>
  <si>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</si>
  <si>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</si>
  <si>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</si>
  <si>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</si>
  <si>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</si>
  <si>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</si>
  <si>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</si>
  <si>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</si>
  <si>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</si>
  <si>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</si>
  <si>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</si>
  <si>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</si>
  <si>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</si>
  <si>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</si>
  <si>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</si>
  <si>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</si>
  <si>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</si>
  <si>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</si>
  <si>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</si>
  <si>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</si>
  <si>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</si>
  <si>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</si>
  <si>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</si>
  <si>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</si>
  <si>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</si>
  <si>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</si>
  <si>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</si>
  <si>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</si>
  <si>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</si>
  <si>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</si>
  <si>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</si>
  <si>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</si>
  <si>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</si>
  <si>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</si>
  <si>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</si>
  <si>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</si>
  <si>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</si>
  <si>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</si>
  <si>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</si>
  <si>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</si>
  <si>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</si>
  <si>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</si>
  <si>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</si>
  <si>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</si>
  <si>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</si>
  <si>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</si>
  <si>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</si>
  <si>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</si>
  <si>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</si>
  <si>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</si>
  <si>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</si>
  <si>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</si>
  <si>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</si>
  <si>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</si>
  <si>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</si>
  <si>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</si>
  <si>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</si>
  <si>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</si>
  <si>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</si>
  <si>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</si>
  <si>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</si>
  <si>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</si>
  <si>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</si>
  <si>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</si>
  <si>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>PRO-PAC</t>
  </si>
  <si>
    <t xml:space="preserve"> +/- 5mm</t>
  </si>
  <si>
    <t>RUN AT 95um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</si>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</sst>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23" sqref="A23:B23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PBR20010001000</v>
      </c>
      <c r="C1" s="95"/>
      <c r="D1" s="96"/>
      <c r="E1" s="16" t="s">
        <v>56</v>
      </c>
      <c r="F1" s="61" t="s">
        <v>195</v>
      </c>
      <c r="G1" s="61"/>
      <c r="H1" s="62"/>
      <c r="I1" s="16" t="s">
        <v>180</v>
      </c>
      <c r="J1" s="106">
        <f ca="1">TODAY()</f>
        <v>45505</v>
      </c>
      <c r="K1" s="106"/>
      <c r="L1" s="107"/>
      <c r="M1" s="30"/>
      <c r="N1" s="16" t="s">
        <v>55</v>
      </c>
      <c r="O1" s="95" t="str">
        <f>B1</f>
        <v>PBR20010001000</v>
      </c>
      <c r="P1" s="95"/>
      <c r="Q1" s="96"/>
      <c r="R1" s="16" t="s">
        <v>56</v>
      </c>
      <c r="S1" s="95" t="str">
        <f>F1</f>
        <v>PRO-PAC</v>
      </c>
      <c r="T1" s="95"/>
      <c r="U1" s="96"/>
      <c r="V1" s="16" t="s">
        <v>180</v>
      </c>
      <c r="W1" s="106">
        <f ca="1">J1</f>
        <v>45505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947902</v>
      </c>
      <c r="G2" s="61"/>
      <c r="H2" s="62"/>
      <c r="I2" s="16" t="s">
        <v>58</v>
      </c>
      <c r="J2" s="125">
        <v>45455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947902</v>
      </c>
      <c r="T2" s="95"/>
      <c r="U2" s="96"/>
      <c r="V2" s="16" t="s">
        <v>58</v>
      </c>
      <c r="W2" s="108">
        <f>J2</f>
        <v>45455</v>
      </c>
      <c r="X2" s="95"/>
      <c r="Y2" s="96"/>
    </row>
    <row r="3" spans="1:25" ht="20.149999999999999" customHeight="1" x14ac:dyDescent="0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97">
        <f>A3</f>
        <v>0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IF(ISNUMBER(SEARCH("Tube",O8,1)),"No. Rolls",IF(ISNUMBER(SEARCH("roll",O8,1)),"No. Rolls","No. Cartons"))</f>
        <v>No. Rolls</v>
      </c>
      <c r="O7" s="61">
        <v>5</v>
      </c>
      <c r="P7" s="62"/>
      <c r="Q7" s="16" t="str">
        <f>IF(ISNUMBER(SEARCH("Tube",O8,1)),"Per Roll",IF(ISNUMBER(SEARCH("roll",O8,1)),"Per Roll","Per Carton"))</f>
        <v>Per Roll</v>
      </c>
      <c r="R7" s="61">
        <v>300</v>
      </c>
      <c r="S7" s="62"/>
      <c r="T7" s="16" t="str">
        <f>IF(ISNUMBER(SEARCH("Tube",O8,1)),"Total Tube",IF(ISNUMBER(SEARCH("bag",O8,1)),"Total Bags","Total Sheets"))</f>
        <v>Total Bags</v>
      </c>
      <c r="U7" s="95">
        <f>R7*O7</f>
        <v>1500</v>
      </c>
      <c r="V7" s="96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23">
        <f>R9</f>
        <v>200</v>
      </c>
      <c r="C8" s="124"/>
      <c r="D8" s="20" t="str">
        <f>IF(ISNUMBER(SEARCH("bag",#REF!,1)),"Gusset","Centrefold")</f>
        <v>Centrefold</v>
      </c>
      <c r="E8" s="123" t="str">
        <f>IF(O8="Centrefold Roll",B8*2,IF(X9="","None",X9))</f>
        <v>None</v>
      </c>
      <c r="F8" s="124"/>
      <c r="G8" s="17" t="s">
        <v>51</v>
      </c>
      <c r="H8" s="123">
        <f>(IF(V9&lt;30,"30",V9))</f>
        <v>100</v>
      </c>
      <c r="I8" s="124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32" t="s">
        <v>164</v>
      </c>
      <c r="P8" s="133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38" t="s">
        <v>196</v>
      </c>
      <c r="C9" s="139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38" t="s">
        <v>197</v>
      </c>
      <c r="I9" s="139"/>
      <c r="J9" s="16" t="s">
        <v>54</v>
      </c>
      <c r="K9" s="61" t="s">
        <v>33</v>
      </c>
      <c r="L9" s="62"/>
      <c r="M9" s="30"/>
      <c r="N9" s="22"/>
      <c r="O9" s="146" t="str">
        <f>IF(O8="Poly Bag","PB",IF(O8="Poly Bag Roll","PBR",IF(O8="Centrefold Roll","CFR",IF(O8="Sheet","S",IF(O8="Sheet Roll","SR",IF(O8="TUBE","T",))))))</f>
        <v>PBR</v>
      </c>
      <c r="P9" s="147"/>
      <c r="Q9" s="22"/>
      <c r="R9" s="31">
        <v>200</v>
      </c>
      <c r="S9" s="23"/>
      <c r="T9" s="31">
        <v>1000</v>
      </c>
      <c r="U9" s="23" t="s">
        <v>77</v>
      </c>
      <c r="V9" s="31">
        <v>100</v>
      </c>
      <c r="W9" s="22"/>
      <c r="X9" s="130"/>
      <c r="Y9" s="131"/>
    </row>
    <row r="10" spans="1:25" ht="20.149999999999999" customHeight="1" x14ac:dyDescent="0.8">
      <c r="A10" s="16" t="s">
        <v>50</v>
      </c>
      <c r="B10" s="61">
        <v>5</v>
      </c>
      <c r="C10" s="62"/>
      <c r="D10" s="49" t="s">
        <v>133</v>
      </c>
      <c r="E10" s="140">
        <f>IF(ISNUMBER(SEARCH("sheet",O8,1)),((R9*T9*H8/540000)*U7/2000*1.3),((R9*T9*H8/540000)*U7/1000*1.08))</f>
        <v>60.000000000000007</v>
      </c>
      <c r="F10" s="141"/>
      <c r="G10" s="16" t="s">
        <v>52</v>
      </c>
      <c r="H10" s="144">
        <f>IF(ISNUMBER(SEARCH("sheet",O8,1)),(U7*T9/2000*1.08),(U7*T9/1000*1.08))</f>
        <v>1620</v>
      </c>
      <c r="I10" s="145"/>
      <c r="J10" s="16" t="s">
        <v>40</v>
      </c>
      <c r="K10" s="61" t="s">
        <v>43</v>
      </c>
      <c r="L10" s="62"/>
      <c r="M10" s="30"/>
      <c r="N10" s="18" t="s">
        <v>140</v>
      </c>
      <c r="O10" s="132" t="s">
        <v>43</v>
      </c>
      <c r="P10" s="133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26"/>
      <c r="V10" s="126"/>
      <c r="W10" s="126"/>
      <c r="X10" s="126"/>
      <c r="Y10" s="12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42">
        <f>E10/B10</f>
        <v>12.000000000000002</v>
      </c>
      <c r="F11" s="143"/>
      <c r="G11" s="16" t="s">
        <v>14</v>
      </c>
      <c r="H11" s="142">
        <f>H10/B10</f>
        <v>324</v>
      </c>
      <c r="I11" s="143"/>
      <c r="J11" s="16" t="s">
        <v>49</v>
      </c>
      <c r="K11" s="61" t="s">
        <v>43</v>
      </c>
      <c r="L11" s="62"/>
      <c r="M11" s="30"/>
      <c r="N11" s="17"/>
      <c r="O11" s="123" t="str">
        <f>IF(O10="NONE","","V")</f>
        <v/>
      </c>
      <c r="P11" s="124"/>
      <c r="Q11" s="17"/>
      <c r="R11" s="123" t="str">
        <f>IF(R10="None","","P")</f>
        <v/>
      </c>
      <c r="S11" s="123"/>
      <c r="T11" s="17"/>
      <c r="U11" s="128"/>
      <c r="V11" s="128"/>
      <c r="W11" s="128"/>
      <c r="X11" s="128"/>
      <c r="Y11" s="129"/>
    </row>
    <row r="12" spans="1:25" ht="20.149999999999999" customHeight="1" x14ac:dyDescent="0.7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5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22</v>
      </c>
      <c r="V16" s="62"/>
      <c r="W16" s="16" t="str">
        <f>IF(ISNUMBER(SEARCH("Tube",O8,1)),"Total Tube",IF(ISNUMBER(SEARCH("bag",O8,1)),"Total Bags","Total Sheets"))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53"/>
      <c r="J17" s="154"/>
      <c r="K17" s="153"/>
      <c r="L17" s="154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IF(ISNUMBER(SEARCH("Tube",O8,1)),"Part Rolls",IF(ISNUMBER(SEARCH("roll",O8,1)),"Part Rolls","Part Ctns"))</f>
        <v>Part Rolls</v>
      </c>
      <c r="U17" s="61" t="s">
        <v>22</v>
      </c>
      <c r="V17" s="62"/>
      <c r="W17" s="16" t="str">
        <f>IF(ISNUMBER(SEARCH("Tube",O8,1)),"No. Rolls",IF(ISNUMBER(SEARCH("roll",O8,1)),"Total Rolls","Total Ctns"))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53"/>
      <c r="J18" s="154"/>
      <c r="K18" s="153"/>
      <c r="L18" s="154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53"/>
      <c r="J19" s="154"/>
      <c r="K19" s="153"/>
      <c r="L19" s="154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53"/>
      <c r="J20" s="154"/>
      <c r="K20" s="153"/>
      <c r="L20" s="154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53"/>
      <c r="J21" s="154"/>
      <c r="K21" s="153"/>
      <c r="L21" s="154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53"/>
      <c r="J22" s="154"/>
      <c r="K22" s="153"/>
      <c r="L22" s="154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8" t="s">
        <v>198</v>
      </c>
      <c r="B23" s="148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3"/>
      <c r="F23" s="84"/>
      <c r="G23" s="34" t="s">
        <v>86</v>
      </c>
      <c r="H23" s="35"/>
      <c r="I23" s="153"/>
      <c r="J23" s="154"/>
      <c r="K23" s="153"/>
      <c r="L23" s="154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9"/>
      <c r="B24" s="150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53"/>
      <c r="J24" s="154"/>
      <c r="K24" s="153"/>
      <c r="L24" s="154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52"/>
      <c r="H27" s="152"/>
      <c r="I27" s="152"/>
      <c r="J27" s="152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52"/>
      <c r="H28" s="152"/>
      <c r="I28" s="152"/>
      <c r="J28" s="15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1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45536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45526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5" t="s">
        <v>194</v>
      </c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8"/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6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188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 t="s">
        <v>139</v>
      </c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8"/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7" t="s">
        <v>27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 t="s">
        <v>167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110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130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150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>
        <v>180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168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169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" t="s">
        <v>37</v>
      </c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7" t="s">
        <v>25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34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36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 t="s">
        <v>170</v>
      </c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"/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7" t="s">
        <v>100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37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31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171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184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" t="s">
        <v>185</v>
      </c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6" t="s">
        <v>172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30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5" t="s">
        <v>22</v>
      </c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7" t="s">
        <v>26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35</v>
      </c>
    </row>
    <row r="59" spans="1:20" x14ac:dyDescent="0.75">
      <c r="A59" s="59" t="s">
        <v>147</v>
      </c>
      <c r="N59" s="55" t="s">
        <v>32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3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7628F08-3644-4107-BA0D-D8CCD2FB5D74}"/>
</file>

<file path=customXml/itemProps2.xml><?xml version="1.0" encoding="utf-8"?>
<ds:datastoreItem xmlns:ds="http://schemas.openxmlformats.org/officeDocument/2006/customXml" ds:itemID="{31A1C488-CAD8-4F17-AEE5-D9053DC977E8}"/>
</file>

<file path=customXml/itemProps3.xml><?xml version="1.0" encoding="utf-8"?>
<ds:datastoreItem xmlns:ds="http://schemas.openxmlformats.org/officeDocument/2006/customXml" ds:itemID="{0EB63C37-7C21-4D5F-AB8D-16B16D07EC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2024-05-22T00:00:29Z</cp:lastPrinted>
  <dcterms:created xsi:type="dcterms:W3CDTF">2019-11-27T23:28:06Z</dcterms:created>
  <dcterms:modified xsi:type="dcterms:W3CDTF">2024-08-08T23:42:43Z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