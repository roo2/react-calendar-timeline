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7949310-2F06-4E0B-BE17-DD7BE5EA06BA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<sst xmlns="http://schemas.openxmlformats.org/spreadsheetml/2006/main" count="302" uniqueCount="198">
  <si>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</si>
  <si>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</si>
  <si>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</si>
  <si>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</si>
  <si>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</si>
  <si>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</si>
  <si>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</si>
  <si>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</si>
  <si>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</si>
  <si>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</si>
  <si>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</si>
  <si>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</si>
  <si>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</si>
  <si>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</si>
  <si>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</si>
  <si>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</si>
  <si>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</si>
  <si>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</si>
  <si>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</si>
  <si>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</si>
  <si>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</si>
  <si>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</si>
  <si>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</si>
  <si>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</si>
  <si>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</si>
  <si>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</si>
  <si>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</si>
  <si>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</si>
  <si>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</si>
  <si>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</si>
  <si>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</si>
  <si>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</si>
  <si>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</si>
  <si>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</si>
  <si>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</si>
  <si>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</si>
  <si>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</si>
  <si>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</si>
  <si>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</si>
  <si>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</si>
  <si>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</si>
  <si>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</si>
  <si>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</si>
  <si>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</si>
  <si>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</si>
  <si>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</si>
  <si>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</si>
  <si>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</si>
  <si>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</si>
  <si>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</si>
  <si>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</si>
  <si>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</si>
  <si>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</si>
  <si>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</si>
  <si>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</si>
  <si>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</si>
  <si>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</si>
  <si>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</si>
  <si>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</si>
  <si>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</si>
  <si>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</si>
  <si>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</si>
  <si>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</si>
  <si>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</si>
  <si>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</si>
  <si>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</si>
  <si>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</si>
  <si>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</si>
  <si>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</si>
  <si>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</si>
  <si>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</si>
  <si>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</si>
  <si>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</si>
  <si>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</si>
  <si>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</si>
  <si>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</si>
  <si>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</si>
  <si>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</si>
  <si>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</si>
  <si>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</si>
  <si>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</si>
  <si>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</si>
  <si>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</si>
  <si>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</si>
  <si>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</si>
  <si>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</si>
  <si>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</si>
  <si>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</si>
  <si>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</si>
  <si>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</si>
  <si>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</si>
  <si>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</si>
  <si>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</si>
  <si>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</si>
  <si>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</si>
  <si>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</si>
  <si>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</si>
  <si>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</si>
  <si>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</si>
  <si>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</si>
  <si>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</si>
  <si>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</si>
  <si>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</si>
  <si>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</si>
  <si>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</si>
  <si>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</si>
  <si>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</si>
  <si>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</si>
  <si>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</si>
  <si>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</si>
  <si>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</si>
  <si>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</si>
  <si>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</si>
  <si>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</si>
  <si>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</si>
  <si>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</si>
  <si>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</si>
  <si>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</si>
  <si>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</si>
  <si>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</si>
  <si>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</si>
  <si>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</si>
  <si>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</si>
  <si>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</si>
  <si>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</si>
  <si>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</si>
  <si>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</si>
  <si>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</si>
  <si>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</si>
  <si>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</si>
  <si>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</si>
  <si>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</si>
  <si>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</si>
  <si>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</si>
  <si>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</si>
  <si>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</si>
  <si>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</si>
  <si>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</si>
  <si>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</si>
  <si>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</si>
  <si>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</si>
  <si>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</si>
  <si>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</si>
  <si>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</si>
  <si>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</si>
  <si>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</si>
  <si>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</si>
  <si>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</si>
  <si>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</si>
  <si>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</si>
  <si>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</si>
  <si>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</si>
  <si>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</si>
  <si>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</si>
  <si>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</si>
  <si>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</si>
  <si>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</si>
  <si>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</si>
  <si>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</si>
  <si>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</si>
  <si>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</si>
  <si>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</si>
  <si>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</si>
  <si>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</si>
  <si>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</si>
  <si>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</si>
  <si>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</si>
  <si>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</si>
  <si>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</si>
  <si>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</si>
  <si>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</si>
  <si>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</si>
  <si>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</si>
  <si>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</si>
  <si>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</si>
  <si>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</si>
  <si>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</si>
  <si>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</si>
  <si>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</si>
  <si>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</si>
  <si>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</si>
  <si>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</si>
  <si>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</si>
  <si>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</si>
  <si>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</si>
  <si>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</si>
  <si>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</si>
  <si>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</si>
  <si>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</si>
  <si>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</si>
  <si>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</si>
  <si>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</si>
  <si>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</si>
  <si>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</si>
  <si>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</si>
  <si>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limax</t>
  </si>
  <si>
    <t>OPAL PACKAGING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</si>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</sst>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19" fillId="5" borderId="2" xfId="0" applyFont="1" applyFill="1" applyBorder="1" applyAlignment="1" applyProtection="1">
      <alignment horizontal="center"/>
      <protection locked="0"/>
    </xf>
    <xf numFmtId="0" fontId="19" fillId="5" borderId="5" xfId="0" applyFont="1" applyFill="1" applyBorder="1" applyAlignment="1" applyProtection="1">
      <alignment horizontal="center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PB250450200</v>
      </c>
      <c r="C1" s="111"/>
      <c r="D1" s="112"/>
      <c r="E1" s="11" t="s">
        <v>57</v>
      </c>
      <c r="F1" s="122" t="s">
        <v>196</v>
      </c>
      <c r="G1" s="87"/>
      <c r="H1" s="88"/>
      <c r="I1" s="12" t="s">
        <v>181</v>
      </c>
      <c r="J1" s="84">
        <f ca="1">TODAY()</f>
        <v>45408</v>
      </c>
      <c r="K1" s="84"/>
      <c r="L1" s="85"/>
      <c r="M1" s="29"/>
      <c r="N1" s="11" t="s">
        <v>56</v>
      </c>
      <c r="O1" s="111" t="str">
        <f>B1</f>
        <v>PB250450200</v>
      </c>
      <c r="P1" s="111"/>
      <c r="Q1" s="112"/>
      <c r="R1" s="11" t="s">
        <v>57</v>
      </c>
      <c r="S1" s="111" t="str">
        <f>F1</f>
        <v>OPAL PACKAGING</v>
      </c>
      <c r="T1" s="111"/>
      <c r="U1" s="112"/>
      <c r="V1" s="11" t="s">
        <v>181</v>
      </c>
      <c r="W1" s="84">
        <f ca="1">J1</f>
        <v>45408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947719</v>
      </c>
      <c r="G2" s="87"/>
      <c r="H2" s="88"/>
      <c r="I2" s="11" t="s">
        <v>59</v>
      </c>
      <c r="J2" s="86">
        <v>45429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947719</v>
      </c>
      <c r="T2" s="111"/>
      <c r="U2" s="112"/>
      <c r="V2" s="11" t="s">
        <v>59</v>
      </c>
      <c r="W2" s="123">
        <f>J2</f>
        <v>45429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25</v>
      </c>
      <c r="P7" s="88"/>
      <c r="Q7" s="11" t="str">
        <f>IF(ISNUMBER(SEARCH("roll",O8,1)),"Per Roll","Per Carton")</f>
        <v>Per Carton</v>
      </c>
      <c r="R7" s="87">
        <v>100</v>
      </c>
      <c r="S7" s="88"/>
      <c r="T7" s="11" t="str">
        <f>IF(ISNUMBER(SEARCH("bag",O8,1)),"Total Bags","Total Sheets")</f>
        <v>Total Bags</v>
      </c>
      <c r="U7" s="111">
        <f>R7*O7</f>
        <v>2500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250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200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197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250</v>
      </c>
      <c r="S9" s="18" t="s">
        <v>78</v>
      </c>
      <c r="T9" s="30">
        <v>450</v>
      </c>
      <c r="U9" s="18" t="s">
        <v>78</v>
      </c>
      <c r="V9" s="30">
        <v>200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5</v>
      </c>
      <c r="C10" s="88"/>
      <c r="D10" s="47" t="s">
        <v>134</v>
      </c>
      <c r="E10" s="101">
        <f>IF(ISNUMBER(SEARCH("sheet",O8,1)),((R9*T9*H8/540000)*U7/2000*1.3),((R9*T9*H8/540000)*U7/1000*1.08))</f>
        <v>112.5</v>
      </c>
      <c r="F10" s="102"/>
      <c r="G10" s="11" t="s">
        <v>53</v>
      </c>
      <c r="H10" s="105">
        <f>IF(ISNUMBER(SEARCH("sheet",O8,1)),(U7*T9/2000*1.08),(U7*T9/1000*1.08))</f>
        <v>1215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22.5</v>
      </c>
      <c r="F11" s="104"/>
      <c r="G11" s="11" t="s">
        <v>15</v>
      </c>
      <c r="H11" s="103">
        <f>H10/B10</f>
        <v>243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153" t="s">
        <v>31</v>
      </c>
      <c r="S16" s="154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3"/>
      <c r="Y16" s="83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1"/>
      <c r="J17" s="142"/>
      <c r="K17" s="141"/>
      <c r="L17" s="142"/>
      <c r="M17" s="29"/>
      <c r="N17" s="11" t="s">
        <v>26</v>
      </c>
      <c r="O17" s="87" t="s">
        <v>35</v>
      </c>
      <c r="P17" s="88"/>
      <c r="Q17" s="11" t="s">
        <v>104</v>
      </c>
      <c r="R17" s="153" t="s">
        <v>31</v>
      </c>
      <c r="S17" s="154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3"/>
      <c r="Y17" s="83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1"/>
      <c r="J18" s="142"/>
      <c r="K18" s="141"/>
      <c r="L18" s="142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3"/>
      <c r="Y18" s="83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1"/>
      <c r="J19" s="142"/>
      <c r="K19" s="141"/>
      <c r="L19" s="142"/>
      <c r="M19" s="29"/>
      <c r="N19" s="144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1"/>
      <c r="J20" s="142"/>
      <c r="K20" s="141"/>
      <c r="L20" s="142"/>
      <c r="M20" s="29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1"/>
      <c r="J21" s="142"/>
      <c r="K21" s="141"/>
      <c r="L21" s="142"/>
      <c r="M21" s="29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140"/>
      <c r="F22" s="83"/>
      <c r="G22" s="48" t="s">
        <v>86</v>
      </c>
      <c r="H22" s="32"/>
      <c r="I22" s="141"/>
      <c r="J22" s="142"/>
      <c r="K22" s="141"/>
      <c r="L22" s="142"/>
      <c r="M22" s="29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141"/>
      <c r="J23" s="142"/>
      <c r="K23" s="141"/>
      <c r="L23" s="142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141"/>
      <c r="J24" s="142"/>
      <c r="K24" s="141"/>
      <c r="L24" s="14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195</v>
      </c>
      <c r="P25" s="34"/>
      <c r="Q25" s="10">
        <v>28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45438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45429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F1A776C-F7F5-4976-889C-763A30A1C5FA}"/>
</file>

<file path=customXml/itemProps2.xml><?xml version="1.0" encoding="utf-8"?>
<ds:datastoreItem xmlns:ds="http://schemas.openxmlformats.org/officeDocument/2006/customXml" ds:itemID="{FDDD4260-C7B9-43DF-98C5-401149ECD9A3}"/>
</file>

<file path=customXml/itemProps3.xml><?xml version="1.0" encoding="utf-8"?>
<ds:datastoreItem xmlns:ds="http://schemas.openxmlformats.org/officeDocument/2006/customXml" ds:itemID="{CF6EE690-0A69-461C-AD59-7B90063E5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2024-04-26T01:04:22Z</cp:lastPrinted>
  <dcterms:created xsi:type="dcterms:W3CDTF">2019-11-27T23:28:06Z</dcterms:created>
  <dcterms:modified xsi:type="dcterms:W3CDTF">2024-04-26T03:42:59Z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