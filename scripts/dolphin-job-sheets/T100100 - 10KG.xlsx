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43D18F0-C10A-499B-9024-69A7DF749B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<sst xmlns="http://schemas.openxmlformats.org/spreadsheetml/2006/main" count="227" uniqueCount="169">
  <si>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</si>
  <si>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</si>
  <si>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</si>
  <si>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</si>
  <si>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</si>
  <si>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</si>
  <si>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</si>
  <si>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</si>
  <si>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</si>
  <si>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</si>
  <si>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</si>
  <si>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</si>
  <si>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</si>
  <si>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</si>
  <si>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</si>
  <si>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</si>
  <si>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</si>
  <si>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</si>
  <si>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</si>
  <si>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</si>
  <si>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</si>
  <si>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</si>
  <si>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</si>
  <si>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</si>
  <si>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</si>
  <si>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</si>
  <si>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</si>
  <si>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</si>
  <si>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</si>
  <si>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</si>
  <si>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</si>
  <si>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</si>
  <si>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</si>
  <si>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</si>
  <si>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</si>
  <si>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</si>
  <si>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</si>
  <si>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</si>
  <si>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</si>
  <si>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</si>
  <si>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</si>
  <si>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</si>
  <si>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</si>
  <si>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</si>
  <si>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</si>
  <si>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</si>
  <si>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</si>
  <si>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</si>
  <si>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</si>
  <si>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</si>
  <si>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</si>
  <si>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</si>
  <si>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</si>
  <si>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</si>
  <si>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</si>
  <si>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</si>
  <si>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</si>
  <si>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</si>
  <si>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</si>
  <si>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</si>
  <si>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</si>
  <si>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</si>
  <si>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</si>
  <si>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</si>
  <si>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</si>
  <si>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</si>
  <si>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</si>
  <si>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</si>
  <si>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</si>
  <si>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</si>
  <si>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</si>
  <si>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</si>
  <si>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</si>
  <si>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</si>
  <si>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</si>
  <si>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</si>
  <si>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</si>
  <si>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</si>
  <si>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</si>
  <si>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</si>
  <si>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</si>
  <si>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</si>
  <si>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</si>
  <si>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</si>
  <si>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</si>
  <si>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</si>
  <si>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</si>
  <si>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</si>
  <si>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</si>
  <si>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</si>
  <si>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</si>
  <si>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</si>
  <si>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</si>
  <si>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</si>
  <si>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</si>
  <si>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</si>
  <si>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</si>
  <si>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</si>
  <si>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</si>
  <si>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</si>
  <si>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</si>
  <si>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</si>
  <si>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</si>
  <si>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</si>
  <si>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</si>
  <si>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</si>
  <si>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</si>
  <si>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</si>
  <si>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</si>
  <si>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</si>
  <si>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</si>
  <si>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</si>
  <si>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</si>
  <si>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</si>
  <si>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</si>
  <si>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</si>
  <si>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</si>
  <si>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</si>
  <si>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</si>
  <si>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</si>
  <si>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</si>
  <si>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</si>
  <si>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</si>
  <si>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</si>
  <si>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</si>
  <si>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</si>
  <si>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</si>
  <si>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</si>
  <si>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</si>
  <si>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</si>
  <si>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</si>
  <si>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</si>
  <si>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</si>
  <si>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</si>
  <si>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</si>
  <si>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</si>
  <si>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</si>
  <si>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</si>
  <si>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</si>
  <si>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</si>
  <si>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</si>
  <si>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</si>
  <si>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</si>
  <si>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</si>
  <si>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</si>
  <si>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</si>
  <si>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</si>
  <si>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</si>
  <si>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</si>
  <si>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</si>
  <si>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</si>
  <si>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</si>
  <si>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</si>
  <si>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</si>
  <si>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</si>
  <si>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</si>
  <si>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</si>
  <si>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</si>
  <si>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</si>
  <si>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</si>
  <si>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</si>
  <si>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</si>
  <si>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</si>
  <si>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</si>
  <si>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CANBRAX &amp; STOCK</t>
  </si>
  <si>
    <t>NOT OVER 100UM</t>
  </si>
  <si>
    <t>#2</t>
  </si>
  <si>
    <t>L3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</si>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</sst>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4" sqref="E24:F24"/>
    </sheetView>
  </sheetViews>
  <sheetFormatPr defaultRowHeight="15" x14ac:dyDescent="0.25"/>
  <sheetData>
    <row r="1" spans="1:14" ht="20.100000000000001" customHeight="1" x14ac:dyDescent="0.25">
      <c r="A1" s="9" t="s">
        <v>54</v>
      </c>
      <c r="B1" s="60" t="str">
        <f>IF(B7="Tube","T",IF(B7="Cont Sheet Roll","SR",IF(B7="Cont Centrefold","CFR")))&amp;B8&amp;IF(E8="","","("&amp;E8&amp;")")&amp;H8&amp;(IF(K11="INLINE","P",IF(K11="OUT OF LINE","P",IF(K11="NONE",""))))&amp;C24&amp;C25</f>
        <v>T100100</v>
      </c>
      <c r="C1" s="60"/>
      <c r="D1" s="61"/>
      <c r="E1" s="9" t="s">
        <v>55</v>
      </c>
      <c r="F1" s="50" t="s">
        <v>164</v>
      </c>
      <c r="G1" s="50"/>
      <c r="H1" s="51"/>
      <c r="I1" s="9" t="s">
        <v>148</v>
      </c>
      <c r="J1" s="75">
        <f ca="1">TODAY()</f>
        <v>45870</v>
      </c>
      <c r="K1" s="75"/>
      <c r="L1" s="76"/>
    </row>
    <row r="2" spans="1:14" ht="20.100000000000001" customHeight="1" x14ac:dyDescent="0.25">
      <c r="A2" s="9" t="s">
        <v>94</v>
      </c>
      <c r="B2" s="64" t="str">
        <f>IF(B7="Tube",(ROUNDUP(E11,0)&amp;"KG"),(ROUNDUP(H11,0)&amp;"M"))</f>
        <v>10KG</v>
      </c>
      <c r="C2" s="64"/>
      <c r="D2" s="65"/>
      <c r="E2" s="9" t="s">
        <v>56</v>
      </c>
      <c r="F2" s="50">
        <v>941126</v>
      </c>
      <c r="G2" s="50"/>
      <c r="H2" s="51"/>
      <c r="I2" s="9" t="s">
        <v>57</v>
      </c>
      <c r="J2" s="77">
        <v>44462</v>
      </c>
      <c r="K2" s="50"/>
      <c r="L2" s="51"/>
    </row>
    <row r="3" spans="1:14" ht="20.100000000000001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20.100000000000001" customHeight="1" x14ac:dyDescent="0.2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4" ht="20.100000000000001" customHeight="1" x14ac:dyDescent="0.2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4"/>
    </row>
    <row r="6" spans="1:14" ht="20.100000000000001" customHeight="1" x14ac:dyDescent="0.25">
      <c r="A6" s="57" t="s">
        <v>1</v>
      </c>
      <c r="B6" s="58"/>
      <c r="C6" s="58"/>
      <c r="D6" s="58"/>
      <c r="E6" s="58"/>
      <c r="F6" s="58"/>
      <c r="G6" s="58"/>
      <c r="H6" s="58"/>
      <c r="I6" s="58"/>
      <c r="J6" s="78"/>
      <c r="K6" s="78"/>
      <c r="L6" s="79"/>
    </row>
    <row r="7" spans="1:14" ht="20.100000000000001" customHeight="1" x14ac:dyDescent="0.3">
      <c r="A7" s="9" t="s">
        <v>158</v>
      </c>
      <c r="B7" s="50" t="s">
        <v>159</v>
      </c>
      <c r="C7" s="51"/>
      <c r="D7" s="9" t="s">
        <v>47</v>
      </c>
      <c r="E7" s="106" t="s">
        <v>131</v>
      </c>
      <c r="F7" s="106"/>
      <c r="G7" s="106"/>
      <c r="H7" s="106"/>
      <c r="I7" s="106"/>
      <c r="J7" s="90" t="s">
        <v>145</v>
      </c>
      <c r="K7" s="90"/>
      <c r="L7" s="91"/>
    </row>
    <row r="8" spans="1:14" ht="20.100000000000001" customHeight="1" x14ac:dyDescent="0.25">
      <c r="A8" s="10" t="s">
        <v>14</v>
      </c>
      <c r="B8" s="96">
        <v>100</v>
      </c>
      <c r="C8" s="97"/>
      <c r="D8" s="10" t="str">
        <f>IF(B7="Tube","Gusset","Centrefold")</f>
        <v>Gusset</v>
      </c>
      <c r="E8" s="92" t="str">
        <f>IF(B7="Cont Centrefold",B8*2,"")</f>
        <v/>
      </c>
      <c r="F8" s="93"/>
      <c r="G8" s="10" t="s">
        <v>50</v>
      </c>
      <c r="H8" s="96">
        <v>100</v>
      </c>
      <c r="I8" s="97"/>
      <c r="J8" s="9" t="s">
        <v>52</v>
      </c>
      <c r="K8" s="60" t="str">
        <f>IF(ISNUMBER(SEARCH("+",E8,1)),"Gusset Tube","Layflat Tube")</f>
        <v>Layflat Tube</v>
      </c>
      <c r="L8" s="61"/>
    </row>
    <row r="9" spans="1:14" ht="20.100000000000001" customHeight="1" x14ac:dyDescent="0.3">
      <c r="A9" s="11" t="s">
        <v>46</v>
      </c>
      <c r="B9" s="80" t="s">
        <v>146</v>
      </c>
      <c r="C9" s="81"/>
      <c r="D9" s="45" t="str">
        <f>IF(K10="Middle","RUN 2 UP",IF(AND(B7="Cont Centrefold",B8=380),"RUN 2 UP",""))</f>
        <v/>
      </c>
      <c r="E9" s="46"/>
      <c r="F9" s="47"/>
      <c r="G9" s="11" t="s">
        <v>46</v>
      </c>
      <c r="H9" s="80" t="s">
        <v>165</v>
      </c>
      <c r="I9" s="81"/>
      <c r="J9" s="9" t="s">
        <v>53</v>
      </c>
      <c r="K9" s="50" t="s">
        <v>28</v>
      </c>
      <c r="L9" s="51"/>
    </row>
    <row r="10" spans="1:14" ht="20.100000000000001" customHeight="1" x14ac:dyDescent="0.25">
      <c r="A10" s="9" t="s">
        <v>49</v>
      </c>
      <c r="B10" s="50">
        <v>20</v>
      </c>
      <c r="C10" s="51"/>
      <c r="D10" s="34" t="s">
        <v>104</v>
      </c>
      <c r="E10" s="84">
        <f>E11*B10</f>
        <v>200</v>
      </c>
      <c r="F10" s="85"/>
      <c r="G10" s="9" t="s">
        <v>51</v>
      </c>
      <c r="H10" s="64">
        <f>H11*B10</f>
        <v>10800</v>
      </c>
      <c r="I10" s="65"/>
      <c r="J10" s="9" t="s">
        <v>39</v>
      </c>
      <c r="K10" s="50" t="s">
        <v>42</v>
      </c>
      <c r="L10" s="51"/>
    </row>
    <row r="11" spans="1:14" s="41" customFormat="1" ht="20.100000000000001" customHeight="1" x14ac:dyDescent="0.25">
      <c r="A11" s="40" t="str">
        <f>IF(B7="Cont Sheet Roll","Sheet Rolls",IF(B7="Cont Centrefold","CF Rolls",""))</f>
        <v/>
      </c>
      <c r="B11" s="82" t="str">
        <f>IF(AND(B7="Cont Centrefold",D9="RUN 2 UP"),B10*2,IF(B7="Cont Centrefold",B10,IF(B7="Cont Sheet Roll",B10*2,"")))</f>
        <v/>
      </c>
      <c r="C11" s="83"/>
      <c r="D11" s="40" t="s">
        <v>105</v>
      </c>
      <c r="E11" s="86">
        <v>10</v>
      </c>
      <c r="F11" s="87"/>
      <c r="G11" s="40" t="s">
        <v>13</v>
      </c>
      <c r="H11" s="88">
        <f>E11*540000/B8/H8</f>
        <v>540</v>
      </c>
      <c r="I11" s="89"/>
      <c r="J11" s="40" t="s">
        <v>48</v>
      </c>
      <c r="K11" s="94" t="s">
        <v>42</v>
      </c>
      <c r="L11" s="95"/>
      <c r="N11"/>
    </row>
    <row r="12" spans="1:14" ht="20.100000000000001" customHeight="1" x14ac:dyDescent="0.25">
      <c r="A12" s="104" t="s">
        <v>11</v>
      </c>
      <c r="B12" s="105"/>
      <c r="C12" s="105"/>
      <c r="D12" s="105"/>
      <c r="E12" s="100"/>
      <c r="F12" s="100"/>
      <c r="G12" s="100"/>
      <c r="H12" s="100"/>
      <c r="I12" s="100"/>
      <c r="J12" s="100"/>
      <c r="K12" s="100"/>
      <c r="L12" s="101"/>
    </row>
    <row r="13" spans="1:14" ht="20.100000000000001" customHeight="1" x14ac:dyDescent="0.25">
      <c r="A13" s="9" t="s">
        <v>59</v>
      </c>
      <c r="B13" s="50" t="s">
        <v>42</v>
      </c>
      <c r="C13" s="50"/>
      <c r="D13" s="51"/>
      <c r="E13" s="12" t="s">
        <v>60</v>
      </c>
      <c r="F13" s="50" t="s">
        <v>42</v>
      </c>
      <c r="G13" s="50"/>
      <c r="H13" s="51"/>
      <c r="I13" s="9" t="s">
        <v>61</v>
      </c>
      <c r="J13" s="50" t="s">
        <v>42</v>
      </c>
      <c r="K13" s="50"/>
      <c r="L13" s="51"/>
    </row>
    <row r="14" spans="1:14" ht="20.100000000000001" customHeight="1" x14ac:dyDescent="0.3">
      <c r="A14" s="10" t="s">
        <v>58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4" ht="20.100000000000001" customHeight="1" x14ac:dyDescent="0.25">
      <c r="A15" s="57" t="s">
        <v>70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4" ht="20.100000000000001" customHeight="1" x14ac:dyDescent="0.25">
      <c r="A16" s="9" t="s">
        <v>71</v>
      </c>
      <c r="B16" s="50" t="s">
        <v>75</v>
      </c>
      <c r="C16" s="50"/>
      <c r="D16" s="51"/>
      <c r="E16" s="9" t="s">
        <v>72</v>
      </c>
      <c r="F16" s="60">
        <f>B10</f>
        <v>20</v>
      </c>
      <c r="G16" s="60"/>
      <c r="H16" s="61"/>
      <c r="I16" s="9" t="s">
        <v>74</v>
      </c>
      <c r="J16" s="50"/>
      <c r="K16" s="50"/>
      <c r="L16" s="51"/>
    </row>
    <row r="17" spans="1:12" ht="20.100000000000001" customHeight="1" x14ac:dyDescent="0.25">
      <c r="A17" s="52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ht="20.100000000000001" customHeight="1" x14ac:dyDescent="0.25">
      <c r="A18" s="98" t="s">
        <v>2</v>
      </c>
      <c r="B18" s="91"/>
      <c r="C18" s="98" t="s">
        <v>111</v>
      </c>
      <c r="D18" s="91"/>
      <c r="E18" s="98" t="s">
        <v>3</v>
      </c>
      <c r="F18" s="91"/>
      <c r="G18" s="98" t="s">
        <v>4</v>
      </c>
      <c r="H18" s="91"/>
      <c r="I18" s="98" t="s">
        <v>9</v>
      </c>
      <c r="J18" s="91"/>
      <c r="K18" s="98" t="s">
        <v>10</v>
      </c>
      <c r="L18" s="91"/>
    </row>
    <row r="19" spans="1:12" ht="20.100000000000001" customHeight="1" x14ac:dyDescent="0.25">
      <c r="A19" s="48" t="s">
        <v>5</v>
      </c>
      <c r="B19" s="48"/>
      <c r="C19" s="62" t="s">
        <v>115</v>
      </c>
      <c r="D19" s="63"/>
      <c r="E19" s="102"/>
      <c r="F19" s="103"/>
      <c r="G19" s="8" t="s">
        <v>76</v>
      </c>
      <c r="H19" s="29"/>
      <c r="I19" s="55"/>
      <c r="J19" s="56"/>
      <c r="K19" s="55"/>
      <c r="L19" s="56"/>
    </row>
    <row r="20" spans="1:12" ht="20.100000000000001" customHeight="1" x14ac:dyDescent="0.25">
      <c r="A20" s="48" t="s">
        <v>6</v>
      </c>
      <c r="B20" s="48"/>
      <c r="C20" s="62" t="s">
        <v>114</v>
      </c>
      <c r="D20" s="63"/>
      <c r="E20" s="102"/>
      <c r="F20" s="103"/>
      <c r="G20" s="8" t="s">
        <v>77</v>
      </c>
      <c r="H20" s="29"/>
      <c r="I20" s="55"/>
      <c r="J20" s="56"/>
      <c r="K20" s="55"/>
      <c r="L20" s="56"/>
    </row>
    <row r="21" spans="1:12" ht="20.100000000000001" customHeight="1" x14ac:dyDescent="0.25">
      <c r="A21" s="48" t="s">
        <v>7</v>
      </c>
      <c r="B21" s="48"/>
      <c r="C21" s="62" t="s">
        <v>113</v>
      </c>
      <c r="D21" s="63"/>
      <c r="E21" s="102"/>
      <c r="F21" s="103"/>
      <c r="G21" s="8" t="s">
        <v>78</v>
      </c>
      <c r="H21" s="29"/>
      <c r="I21" s="55"/>
      <c r="J21" s="56"/>
      <c r="K21" s="55"/>
      <c r="L21" s="56"/>
    </row>
    <row r="22" spans="1:12" ht="20.100000000000001" customHeight="1" x14ac:dyDescent="0.25">
      <c r="A22" s="48" t="s">
        <v>8</v>
      </c>
      <c r="B22" s="48"/>
      <c r="C22" s="62" t="s">
        <v>112</v>
      </c>
      <c r="D22" s="63"/>
      <c r="E22" s="102"/>
      <c r="F22" s="103"/>
      <c r="G22" s="8" t="s">
        <v>79</v>
      </c>
      <c r="H22" s="29"/>
      <c r="I22" s="55"/>
      <c r="J22" s="56"/>
      <c r="K22" s="55"/>
      <c r="L22" s="56"/>
    </row>
    <row r="23" spans="1:12" ht="20.100000000000001" customHeight="1" x14ac:dyDescent="0.25">
      <c r="A23" s="48" t="s">
        <v>150</v>
      </c>
      <c r="B23" s="48"/>
      <c r="C23" s="62" t="s">
        <v>151</v>
      </c>
      <c r="D23" s="63"/>
      <c r="E23" s="102"/>
      <c r="F23" s="103"/>
      <c r="G23" s="8" t="s">
        <v>80</v>
      </c>
      <c r="H23" s="29"/>
      <c r="I23" s="55"/>
      <c r="J23" s="56"/>
      <c r="K23" s="55"/>
      <c r="L23" s="56"/>
    </row>
    <row r="24" spans="1:12" ht="20.100000000000001" customHeight="1" x14ac:dyDescent="0.25">
      <c r="A24" s="48" t="str">
        <f>(IF(E7="NATURAL","",E7))</f>
        <v/>
      </c>
      <c r="B24" s="48"/>
      <c r="C24" s="11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19"/>
      <c r="E24" s="102" t="s">
        <v>168</v>
      </c>
      <c r="F24" s="103"/>
      <c r="G24" s="8" t="s">
        <v>81</v>
      </c>
      <c r="H24" s="29"/>
      <c r="I24" s="55"/>
      <c r="J24" s="56"/>
      <c r="K24" s="55"/>
      <c r="L24" s="56"/>
    </row>
    <row r="25" spans="1:12" ht="20.100000000000001" customHeight="1" x14ac:dyDescent="0.25">
      <c r="A25" s="48"/>
      <c r="B25" s="48"/>
      <c r="C25" s="6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3"/>
      <c r="E25" s="102"/>
      <c r="F25" s="103"/>
      <c r="G25" s="8" t="s">
        <v>82</v>
      </c>
      <c r="H25" s="29"/>
      <c r="I25" s="55"/>
      <c r="J25" s="56"/>
      <c r="K25" s="55"/>
      <c r="L25" s="56"/>
    </row>
    <row r="26" spans="1:12" ht="20.100000000000001" customHeight="1" x14ac:dyDescent="0.25">
      <c r="A26" s="99" t="s">
        <v>0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12" ht="20.100000000000001" customHeight="1" x14ac:dyDescent="0.2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49" t="s">
        <v>103</v>
      </c>
      <c r="H27" s="49"/>
      <c r="I27" s="49" t="s">
        <v>102</v>
      </c>
      <c r="J27" s="49"/>
      <c r="K27" s="15" t="s">
        <v>88</v>
      </c>
      <c r="L27" s="15" t="s">
        <v>89</v>
      </c>
    </row>
    <row r="28" spans="1:12" ht="20.100000000000001" customHeight="1" x14ac:dyDescent="0.25">
      <c r="A28" s="14" t="s">
        <v>90</v>
      </c>
      <c r="B28" s="6" t="s">
        <v>166</v>
      </c>
      <c r="C28" s="6"/>
      <c r="D28" s="120">
        <v>36</v>
      </c>
      <c r="E28" s="43">
        <v>4.5999999999999996</v>
      </c>
      <c r="F28" s="6"/>
      <c r="G28" s="44"/>
      <c r="H28" s="44"/>
      <c r="I28" s="44"/>
      <c r="J28" s="44"/>
      <c r="K28" s="6"/>
      <c r="L28" s="21"/>
    </row>
    <row r="29" spans="1:12" ht="20.100000000000001" customHeight="1" x14ac:dyDescent="0.25">
      <c r="A29" s="14" t="s">
        <v>91</v>
      </c>
      <c r="B29" s="6" t="s">
        <v>167</v>
      </c>
      <c r="C29" s="6"/>
      <c r="D29" s="120">
        <v>13.8</v>
      </c>
      <c r="E29" s="43">
        <v>3.4</v>
      </c>
      <c r="F29" s="6"/>
      <c r="G29" s="44"/>
      <c r="H29" s="44"/>
      <c r="I29" s="44"/>
      <c r="J29" s="44"/>
      <c r="K29" s="6"/>
      <c r="L29" s="21"/>
    </row>
    <row r="30" spans="1:12" ht="20.100000000000001" customHeight="1" x14ac:dyDescent="0.25">
      <c r="A30" s="104" t="s">
        <v>93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17"/>
    </row>
    <row r="31" spans="1:12" ht="20.100000000000001" customHeight="1" x14ac:dyDescent="0.2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00000000000001" customHeight="1" x14ac:dyDescent="0.2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00000000000001" customHeight="1" x14ac:dyDescent="0.2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00000000000001" customHeight="1" x14ac:dyDescent="0.25">
      <c r="A34" s="108" t="s">
        <v>101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10"/>
    </row>
    <row r="35" spans="1:12" ht="20.100000000000001" customHeight="1" x14ac:dyDescent="0.25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3"/>
    </row>
    <row r="36" spans="1:12" ht="20.100000000000001" customHeight="1" x14ac:dyDescent="0.25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6"/>
    </row>
    <row r="37" spans="1:12" ht="20.100000000000001" customHeight="1" x14ac:dyDescent="0.25">
      <c r="A37" s="52" t="s">
        <v>106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20.100000000000001" customHeight="1" x14ac:dyDescent="0.2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00000000000001" customHeight="1" x14ac:dyDescent="0.2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00000000000001" customHeight="1" x14ac:dyDescent="0.2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00000000000001" customHeight="1" x14ac:dyDescent="0.2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00000000000001" customHeight="1" x14ac:dyDescent="0.2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00000000000001" customHeight="1" x14ac:dyDescent="0.2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00000000000001" customHeight="1" x14ac:dyDescent="0.25"/>
    <row r="45" spans="1:12" ht="20.100000000000001" customHeight="1" x14ac:dyDescent="0.2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00000000000001" customHeight="1" x14ac:dyDescent="0.2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00000000000001" customHeight="1" x14ac:dyDescent="0.2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00000000000001" customHeight="1" x14ac:dyDescent="0.2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00000000000001" customHeight="1" x14ac:dyDescent="0.2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00000000000001" customHeight="1" x14ac:dyDescent="0.2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00000000000001" customHeight="1" x14ac:dyDescent="0.2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00000000000001" customHeight="1" x14ac:dyDescent="0.2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00000000000001" customHeight="1" x14ac:dyDescent="0.2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00000000000001" customHeight="1" x14ac:dyDescent="0.2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00000000000001" customHeight="1" x14ac:dyDescent="0.2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00000000000001" customHeight="1" x14ac:dyDescent="0.2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00000000000001" customHeight="1" x14ac:dyDescent="0.2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00000000000001" customHeight="1" x14ac:dyDescent="0.2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00000000000001" customHeight="1" x14ac:dyDescent="0.2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00000000000001" customHeight="1" x14ac:dyDescent="0.2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00000000000001" customHeight="1" x14ac:dyDescent="0.2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00000000000001" customHeight="1" x14ac:dyDescent="0.2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00000000000001" customHeight="1" x14ac:dyDescent="0.2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00000000000001" customHeight="1" x14ac:dyDescent="0.2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00000000000001" customHeight="1" x14ac:dyDescent="0.2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00000000000001" customHeight="1" x14ac:dyDescent="0.2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00000000000001" customHeight="1" x14ac:dyDescent="0.2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00000000000001" customHeight="1" x14ac:dyDescent="0.2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00000000000001" customHeight="1" x14ac:dyDescent="0.2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00000000000001" customHeight="1" x14ac:dyDescent="0.2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00000000000001" customHeight="1" x14ac:dyDescent="0.2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00000000000001" customHeight="1" x14ac:dyDescent="0.2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00000000000001" customHeight="1" x14ac:dyDescent="0.2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00000000000001" customHeight="1" x14ac:dyDescent="0.2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00000000000001" customHeight="1" x14ac:dyDescent="0.2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00000000000001" customHeight="1" x14ac:dyDescent="0.2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00000000000001" customHeight="1" x14ac:dyDescent="0.2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00000000000001" customHeight="1" x14ac:dyDescent="0.2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00000000000001" customHeight="1" x14ac:dyDescent="0.2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00000000000001" customHeight="1" x14ac:dyDescent="0.2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00000000000001" customHeight="1" x14ac:dyDescent="0.2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00000000000001" customHeight="1" x14ac:dyDescent="0.2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00000000000001" customHeight="1" x14ac:dyDescent="0.2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00000000000001" customHeight="1" x14ac:dyDescent="0.2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00000000000001" customHeight="1" x14ac:dyDescent="0.2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2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2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2">
        <f ca="1">DATE(YEAR(Sheet1!J1),MONTH(Sheet1!J1)+1,DAY(Sheet1!J1))</f>
        <v>45901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2">
        <f ca="1">DATE(YEAR(Sheet1!J1),MONTH(Sheet1!J1),DAY(Sheet1!J1)+21)</f>
        <v>45891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2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2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2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2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2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2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2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2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2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2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2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2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2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2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2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2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2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2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2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2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2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2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2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2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2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2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2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2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2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2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2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2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2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2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25">
      <c r="A59" s="35"/>
    </row>
    <row r="60" spans="1:20" x14ac:dyDescent="0.25">
      <c r="A60" s="36" t="s">
        <v>61</v>
      </c>
      <c r="O60" s="1"/>
      <c r="Q60" s="1"/>
      <c r="R60" s="3"/>
      <c r="S60" s="1"/>
    </row>
    <row r="61" spans="1:20" x14ac:dyDescent="0.25">
      <c r="A61" s="35" t="s">
        <v>42</v>
      </c>
      <c r="O61" s="1"/>
      <c r="Q61" s="1"/>
      <c r="R61" s="1"/>
      <c r="S61" s="1"/>
    </row>
    <row r="62" spans="1:20" x14ac:dyDescent="0.25">
      <c r="A62" s="38" t="s">
        <v>144</v>
      </c>
      <c r="O62" s="1"/>
      <c r="Q62" s="1"/>
      <c r="R62" s="1"/>
      <c r="S62" s="1"/>
    </row>
    <row r="63" spans="1:20" x14ac:dyDescent="0.25">
      <c r="A63" s="39" t="s">
        <v>123</v>
      </c>
      <c r="O63" s="1"/>
      <c r="Q63" s="1"/>
      <c r="R63" s="1"/>
      <c r="S63" s="1"/>
      <c r="T63" s="1"/>
    </row>
    <row r="64" spans="1:20" x14ac:dyDescent="0.25">
      <c r="A64" s="39" t="s">
        <v>116</v>
      </c>
      <c r="O64" s="1"/>
      <c r="Q64" s="1"/>
      <c r="R64" s="1"/>
      <c r="S64" s="1"/>
      <c r="T64" s="1"/>
    </row>
    <row r="65" spans="1:20" x14ac:dyDescent="0.2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39" t="s">
        <v>121</v>
      </c>
      <c r="N69" s="4"/>
    </row>
    <row r="70" spans="1:20" x14ac:dyDescent="0.25">
      <c r="A70" s="39" t="s">
        <v>142</v>
      </c>
    </row>
    <row r="71" spans="1:20" x14ac:dyDescent="0.25">
      <c r="A71" s="39" t="s">
        <v>122</v>
      </c>
    </row>
    <row r="72" spans="1:20" x14ac:dyDescent="0.25">
      <c r="A72" s="39" t="s">
        <v>120</v>
      </c>
    </row>
    <row r="73" spans="1:20" x14ac:dyDescent="0.25">
      <c r="A73" s="39" t="s">
        <v>121</v>
      </c>
    </row>
    <row r="74" spans="1:20" x14ac:dyDescent="0.25">
      <c r="A74" s="39" t="s">
        <v>142</v>
      </c>
    </row>
    <row r="75" spans="1:20" x14ac:dyDescent="0.2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F981FE9-6B64-41DC-954D-58F42E94FCFC}"/>
</file>

<file path=customXml/itemProps2.xml><?xml version="1.0" encoding="utf-8"?>
<ds:datastoreItem xmlns:ds="http://schemas.openxmlformats.org/officeDocument/2006/customXml" ds:itemID="{99FE2E77-65DF-4A88-905F-508F89FD4B9F}"/>
</file>

<file path=customXml/itemProps3.xml><?xml version="1.0" encoding="utf-8"?>
<ds:datastoreItem xmlns:ds="http://schemas.openxmlformats.org/officeDocument/2006/customXml" ds:itemID="{CB339B3C-EB13-464C-BA31-BC0D9AF764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2025-07-07T03:39:06Z</cp:lastPrinted>
  <dcterms:created xsi:type="dcterms:W3CDTF">2019-11-27T23:28:06Z</dcterms:created>
  <dcterms:modified xsi:type="dcterms:W3CDTF">2025-08-01T01:27:00Z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