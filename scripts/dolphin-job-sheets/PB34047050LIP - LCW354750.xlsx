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DD0763B-5DBA-4392-B49B-7CE7D613CE7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<sst xmlns="http://schemas.openxmlformats.org/spreadsheetml/2006/main" count="309" uniqueCount="205">
  <si>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</si>
  <si>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</si>
  <si>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</si>
  <si>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</si>
  <si>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</si>
  <si>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</si>
  <si>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</si>
  <si>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</si>
  <si>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</si>
  <si>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</si>
  <si>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</si>
  <si>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</si>
  <si>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</si>
  <si>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</si>
  <si>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</si>
  <si>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</si>
  <si>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</si>
  <si>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</si>
  <si>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</si>
  <si>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</si>
  <si>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</si>
  <si>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</si>
  <si>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</si>
  <si>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</si>
  <si>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</si>
  <si>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</si>
  <si>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</si>
  <si>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</si>
  <si>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</si>
  <si>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</si>
  <si>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</si>
  <si>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</si>
  <si>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</si>
  <si>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</si>
  <si>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</si>
  <si>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</si>
  <si>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</si>
  <si>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</si>
  <si>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</si>
  <si>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</si>
  <si>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</si>
  <si>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</si>
  <si>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</si>
  <si>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</si>
  <si>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</si>
  <si>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</si>
  <si>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</si>
  <si>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</si>
  <si>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</si>
  <si>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</si>
  <si>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</si>
  <si>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</si>
  <si>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</si>
  <si>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</si>
  <si>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</si>
  <si>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</si>
  <si>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</si>
  <si>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</si>
  <si>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</si>
  <si>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</si>
  <si>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</si>
  <si>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</si>
  <si>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</si>
  <si>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</si>
  <si>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</si>
  <si>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</si>
  <si>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</si>
  <si>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</si>
  <si>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</si>
  <si>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</si>
  <si>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</si>
  <si>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</si>
  <si>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</si>
  <si>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</si>
  <si>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</si>
  <si>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</si>
  <si>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</si>
  <si>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</si>
  <si>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</si>
  <si>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</si>
  <si>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</si>
  <si>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</si>
  <si>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</si>
  <si>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</si>
  <si>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</si>
  <si>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</si>
  <si>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</si>
  <si>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</si>
  <si>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</si>
  <si>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</si>
  <si>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</si>
  <si>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</si>
  <si>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</si>
  <si>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</si>
  <si>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</si>
  <si>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</si>
  <si>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</si>
  <si>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</si>
  <si>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</si>
  <si>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</si>
  <si>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</si>
  <si>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</si>
  <si>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</si>
  <si>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</si>
  <si>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</si>
  <si>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</si>
  <si>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</si>
  <si>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</si>
  <si>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</si>
  <si>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</si>
  <si>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</si>
  <si>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</si>
  <si>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</si>
  <si>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</si>
  <si>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</si>
  <si>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</si>
  <si>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</si>
  <si>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</si>
  <si>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</si>
  <si>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</si>
  <si>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</si>
  <si>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</si>
  <si>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</si>
  <si>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</si>
  <si>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</si>
  <si>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</si>
  <si>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</si>
  <si>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</si>
  <si>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</si>
  <si>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</si>
  <si>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</si>
  <si>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</si>
  <si>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</si>
  <si>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</si>
  <si>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</si>
  <si>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</si>
  <si>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</si>
  <si>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</si>
  <si>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</si>
  <si>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</si>
  <si>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</si>
  <si>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</si>
  <si>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</si>
  <si>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</si>
  <si>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</si>
  <si>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</si>
  <si>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</si>
  <si>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</si>
  <si>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</si>
  <si>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</si>
  <si>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</si>
  <si>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</si>
  <si>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</si>
  <si>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</si>
  <si>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</si>
  <si>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</si>
  <si>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</si>
  <si>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</si>
  <si>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</si>
  <si>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</si>
  <si>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</si>
  <si>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</si>
  <si>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</si>
  <si>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</si>
  <si>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</si>
  <si>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</si>
  <si>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</si>
  <si>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</si>
  <si>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</si>
  <si>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</si>
  <si>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</si>
  <si>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</si>
  <si>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</si>
  <si>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</si>
  <si>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</si>
  <si>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</si>
  <si>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</si>
  <si>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</si>
  <si>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</si>
  <si>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</si>
  <si>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</si>
  <si>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</si>
  <si>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</si>
  <si>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</si>
  <si>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</si>
  <si>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</si>
  <si>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</si>
  <si>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</si>
  <si>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</si>
  <si>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</si>
  <si>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</si>
  <si>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</si>
  <si>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</si>
  <si>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</si>
  <si>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</si>
  <si>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GREENSLOPES</t>
  </si>
  <si>
    <t>LCW354750</t>
  </si>
  <si>
    <t>"CYTOTOXIC"</t>
  </si>
  <si>
    <t>RUN AT 45UM</t>
  </si>
  <si>
    <t>LIMAX</t>
  </si>
  <si>
    <t>ANTISTATIC</t>
  </si>
  <si>
    <t>ANTIBLOCK</t>
  </si>
  <si>
    <t>#45</t>
  </si>
  <si>
    <t>#4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</si>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</sst>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11" zoomScale="80" zoomScaleNormal="80" workbookViewId="0">
      <selection activeCell="E28" sqref="E28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9" t="str">
        <f>O9&amp;R9&amp;IF(X8="G","G","")&amp;IF(O8="Centrefold Roll","("&amp;E8&amp;")","")&amp;T9&amp;V9&amp;C22&amp;C23&amp;C24&amp;O11&amp;R11</f>
        <v>PB34047050LIAS0P</v>
      </c>
      <c r="C1" s="109"/>
      <c r="D1" s="110"/>
      <c r="E1" s="9" t="s">
        <v>57</v>
      </c>
      <c r="F1" s="61" t="s">
        <v>195</v>
      </c>
      <c r="G1" s="61"/>
      <c r="H1" s="62"/>
      <c r="I1" s="10" t="s">
        <v>181</v>
      </c>
      <c r="J1" s="120">
        <f ca="1">TODAY()</f>
        <v>45884</v>
      </c>
      <c r="K1" s="120"/>
      <c r="L1" s="121"/>
      <c r="M1" s="27"/>
      <c r="N1" s="9" t="s">
        <v>56</v>
      </c>
      <c r="O1" s="109" t="str">
        <f>B1</f>
        <v>PB34047050LIAS0P</v>
      </c>
      <c r="P1" s="109"/>
      <c r="Q1" s="110"/>
      <c r="R1" s="9" t="s">
        <v>57</v>
      </c>
      <c r="S1" s="109" t="str">
        <f>F1</f>
        <v>GREENSLOPES</v>
      </c>
      <c r="T1" s="109"/>
      <c r="U1" s="110"/>
      <c r="V1" s="9" t="s">
        <v>181</v>
      </c>
      <c r="W1" s="120">
        <f ca="1">J1</f>
        <v>45884</v>
      </c>
      <c r="X1" s="120"/>
      <c r="Y1" s="121"/>
    </row>
    <row r="2" spans="1:25" ht="20.149999999999999" customHeight="1" x14ac:dyDescent="0.8">
      <c r="A2" s="9" t="s">
        <v>100</v>
      </c>
      <c r="B2" s="109" t="str">
        <f>IF(U10="","",U10)</f>
        <v>LCW354750</v>
      </c>
      <c r="C2" s="109"/>
      <c r="D2" s="110"/>
      <c r="E2" s="9" t="s">
        <v>58</v>
      </c>
      <c r="F2" s="61">
        <v>58630</v>
      </c>
      <c r="G2" s="61"/>
      <c r="H2" s="62"/>
      <c r="I2" s="9" t="s">
        <v>59</v>
      </c>
      <c r="J2" s="123">
        <v>45551</v>
      </c>
      <c r="K2" s="61"/>
      <c r="L2" s="62"/>
      <c r="M2" s="27"/>
      <c r="N2" s="9" t="s">
        <v>100</v>
      </c>
      <c r="O2" s="109" t="str">
        <f>IF(B2="","",B2)</f>
        <v>LCW354750</v>
      </c>
      <c r="P2" s="109"/>
      <c r="Q2" s="110"/>
      <c r="R2" s="9" t="s">
        <v>58</v>
      </c>
      <c r="S2" s="109">
        <f>IF(F2="","",F2)</f>
        <v>58630</v>
      </c>
      <c r="T2" s="109"/>
      <c r="U2" s="110"/>
      <c r="V2" s="9" t="s">
        <v>59</v>
      </c>
      <c r="W2" s="122">
        <f>J2</f>
        <v>45551</v>
      </c>
      <c r="X2" s="109"/>
      <c r="Y2" s="110"/>
    </row>
    <row r="3" spans="1:25" ht="20.149999999999999" customHeight="1" x14ac:dyDescent="0.7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101" t="s">
        <v>174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20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09">
        <f>R7*O7</f>
        <v>20000</v>
      </c>
      <c r="V7" s="110"/>
      <c r="W7" s="9" t="s">
        <v>102</v>
      </c>
      <c r="X7" s="61" t="s">
        <v>31</v>
      </c>
      <c r="Y7" s="62"/>
    </row>
    <row r="8" spans="1:25" ht="20.149999999999999" customHeight="1" x14ac:dyDescent="0.8">
      <c r="A8" s="11" t="s">
        <v>16</v>
      </c>
      <c r="B8" s="97">
        <f>R9</f>
        <v>340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50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4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1"/>
      <c r="F9" s="102"/>
      <c r="G9" s="14" t="s">
        <v>48</v>
      </c>
      <c r="H9" s="126" t="s">
        <v>198</v>
      </c>
      <c r="I9" s="127"/>
      <c r="J9" s="9" t="s">
        <v>55</v>
      </c>
      <c r="K9" s="61" t="s">
        <v>30</v>
      </c>
      <c r="L9" s="62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340</v>
      </c>
      <c r="S9" s="16" t="s">
        <v>78</v>
      </c>
      <c r="T9" s="28">
        <v>470</v>
      </c>
      <c r="U9" s="16" t="s">
        <v>78</v>
      </c>
      <c r="V9" s="28">
        <v>50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12</v>
      </c>
      <c r="C10" s="62"/>
      <c r="D10" s="45" t="s">
        <v>134</v>
      </c>
      <c r="E10" s="128">
        <f>IF(ISNUMBER(SEARCH("sheet",O8,1)),((R9*T9*H8/540000)*U7/2000*1.3),((R9*T9*H8/540000)*U7/1000*1.08))</f>
        <v>319.60000000000002</v>
      </c>
      <c r="F10" s="129"/>
      <c r="G10" s="9" t="s">
        <v>53</v>
      </c>
      <c r="H10" s="132">
        <f>IF(ISNUMBER(SEARCH("sheet",O8,1)),(U7*T9/2000*1.08),(U7*T9/1000*1.08))</f>
        <v>10152</v>
      </c>
      <c r="I10" s="133"/>
      <c r="J10" s="9" t="s">
        <v>41</v>
      </c>
      <c r="K10" s="61" t="s">
        <v>44</v>
      </c>
      <c r="L10" s="62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Yes</v>
      </c>
      <c r="S10" s="95"/>
      <c r="T10" s="12" t="s">
        <v>100</v>
      </c>
      <c r="U10" s="105" t="s">
        <v>196</v>
      </c>
      <c r="V10" s="105"/>
      <c r="W10" s="105"/>
      <c r="X10" s="105"/>
      <c r="Y10" s="106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0">
        <f>E10/B10</f>
        <v>26.633333333333336</v>
      </c>
      <c r="F11" s="131"/>
      <c r="G11" s="9" t="s">
        <v>15</v>
      </c>
      <c r="H11" s="130">
        <f>H10/B10</f>
        <v>846</v>
      </c>
      <c r="I11" s="131"/>
      <c r="J11" s="9" t="s">
        <v>50</v>
      </c>
      <c r="K11" s="61" t="s">
        <v>65</v>
      </c>
      <c r="L11" s="62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>P</v>
      </c>
      <c r="S11" s="98"/>
      <c r="T11" s="11"/>
      <c r="U11" s="107"/>
      <c r="V11" s="107"/>
      <c r="W11" s="107"/>
      <c r="X11" s="107"/>
      <c r="Y11" s="108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70</v>
      </c>
      <c r="C13" s="61"/>
      <c r="D13" s="62"/>
      <c r="E13" s="17" t="s">
        <v>61</v>
      </c>
      <c r="F13" s="61" t="s">
        <v>66</v>
      </c>
      <c r="G13" s="61"/>
      <c r="H13" s="62"/>
      <c r="I13" s="9" t="s">
        <v>62</v>
      </c>
      <c r="J13" s="61" t="s">
        <v>155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20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9</v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1" t="s">
        <v>197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150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23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3" t="s">
        <v>147</v>
      </c>
      <c r="D17" s="94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3" t="s">
        <v>146</v>
      </c>
      <c r="D18" s="94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3" t="s">
        <v>145</v>
      </c>
      <c r="D19" s="94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3" t="s">
        <v>144</v>
      </c>
      <c r="D20" s="94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3" t="s">
        <v>143</v>
      </c>
      <c r="D21" s="94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>LILAC</v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94"/>
      <c r="E22" s="89">
        <v>0.04</v>
      </c>
      <c r="F22" s="90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39" t="s">
        <v>200</v>
      </c>
      <c r="B23" s="13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89">
        <v>0.01</v>
      </c>
      <c r="F23" s="90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40" t="s">
        <v>201</v>
      </c>
      <c r="B24" s="141"/>
      <c r="C24" s="93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4"/>
      <c r="E24" s="89">
        <v>0.01</v>
      </c>
      <c r="F24" s="90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199</v>
      </c>
      <c r="P25" s="32"/>
      <c r="Q25" s="8">
        <v>26</v>
      </c>
      <c r="R25" s="8"/>
      <c r="S25" s="8"/>
      <c r="T25" s="8"/>
      <c r="U25" s="8"/>
      <c r="V25" s="8"/>
      <c r="W25" s="8">
        <v>15</v>
      </c>
      <c r="X25" s="8">
        <v>12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202</v>
      </c>
      <c r="C27" s="7"/>
      <c r="D27" s="7">
        <v>15.4</v>
      </c>
      <c r="E27" s="57">
        <v>8.1999999999999993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203</v>
      </c>
      <c r="C28" s="7"/>
      <c r="D28" s="8">
        <v>22</v>
      </c>
      <c r="E28" s="57" t="s">
        <v>204</v>
      </c>
      <c r="F28" s="7"/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45915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45905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77C02C6-8BA1-4675-90BF-9169CE68A1E0}"/>
</file>

<file path=customXml/itemProps2.xml><?xml version="1.0" encoding="utf-8"?>
<ds:datastoreItem xmlns:ds="http://schemas.openxmlformats.org/officeDocument/2006/customXml" ds:itemID="{734E8146-96B8-4834-AB63-BB093816CDB8}"/>
</file>

<file path=customXml/itemProps3.xml><?xml version="1.0" encoding="utf-8"?>
<ds:datastoreItem xmlns:ds="http://schemas.openxmlformats.org/officeDocument/2006/customXml" ds:itemID="{DF3D416D-AD78-468B-8187-9D6288028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2025-08-14T00:33:53Z</cp:lastPrinted>
  <dcterms:created xsi:type="dcterms:W3CDTF">2019-11-27T23:28:06Z</dcterms:created>
  <dcterms:modified xsi:type="dcterms:W3CDTF">2025-08-18T02:37:32Z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