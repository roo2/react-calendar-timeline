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28313D3F-6194-4F35-911E-CEE698376D43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<sst xmlns="http://schemas.openxmlformats.org/spreadsheetml/2006/main" count="302" uniqueCount="200">
  <si>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</si>
  <si>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</si>
  <si>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</si>
  <si>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</si>
  <si>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</si>
  <si>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</si>
  <si>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</si>
  <si>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</si>
  <si>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</si>
  <si>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</si>
  <si>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</si>
  <si>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</si>
  <si>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</si>
  <si>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</si>
  <si>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</si>
  <si>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</si>
  <si>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</si>
  <si>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</si>
  <si>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</si>
  <si>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</si>
  <si>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</si>
  <si>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</si>
  <si>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</si>
  <si>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</si>
  <si>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</si>
  <si>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</si>
  <si>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</si>
  <si>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</si>
  <si>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</si>
  <si>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</si>
  <si>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</si>
  <si>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</si>
  <si>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</si>
  <si>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</si>
  <si>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</si>
  <si>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</si>
  <si>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</si>
  <si>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</si>
  <si>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</si>
  <si>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</si>
  <si>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</si>
  <si>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</si>
  <si>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</si>
  <si>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</si>
  <si>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</si>
  <si>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</si>
  <si>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</si>
  <si>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</si>
  <si>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</si>
  <si>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</si>
  <si>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</si>
  <si>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</si>
  <si>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</si>
  <si>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</si>
  <si>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</si>
  <si>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</si>
  <si>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</si>
  <si>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</si>
  <si>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</si>
  <si>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</si>
  <si>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</si>
  <si>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</si>
  <si>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</si>
  <si>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</si>
  <si>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</si>
  <si>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</si>
  <si>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</si>
  <si>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</si>
  <si>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</si>
  <si>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</si>
  <si>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</si>
  <si>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</si>
  <si>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</si>
  <si>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</si>
  <si>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</si>
  <si>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</si>
  <si>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</si>
  <si>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</si>
  <si>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</si>
  <si>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</si>
  <si>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</si>
  <si>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</si>
  <si>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</si>
  <si>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</si>
  <si>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</si>
  <si>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</si>
  <si>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</si>
  <si>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</si>
  <si>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</si>
  <si>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</si>
  <si>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</si>
  <si>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</si>
  <si>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</si>
  <si>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</si>
  <si>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</si>
  <si>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</si>
  <si>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</si>
  <si>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</si>
  <si>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</si>
  <si>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</si>
  <si>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</si>
  <si>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</si>
  <si>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</si>
  <si>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</si>
  <si>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</si>
  <si>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</si>
  <si>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</si>
  <si>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</si>
  <si>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</si>
  <si>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</si>
  <si>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</si>
  <si>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</si>
  <si>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</si>
  <si>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</si>
  <si>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</si>
  <si>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</si>
  <si>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</si>
  <si>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</si>
  <si>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</si>
  <si>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</si>
  <si>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</si>
  <si>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</si>
  <si>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</si>
  <si>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</si>
  <si>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</si>
  <si>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</si>
  <si>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</si>
  <si>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</si>
  <si>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</si>
  <si>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</si>
  <si>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</si>
  <si>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</si>
  <si>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</si>
  <si>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</si>
  <si>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</si>
  <si>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</si>
  <si>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</si>
  <si>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</si>
  <si>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</si>
  <si>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</si>
  <si>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</si>
  <si>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</si>
  <si>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</si>
  <si>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</si>
  <si>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</si>
  <si>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</si>
  <si>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</si>
  <si>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</si>
  <si>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</si>
  <si>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</si>
  <si>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</si>
  <si>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</si>
  <si>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</si>
  <si>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</si>
  <si>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</si>
  <si>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</si>
  <si>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</si>
  <si>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</si>
  <si>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</si>
  <si>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</si>
  <si>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</si>
  <si>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</si>
  <si>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</si>
  <si>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</si>
  <si>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</si>
  <si>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</si>
  <si>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</si>
  <si>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</si>
  <si>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</si>
  <si>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</si>
  <si>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</si>
  <si>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</si>
  <si>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</si>
  <si>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</si>
  <si>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</si>
  <si>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</si>
  <si>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</si>
  <si>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</si>
  <si>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</si>
  <si>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</si>
  <si>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</si>
  <si>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</si>
  <si>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>PERF INLINE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</si>
  <si>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</si>
  <si>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</si>
  <si>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</si>
  <si>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</si>
  <si>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</si>
  <si>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</si>
  <si>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</si>
  <si>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</si>
  <si>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</si>
  <si>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</si>
  <si>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</si>
  <si>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</si>
  <si>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5KG PRAWN LINER 42UM</t>
  </si>
  <si>
    <t>(390+300)</t>
  </si>
  <si>
    <t>ECO HARVEST FISHERIES</t>
  </si>
  <si>
    <t>RUN AT 42um</t>
  </si>
  <si>
    <t xml:space="preserve"> +/- 5mm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</si>
</sst>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25" ht="20.05" customHeight="1" x14ac:dyDescent="0.3">
      <c r="A1" s="18" t="s">
        <v>55</v>
      </c>
      <c r="B1" s="108" t="str">
        <f>O9&amp;R9&amp;IF(X8="G","G","")&amp;IF(O8="Centrefold Roll","("&amp;E8&amp;")","")&amp;T9&amp;V9&amp;C22&amp;C23&amp;C24&amp;O11&amp;R11</f>
        <v>PBR690G46042</v>
      </c>
      <c r="C1" s="108"/>
      <c r="D1" s="109"/>
      <c r="E1" s="18" t="s">
        <v>56</v>
      </c>
      <c r="F1" s="122" t="s">
        <v>197</v>
      </c>
      <c r="G1" s="122"/>
      <c r="H1" s="123"/>
      <c r="I1" s="18" t="s">
        <v>180</v>
      </c>
      <c r="J1" s="119">
        <f ca="1">TODAY()</f>
        <v>43979</v>
      </c>
      <c r="K1" s="119"/>
      <c r="L1" s="120"/>
      <c r="M1" s="35"/>
      <c r="N1" s="18" t="s">
        <v>55</v>
      </c>
      <c r="O1" s="108" t="str">
        <f>B1</f>
        <v>PBR690G46042</v>
      </c>
      <c r="P1" s="108"/>
      <c r="Q1" s="109"/>
      <c r="R1" s="18" t="s">
        <v>56</v>
      </c>
      <c r="S1" s="108" t="str">
        <f>F1</f>
        <v>ECO HARVEST FISHERIES</v>
      </c>
      <c r="T1" s="108"/>
      <c r="U1" s="109"/>
      <c r="V1" s="18" t="s">
        <v>180</v>
      </c>
      <c r="W1" s="119">
        <f ca="1">J1</f>
        <v>43979</v>
      </c>
      <c r="X1" s="119"/>
      <c r="Y1" s="120"/>
    </row>
    <row r="2" spans="1:25" ht="20.05" customHeight="1" x14ac:dyDescent="0.3">
      <c r="A2" s="18" t="s">
        <v>99</v>
      </c>
      <c r="B2" s="108" t="str">
        <f>IF(U10="","",U10)</f>
        <v>5KG PRAWN LINER 42UM</v>
      </c>
      <c r="C2" s="108"/>
      <c r="D2" s="109"/>
      <c r="E2" s="18" t="s">
        <v>57</v>
      </c>
      <c r="F2" s="71">
        <v>937293</v>
      </c>
      <c r="G2" s="71"/>
      <c r="H2" s="72"/>
      <c r="I2" s="18" t="s">
        <v>58</v>
      </c>
      <c r="J2" s="131">
        <v>44001</v>
      </c>
      <c r="K2" s="71"/>
      <c r="L2" s="72"/>
      <c r="M2" s="35"/>
      <c r="N2" s="18" t="s">
        <v>99</v>
      </c>
      <c r="O2" s="108" t="str">
        <f>IF(B2="","",B2)</f>
        <v>5KG PRAWN LINER 42UM</v>
      </c>
      <c r="P2" s="108"/>
      <c r="Q2" s="109"/>
      <c r="R2" s="18" t="s">
        <v>57</v>
      </c>
      <c r="S2" s="108">
        <f>IF(F2="","",F2)</f>
        <v>937293</v>
      </c>
      <c r="T2" s="108"/>
      <c r="U2" s="109"/>
      <c r="V2" s="18" t="s">
        <v>58</v>
      </c>
      <c r="W2" s="121">
        <f>J2</f>
        <v>44001</v>
      </c>
      <c r="X2" s="108"/>
      <c r="Y2" s="109"/>
    </row>
    <row r="3" spans="1:25" ht="20.05" customHeight="1" x14ac:dyDescent="0.3">
      <c r="A3" s="110" t="s">
        <v>182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PERF INLINE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05" customHeight="1" x14ac:dyDescent="0.3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05" customHeight="1" x14ac:dyDescent="0.3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05" customHeight="1" x14ac:dyDescent="0.3">
      <c r="A6" s="138" t="s">
        <v>1</v>
      </c>
      <c r="B6" s="139"/>
      <c r="C6" s="139"/>
      <c r="D6" s="139"/>
      <c r="E6" s="139"/>
      <c r="F6" s="139"/>
      <c r="G6" s="139"/>
      <c r="H6" s="139"/>
      <c r="I6" s="139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05" customHeight="1" x14ac:dyDescent="0.35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28</v>
      </c>
      <c r="P7" s="72"/>
      <c r="Q7" s="18" t="str">
        <f>IF(ISNUMBER(SEARCH("roll",O8,1)),"Per Roll","Per Carton")</f>
        <v>Per Roll</v>
      </c>
      <c r="R7" s="71">
        <v>500</v>
      </c>
      <c r="S7" s="72"/>
      <c r="T7" s="18" t="str">
        <f>IF(ISNUMBER(SEARCH("bag",O8,1)),"Total Bags","Total Sheets")</f>
        <v>Total Bags</v>
      </c>
      <c r="U7" s="108">
        <f>R7*O7</f>
        <v>14000</v>
      </c>
      <c r="V7" s="109"/>
      <c r="W7" s="18" t="s">
        <v>101</v>
      </c>
      <c r="X7" s="71" t="s">
        <v>30</v>
      </c>
      <c r="Y7" s="72"/>
    </row>
    <row r="8" spans="1:25" ht="20.05" customHeight="1" x14ac:dyDescent="0.3">
      <c r="A8" s="19" t="s">
        <v>15</v>
      </c>
      <c r="B8" s="129">
        <f>R9</f>
        <v>690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(390+300)</v>
      </c>
      <c r="F8" s="130"/>
      <c r="G8" s="19" t="s">
        <v>51</v>
      </c>
      <c r="H8" s="129">
        <f>(IF(V9&lt;30,"30",V9))</f>
        <v>42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Gusset Tube</v>
      </c>
      <c r="L8" s="109"/>
      <c r="M8" s="35"/>
      <c r="N8" s="20" t="s">
        <v>53</v>
      </c>
      <c r="O8" s="134" t="s">
        <v>164</v>
      </c>
      <c r="P8" s="135"/>
      <c r="Q8" s="20" t="s">
        <v>190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05" customHeight="1" x14ac:dyDescent="0.35">
      <c r="A9" s="23" t="s">
        <v>47</v>
      </c>
      <c r="B9" s="140" t="s">
        <v>199</v>
      </c>
      <c r="C9" s="141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0" t="s">
        <v>198</v>
      </c>
      <c r="I9" s="141"/>
      <c r="J9" s="18" t="s">
        <v>54</v>
      </c>
      <c r="K9" s="71" t="s">
        <v>33</v>
      </c>
      <c r="L9" s="72"/>
      <c r="M9" s="35"/>
      <c r="N9" s="24"/>
      <c r="O9" s="148" t="str">
        <f>IF(O8="Poly Bag","PB",IF(O8="Poly Bag Roll","PBR",IF(O8="Centrefold Roll","CFR",IF(O8="Sheet","S",IF(O8="Sheet Roll","SR")))))</f>
        <v>PBR</v>
      </c>
      <c r="P9" s="149"/>
      <c r="Q9" s="24"/>
      <c r="R9" s="36">
        <v>690</v>
      </c>
      <c r="S9" s="25" t="s">
        <v>77</v>
      </c>
      <c r="T9" s="36">
        <v>460</v>
      </c>
      <c r="U9" s="25" t="s">
        <v>77</v>
      </c>
      <c r="V9" s="36">
        <v>42</v>
      </c>
      <c r="W9" s="24"/>
      <c r="X9" s="132" t="s">
        <v>196</v>
      </c>
      <c r="Y9" s="133"/>
    </row>
    <row r="10" spans="1:25" ht="20.05" customHeight="1" x14ac:dyDescent="0.3">
      <c r="A10" s="18" t="s">
        <v>50</v>
      </c>
      <c r="B10" s="71">
        <v>28</v>
      </c>
      <c r="C10" s="72"/>
      <c r="D10" s="56" t="s">
        <v>133</v>
      </c>
      <c r="E10" s="142">
        <f>IF(ISNUMBER(SEARCH("sheet",O8,1)),((R9*T9*H8/540000)*U7/2000*1.3),((R9*T9*H8/540000)*U7/1000*1.08))</f>
        <v>373.26240000000001</v>
      </c>
      <c r="F10" s="143"/>
      <c r="G10" s="18" t="s">
        <v>52</v>
      </c>
      <c r="H10" s="146">
        <f>IF(ISNUMBER(SEARCH("sheet",O8,1)),(U7*T9/2000*1.08),(U7*T9/1000*1.08))</f>
        <v>6955.2000000000007</v>
      </c>
      <c r="I10" s="147"/>
      <c r="J10" s="18" t="s">
        <v>40</v>
      </c>
      <c r="K10" s="71" t="s">
        <v>43</v>
      </c>
      <c r="L10" s="72"/>
      <c r="M10" s="35"/>
      <c r="N10" s="26" t="s">
        <v>140</v>
      </c>
      <c r="O10" s="134" t="s">
        <v>43</v>
      </c>
      <c r="P10" s="135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11" t="s">
        <v>195</v>
      </c>
      <c r="V10" s="111"/>
      <c r="W10" s="111"/>
      <c r="X10" s="111"/>
      <c r="Y10" s="112"/>
    </row>
    <row r="11" spans="1:25" ht="20.05" customHeight="1" x14ac:dyDescent="0.3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4">
        <f>E10/B10</f>
        <v>13.3308</v>
      </c>
      <c r="F11" s="145"/>
      <c r="G11" s="18" t="s">
        <v>14</v>
      </c>
      <c r="H11" s="144">
        <f>H10/B10</f>
        <v>248.40000000000003</v>
      </c>
      <c r="I11" s="145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17"/>
      <c r="V11" s="117"/>
      <c r="W11" s="117"/>
      <c r="X11" s="117"/>
      <c r="Y11" s="118"/>
    </row>
    <row r="12" spans="1:25" ht="20.05" customHeight="1" x14ac:dyDescent="0.3">
      <c r="A12" s="136" t="s">
        <v>12</v>
      </c>
      <c r="B12" s="137"/>
      <c r="C12" s="137"/>
      <c r="D12" s="137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05" customHeight="1" x14ac:dyDescent="0.3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28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 t="str">
        <f>IF(AND((O17="LOOSE"),(NOT(O18="BUNDLE"))),"",IF(AND((O17="LINED"),(NOT(O18="BUNDLE"))),"",(IF(R7&lt;=500,"50",IF(R7&gt;500,"100")))))</f>
        <v>50</v>
      </c>
      <c r="X13" s="18" t="s">
        <v>75</v>
      </c>
      <c r="Y13" s="38"/>
    </row>
    <row r="14" spans="1:25" ht="20.05" customHeight="1" x14ac:dyDescent="0.35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05" customHeight="1" x14ac:dyDescent="0.3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05" customHeight="1" x14ac:dyDescent="0.3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05" customHeight="1" x14ac:dyDescent="0.3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0"/>
      <c r="J17" s="161"/>
      <c r="K17" s="160"/>
      <c r="L17" s="161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22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05" customHeight="1" x14ac:dyDescent="0.3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0"/>
      <c r="J18" s="161"/>
      <c r="K18" s="160"/>
      <c r="L18" s="161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05" customHeight="1" x14ac:dyDescent="0.3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0"/>
      <c r="J19" s="161"/>
      <c r="K19" s="160"/>
      <c r="L19" s="161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05" customHeight="1" x14ac:dyDescent="0.3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0"/>
      <c r="J20" s="161"/>
      <c r="K20" s="160"/>
      <c r="L20" s="161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05" customHeight="1" x14ac:dyDescent="0.3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0"/>
      <c r="J21" s="161"/>
      <c r="K21" s="160"/>
      <c r="L21" s="161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05" customHeight="1" x14ac:dyDescent="0.3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0"/>
      <c r="J22" s="161"/>
      <c r="K22" s="160"/>
      <c r="L22" s="161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05" customHeight="1" x14ac:dyDescent="0.3">
      <c r="A23" s="153"/>
      <c r="B23" s="153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0"/>
      <c r="J23" s="161"/>
      <c r="K23" s="160"/>
      <c r="L23" s="161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05" customHeight="1" x14ac:dyDescent="0.3">
      <c r="A24" s="154"/>
      <c r="B24" s="155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0"/>
      <c r="J24" s="161"/>
      <c r="K24" s="160"/>
      <c r="L24" s="161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05" customHeight="1" x14ac:dyDescent="0.3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05" customHeight="1" x14ac:dyDescent="0.3">
      <c r="A27" s="16" t="s">
        <v>95</v>
      </c>
      <c r="B27" s="7"/>
      <c r="C27" s="7"/>
      <c r="D27" s="7"/>
      <c r="E27" s="8"/>
      <c r="F27" s="11"/>
      <c r="G27" s="159"/>
      <c r="H27" s="159"/>
      <c r="I27" s="159"/>
      <c r="J27" s="159"/>
      <c r="K27" s="7"/>
      <c r="L27" s="10"/>
      <c r="M27" s="35"/>
      <c r="N27" s="57" t="s">
        <v>183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191</v>
      </c>
      <c r="X27" s="57" t="s">
        <v>192</v>
      </c>
      <c r="Y27" s="57" t="s">
        <v>21</v>
      </c>
    </row>
    <row r="28" spans="1:25" ht="20.05" customHeight="1" x14ac:dyDescent="0.3">
      <c r="A28" s="16" t="s">
        <v>96</v>
      </c>
      <c r="B28" s="7"/>
      <c r="C28" s="7"/>
      <c r="D28" s="7"/>
      <c r="E28" s="9"/>
      <c r="F28" s="11"/>
      <c r="G28" s="159"/>
      <c r="H28" s="159"/>
      <c r="I28" s="159"/>
      <c r="J28" s="159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05" customHeight="1" x14ac:dyDescent="0.3">
      <c r="A29" s="156" t="s">
        <v>98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8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05" customHeight="1" x14ac:dyDescent="0.3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05" customHeight="1" x14ac:dyDescent="0.3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05" customHeight="1" x14ac:dyDescent="0.3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05" customHeight="1" x14ac:dyDescent="0.3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05" customHeight="1" x14ac:dyDescent="0.3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05" customHeight="1" x14ac:dyDescent="0.3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05" customHeight="1" x14ac:dyDescent="0.3">
      <c r="A36" s="150" t="s">
        <v>135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2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05" customHeight="1" x14ac:dyDescent="0.3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05" customHeight="1" x14ac:dyDescent="0.3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05" customHeight="1" x14ac:dyDescent="0.3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05" customHeight="1" x14ac:dyDescent="0.3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05" customHeight="1" x14ac:dyDescent="0.3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05" customHeight="1" x14ac:dyDescent="0.3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05" customHeight="1" x14ac:dyDescent="0.3">
      <c r="N43" s="60"/>
    </row>
    <row r="44" spans="1:25" ht="20.05" customHeight="1" x14ac:dyDescent="0.3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183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191</v>
      </c>
      <c r="X44" s="57" t="s">
        <v>192</v>
      </c>
      <c r="Y44" s="57" t="s">
        <v>21</v>
      </c>
    </row>
    <row r="45" spans="1:25" ht="20.05" customHeight="1" x14ac:dyDescent="0.3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05" customHeight="1" x14ac:dyDescent="0.3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05" customHeight="1" x14ac:dyDescent="0.3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05" customHeight="1" x14ac:dyDescent="0.3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05" customHeight="1" x14ac:dyDescent="0.3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05" customHeight="1" x14ac:dyDescent="0.3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05" customHeight="1" x14ac:dyDescent="0.3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05" customHeight="1" x14ac:dyDescent="0.3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05" customHeight="1" x14ac:dyDescent="0.3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05" customHeight="1" x14ac:dyDescent="0.3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05" customHeight="1" x14ac:dyDescent="0.3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05" customHeight="1" x14ac:dyDescent="0.3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05" customHeight="1" x14ac:dyDescent="0.3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05" customHeight="1" x14ac:dyDescent="0.3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05" customHeight="1" x14ac:dyDescent="0.3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05" customHeight="1" x14ac:dyDescent="0.3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05" customHeight="1" x14ac:dyDescent="0.3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05" customHeight="1" x14ac:dyDescent="0.3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05" customHeight="1" x14ac:dyDescent="0.3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05" customHeight="1" x14ac:dyDescent="0.3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05" customHeight="1" x14ac:dyDescent="0.3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05" customHeight="1" x14ac:dyDescent="0.3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05" customHeight="1" x14ac:dyDescent="0.3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05" customHeight="1" x14ac:dyDescent="0.3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05" customHeight="1" x14ac:dyDescent="0.3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05" customHeight="1" x14ac:dyDescent="0.3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05" customHeight="1" x14ac:dyDescent="0.3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05" customHeight="1" x14ac:dyDescent="0.3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05" customHeight="1" x14ac:dyDescent="0.3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05" customHeight="1" x14ac:dyDescent="0.3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05" customHeight="1" x14ac:dyDescent="0.3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05" customHeight="1" x14ac:dyDescent="0.3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05" customHeight="1" x14ac:dyDescent="0.3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05" customHeight="1" x14ac:dyDescent="0.3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05" customHeight="1" x14ac:dyDescent="0.3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05" customHeight="1" x14ac:dyDescent="0.3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05" customHeight="1" x14ac:dyDescent="0.3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05" customHeight="1" x14ac:dyDescent="0.3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05" customHeight="1" x14ac:dyDescent="0.3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05" customHeight="1" x14ac:dyDescent="0.3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05" customHeight="1" x14ac:dyDescent="0.3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70">
        <f ca="1">DATE(YEAR(Sheet1!J1),MONTH(Sheet1!J1)+1,DAY(Sheet1!J1))</f>
        <v>44010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70">
        <f ca="1">DATE(YEAR(Sheet1!J1),MONTH(Sheet1!J1),DAY(Sheet1!J1)+21)</f>
        <v>44000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194</v>
      </c>
      <c r="T19" s="1"/>
      <c r="V19" s="1"/>
    </row>
    <row r="20" spans="1:23" x14ac:dyDescent="0.3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3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3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3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3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3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3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3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3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3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3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3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3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3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3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3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3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3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185</v>
      </c>
    </row>
    <row r="50" spans="1:20" x14ac:dyDescent="0.3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186</v>
      </c>
    </row>
    <row r="51" spans="1:20" x14ac:dyDescent="0.3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3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3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3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3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3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3">
      <c r="A59" s="67" t="s">
        <v>147</v>
      </c>
    </row>
    <row r="60" spans="1:20" x14ac:dyDescent="0.3">
      <c r="A60" s="67" t="s">
        <v>148</v>
      </c>
      <c r="O60" s="1"/>
      <c r="Q60" s="1"/>
      <c r="R60" s="3"/>
      <c r="S60" s="1"/>
    </row>
    <row r="61" spans="1:20" x14ac:dyDescent="0.3">
      <c r="A61" s="67" t="s">
        <v>149</v>
      </c>
      <c r="O61" s="1"/>
      <c r="Q61" s="1"/>
      <c r="R61" s="1"/>
      <c r="S61" s="1"/>
    </row>
    <row r="62" spans="1:20" x14ac:dyDescent="0.3">
      <c r="A62" s="67" t="s">
        <v>150</v>
      </c>
      <c r="O62" s="1"/>
      <c r="Q62" s="1"/>
      <c r="R62" s="1"/>
      <c r="S62" s="1"/>
    </row>
    <row r="63" spans="1:20" x14ac:dyDescent="0.3">
      <c r="A63" s="67" t="s">
        <v>151</v>
      </c>
      <c r="O63" s="1"/>
      <c r="Q63" s="1"/>
      <c r="R63" s="1"/>
      <c r="S63" s="1"/>
      <c r="T63" s="1"/>
    </row>
    <row r="64" spans="1:20" x14ac:dyDescent="0.3">
      <c r="A64" s="67" t="s">
        <v>152</v>
      </c>
      <c r="O64" s="1"/>
      <c r="Q64" s="1"/>
      <c r="R64" s="1"/>
      <c r="S64" s="1"/>
      <c r="T64" s="1"/>
    </row>
    <row r="65" spans="1:20" x14ac:dyDescent="0.3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6E86F69-9533-4519-A241-5FB01635C5DF}"/>
</file>

<file path=customXml/itemProps2.xml><?xml version="1.0" encoding="utf-8"?>
<ds:datastoreItem xmlns:ds="http://schemas.openxmlformats.org/officeDocument/2006/customXml" ds:itemID="{8DC39F4B-AEE2-47BD-AC7C-AC301385EEE1}"/>
</file>

<file path=customXml/itemProps3.xml><?xml version="1.0" encoding="utf-8"?>
<ds:datastoreItem xmlns:ds="http://schemas.openxmlformats.org/officeDocument/2006/customXml" ds:itemID="{AB87FBDC-A244-48B1-960F-80D29B0279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2020-05-28T03:50:32Z</cp:lastPrinted>
  <dcterms:created xsi:type="dcterms:W3CDTF">2019-11-27T23:28:06Z</dcterms:created>
  <dcterms:modified xsi:type="dcterms:W3CDTF">2020-05-28T03:50:34Z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