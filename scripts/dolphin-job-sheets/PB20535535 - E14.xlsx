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F346AB5-F8FF-4788-A924-FFFDBE36885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<sst xmlns="http://schemas.openxmlformats.org/spreadsheetml/2006/main" count="305" uniqueCount="202">
  <si>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</si>
  <si>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</si>
  <si>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</si>
  <si>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</si>
  <si>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</si>
  <si>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</si>
  <si>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</si>
  <si>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</si>
  <si>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</si>
  <si>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</si>
  <si>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</si>
  <si>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</si>
  <si>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</si>
  <si>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</si>
  <si>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</si>
  <si>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</si>
  <si>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</si>
  <si>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</si>
  <si>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</si>
  <si>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</si>
  <si>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</si>
  <si>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</si>
  <si>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</si>
  <si>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</si>
  <si>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</si>
  <si>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</si>
  <si>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</si>
  <si>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</si>
  <si>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</si>
  <si>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</si>
  <si>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</si>
  <si>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</si>
  <si>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</si>
  <si>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</si>
  <si>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</si>
  <si>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</si>
  <si>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</si>
  <si>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</si>
  <si>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</si>
  <si>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</si>
  <si>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</si>
  <si>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</si>
  <si>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</si>
  <si>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</si>
  <si>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</si>
  <si>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</si>
  <si>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</si>
  <si>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</si>
  <si>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</si>
  <si>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</si>
  <si>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</si>
  <si>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</si>
  <si>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</si>
  <si>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</si>
  <si>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</si>
  <si>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</si>
  <si>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</si>
  <si>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</si>
  <si>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</si>
  <si>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</si>
  <si>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</si>
  <si>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</si>
  <si>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</si>
  <si>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</si>
  <si>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</si>
  <si>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</si>
  <si>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</si>
  <si>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</si>
  <si>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</si>
  <si>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</si>
  <si>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</si>
  <si>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</si>
  <si>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</si>
  <si>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</si>
  <si>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</si>
  <si>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</si>
  <si>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</si>
  <si>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</si>
  <si>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</si>
  <si>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</si>
  <si>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</si>
  <si>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</si>
  <si>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</si>
  <si>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</si>
  <si>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</si>
  <si>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</si>
  <si>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</si>
  <si>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</si>
  <si>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</si>
  <si>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</si>
  <si>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</si>
  <si>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</si>
  <si>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</si>
  <si>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</si>
  <si>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</si>
  <si>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</si>
  <si>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</si>
  <si>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</si>
  <si>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</si>
  <si>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</si>
  <si>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</si>
  <si>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</si>
  <si>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</si>
  <si>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</si>
  <si>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</si>
  <si>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</si>
  <si>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</si>
  <si>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</si>
  <si>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</si>
  <si>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</si>
  <si>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</si>
  <si>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</si>
  <si>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</si>
  <si>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</si>
  <si>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</si>
  <si>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</si>
  <si>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</si>
  <si>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</si>
  <si>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</si>
  <si>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</si>
  <si>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</si>
  <si>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</si>
  <si>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</si>
  <si>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</si>
  <si>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</si>
  <si>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</si>
  <si>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</si>
  <si>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</si>
  <si>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</si>
  <si>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</si>
  <si>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</si>
  <si>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</si>
  <si>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</si>
  <si>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</si>
  <si>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</si>
  <si>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</si>
  <si>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</si>
  <si>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</si>
  <si>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</si>
  <si>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</si>
  <si>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</si>
  <si>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</si>
  <si>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</si>
  <si>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</si>
  <si>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</si>
  <si>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</si>
  <si>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</si>
  <si>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</si>
  <si>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</si>
  <si>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</si>
  <si>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</si>
  <si>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</si>
  <si>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</si>
  <si>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</si>
  <si>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</si>
  <si>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</si>
  <si>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</si>
  <si>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</si>
  <si>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</si>
  <si>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</si>
  <si>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</si>
  <si>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</si>
  <si>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</si>
  <si>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</si>
  <si>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</si>
  <si>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</si>
  <si>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</si>
  <si>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</si>
  <si>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</si>
  <si>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</si>
  <si>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</si>
  <si>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</si>
  <si>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</si>
  <si>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</si>
  <si>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</si>
  <si>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</si>
  <si>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</si>
  <si>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</si>
  <si>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</si>
  <si>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</si>
  <si>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</si>
  <si>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</si>
  <si>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</si>
  <si>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</si>
  <si>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</si>
  <si>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</si>
  <si>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</si>
  <si>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</si>
  <si>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</si>
  <si>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</si>
  <si>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</si>
  <si>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</si>
  <si>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</si>
  <si>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</si>
  <si>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</si>
  <si>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E14</t>
  </si>
  <si>
    <t>PACFOODS</t>
  </si>
  <si>
    <t>ANTISTATIC</t>
  </si>
  <si>
    <t>RUN AT 32 - 35um</t>
  </si>
  <si>
    <t>LIMAX</t>
  </si>
  <si>
    <t>PAC FOODS OWN LABEL AND TAG PACK</t>
  </si>
  <si>
    <t>23.11.2021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</si>
</sst>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D8" sqref="AD8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PB20535535AS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181</v>
      </c>
      <c r="J1" s="95">
        <f ca="1">TODAY()</f>
        <v>44483</v>
      </c>
      <c r="K1" s="95"/>
      <c r="L1" s="96"/>
      <c r="M1" s="34"/>
      <c r="N1" s="12" t="s">
        <v>56</v>
      </c>
      <c r="O1" s="122" t="str">
        <f>B1</f>
        <v>PB20535535AS</v>
      </c>
      <c r="P1" s="122"/>
      <c r="Q1" s="123"/>
      <c r="R1" s="12" t="s">
        <v>57</v>
      </c>
      <c r="S1" s="122" t="str">
        <f>F1</f>
        <v>PACFOODS</v>
      </c>
      <c r="T1" s="122"/>
      <c r="U1" s="123"/>
      <c r="V1" s="12" t="s">
        <v>181</v>
      </c>
      <c r="W1" s="95">
        <f ca="1">J1</f>
        <v>44483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E14</v>
      </c>
      <c r="C2" s="122"/>
      <c r="D2" s="123"/>
      <c r="E2" s="12" t="s">
        <v>58</v>
      </c>
      <c r="F2" s="98">
        <v>941643</v>
      </c>
      <c r="G2" s="98"/>
      <c r="H2" s="99"/>
      <c r="I2" s="12" t="s">
        <v>59</v>
      </c>
      <c r="J2" s="97" t="s">
        <v>201</v>
      </c>
      <c r="K2" s="98"/>
      <c r="L2" s="99"/>
      <c r="M2" s="34"/>
      <c r="N2" s="12" t="s">
        <v>100</v>
      </c>
      <c r="O2" s="122" t="str">
        <f>IF(B2="","",B2)</f>
        <v>E14</v>
      </c>
      <c r="P2" s="122"/>
      <c r="Q2" s="123"/>
      <c r="R2" s="12" t="s">
        <v>58</v>
      </c>
      <c r="S2" s="122">
        <f>IF(F2="","",F2)</f>
        <v>941643</v>
      </c>
      <c r="T2" s="122"/>
      <c r="U2" s="123"/>
      <c r="V2" s="12" t="s">
        <v>59</v>
      </c>
      <c r="W2" s="135" t="str">
        <f>J2</f>
        <v>23.11.2021</v>
      </c>
      <c r="X2" s="122"/>
      <c r="Y2" s="123"/>
    </row>
    <row r="3" spans="1:28" ht="20.100000000000001" customHeight="1" x14ac:dyDescent="0.25">
      <c r="A3" s="124" t="s">
        <v>200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PAC FOODS OWN LABEL AND TAG PACK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2000</v>
      </c>
      <c r="S7" s="99"/>
      <c r="T7" s="12" t="str">
        <f>IF(ISNUMBER(SEARCH("bag",O8,1)),"Total Bags","Total Sheets")</f>
        <v>Total Bags</v>
      </c>
      <c r="U7" s="122">
        <f>R7*O7</f>
        <v>20000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205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35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193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198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205</v>
      </c>
      <c r="S9" s="20" t="s">
        <v>78</v>
      </c>
      <c r="T9" s="35">
        <v>355</v>
      </c>
      <c r="U9" s="20" t="s">
        <v>78</v>
      </c>
      <c r="V9" s="35">
        <v>35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8</v>
      </c>
      <c r="C10" s="99"/>
      <c r="D10" s="54" t="s">
        <v>134</v>
      </c>
      <c r="E10" s="112">
        <f>IF(ISNUMBER(SEARCH("sheet",O8,1)),((R9*T9*H8/540000)*U7/2000*1.3),((R9*T9*H8/540000)*U7/1000*1.08))</f>
        <v>101.88500000000001</v>
      </c>
      <c r="F10" s="113"/>
      <c r="G10" s="12" t="s">
        <v>53</v>
      </c>
      <c r="H10" s="116">
        <f>IF(ISNUMBER(SEARCH("sheet",O8,1)),(U7*T9/2000*1.08),(U7*T9/1000*1.08))</f>
        <v>7668.0000000000009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 t="s">
        <v>195</v>
      </c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12.735625000000001</v>
      </c>
      <c r="F11" s="115"/>
      <c r="G11" s="12" t="s">
        <v>15</v>
      </c>
      <c r="H11" s="114">
        <f>H10/B10</f>
        <v>958.50000000000011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9</v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59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1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2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4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2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4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5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7"/>
    </row>
    <row r="23" spans="1:25" ht="20.100000000000001" customHeight="1" x14ac:dyDescent="0.25">
      <c r="A23" s="90" t="s">
        <v>197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199</v>
      </c>
      <c r="P25" s="39"/>
      <c r="Q25" s="10">
        <v>28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44514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44504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A4674E8-1125-450F-8B6F-8253F33FAD6F}"/>
</file>

<file path=customXml/itemProps2.xml><?xml version="1.0" encoding="utf-8"?>
<ds:datastoreItem xmlns:ds="http://schemas.openxmlformats.org/officeDocument/2006/customXml" ds:itemID="{9182ABBF-12ED-4A73-85D1-F286A2BA4098}"/>
</file>

<file path=customXml/itemProps3.xml><?xml version="1.0" encoding="utf-8"?>
<ds:datastoreItem xmlns:ds="http://schemas.openxmlformats.org/officeDocument/2006/customXml" ds:itemID="{C8A081BF-5CD4-49DD-A262-7BFF467C78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2021-10-12T04:44:04Z</cp:lastPrinted>
  <dcterms:created xsi:type="dcterms:W3CDTF">2019-11-27T23:28:06Z</dcterms:created>
  <dcterms:modified xsi:type="dcterms:W3CDTF">2021-10-14T00:05:35Z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