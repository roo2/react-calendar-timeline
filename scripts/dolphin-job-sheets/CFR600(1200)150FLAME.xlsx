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07D003E-7488-4125-9800-777BB688B11A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1" i="1" l="1"/>
  <c r="E8" i="1"/>
  <c r="D9" i="1" l="1"/>
  <c r="E11" i="1" s="1"/>
  <c r="B2" i="1" l="1"/>
  <c r="C25" i="1" l="1"/>
  <c r="C24" i="1"/>
  <c r="B1" i="1" s="1"/>
  <c r="A11" i="1" l="1"/>
  <c r="D8" i="1" l="1"/>
  <c r="K8" i="1" l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<sst xmlns="http://schemas.openxmlformats.org/spreadsheetml/2006/main" count="227" uniqueCount="168">
  <si>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</si>
  <si>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</si>
  <si>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</si>
  <si>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</si>
  <si>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</si>
  <si>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</si>
  <si>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</si>
  <si>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</si>
  <si>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</si>
  <si>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</si>
  <si>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</si>
  <si>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</si>
  <si>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</si>
  <si>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</si>
  <si>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</si>
  <si>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</si>
  <si>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</si>
  <si>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</si>
  <si>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</si>
  <si>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</si>
  <si>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</si>
  <si>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</si>
  <si>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</si>
  <si>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</si>
  <si>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</si>
  <si>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</si>
  <si>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</si>
  <si>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</si>
  <si>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</si>
  <si>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</si>
  <si>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</si>
  <si>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</si>
  <si>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</si>
  <si>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</si>
  <si>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</si>
  <si>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</si>
  <si>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</si>
  <si>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</si>
  <si>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</si>
  <si>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</si>
  <si>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</si>
  <si>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</si>
  <si>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</si>
  <si>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</si>
  <si>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</si>
  <si>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</si>
  <si>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</si>
  <si>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</si>
  <si>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</si>
  <si>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</si>
  <si>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</si>
  <si>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</si>
  <si>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</si>
  <si>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</si>
  <si>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</si>
  <si>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</si>
  <si>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</si>
  <si>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</si>
  <si>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</si>
  <si>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</si>
  <si>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</si>
  <si>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</si>
  <si>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</si>
  <si>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</si>
  <si>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</si>
  <si>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</si>
  <si>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</si>
  <si>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</si>
  <si>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</si>
  <si>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</si>
  <si>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</si>
  <si>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</si>
  <si>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</si>
  <si>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</si>
  <si>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</si>
  <si>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</si>
  <si>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</si>
  <si>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</si>
  <si>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</si>
  <si>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</si>
  <si>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</si>
  <si>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</si>
  <si>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</si>
  <si>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</si>
  <si>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</si>
  <si>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</si>
  <si>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</si>
  <si>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</si>
  <si>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</si>
  <si>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</si>
  <si>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</si>
  <si>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</si>
  <si>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</si>
  <si>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</si>
  <si>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</si>
  <si>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</si>
  <si>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</si>
  <si>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</si>
  <si>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</si>
  <si>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</si>
  <si>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</si>
  <si>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</si>
  <si>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</si>
  <si>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</si>
  <si>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</si>
  <si>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</si>
  <si>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</si>
  <si>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</si>
  <si>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</si>
  <si>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</si>
  <si>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</si>
  <si>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</si>
  <si>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</si>
  <si>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</si>
  <si>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</si>
  <si>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</si>
  <si>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</si>
  <si>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</si>
  <si>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</si>
  <si>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</si>
  <si>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</si>
  <si>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</si>
  <si>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</si>
  <si>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</si>
  <si>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</si>
  <si>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</si>
  <si>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</si>
  <si>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</si>
  <si>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</si>
  <si>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</si>
  <si>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</si>
  <si>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</si>
  <si>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</si>
  <si>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</si>
  <si>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</si>
  <si>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</si>
  <si>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</si>
  <si>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</si>
  <si>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</si>
  <si>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</si>
  <si>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</si>
  <si>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</si>
  <si>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</si>
  <si>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</si>
  <si>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</si>
  <si>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</si>
  <si>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</si>
  <si>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</si>
  <si>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</si>
  <si>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</si>
  <si>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</si>
  <si>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</si>
  <si>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</si>
  <si>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</si>
  <si>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</si>
  <si>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</si>
  <si>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</si>
  <si>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</si>
  <si>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</si>
  <si>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</si>
  <si>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</si>
  <si>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</si>
  <si>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</si>
  <si>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TRIPLE M</t>
  </si>
  <si>
    <t>FLAME RETARDANT</t>
  </si>
  <si>
    <t>RUN AT 145-147UM</t>
  </si>
  <si>
    <t xml:space="preserve"> +/- 5mm</t>
  </si>
  <si>
    <t>STOCK - LABELS TO READ: "121M FLAME RETARDENT: 2PBSF" RUN 2 UP ON THE 65 EXTRUDER! HIGHLIGHT BELOW MIXES AS THEY ARE MADE PLEASE BOYS!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</si>
</sst>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2" sqref="F2:H2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Centrefold","CFR")))&amp;B8&amp;IF(E8="","",E8)&amp;H8&amp;(IF(K11="INLINE","P",IF(K11="OUT OF LINE","P",IF(K11="NONE",""))))&amp;C24&amp;C25</f>
        <v>CFR600(1200)150FL</v>
      </c>
      <c r="C1" s="61"/>
      <c r="D1" s="62"/>
      <c r="E1" s="11" t="s">
        <v>55</v>
      </c>
      <c r="F1" s="51" t="s">
        <v>163</v>
      </c>
      <c r="G1" s="51"/>
      <c r="H1" s="52"/>
      <c r="I1" s="11" t="s">
        <v>148</v>
      </c>
      <c r="J1" s="76">
        <f ca="1">TODAY()</f>
        <v>44951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120M</v>
      </c>
      <c r="C2" s="65"/>
      <c r="D2" s="66"/>
      <c r="E2" s="11" t="s">
        <v>56</v>
      </c>
      <c r="F2" s="51">
        <v>57069</v>
      </c>
      <c r="G2" s="51"/>
      <c r="H2" s="52"/>
      <c r="I2" s="11" t="s">
        <v>57</v>
      </c>
      <c r="J2" s="78" t="s">
        <v>162</v>
      </c>
      <c r="K2" s="51"/>
      <c r="L2" s="52"/>
    </row>
    <row r="3" spans="1:14" ht="20.149999999999999" customHeight="1" x14ac:dyDescent="0.75">
      <c r="A3" s="67" t="s">
        <v>167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158</v>
      </c>
      <c r="B7" s="51" t="s">
        <v>161</v>
      </c>
      <c r="C7" s="52"/>
      <c r="D7" s="11" t="s">
        <v>47</v>
      </c>
      <c r="E7" s="108" t="s">
        <v>131</v>
      </c>
      <c r="F7" s="108"/>
      <c r="G7" s="108"/>
      <c r="H7" s="108"/>
      <c r="I7" s="108"/>
      <c r="J7" s="91" t="s">
        <v>146</v>
      </c>
      <c r="K7" s="91"/>
      <c r="L7" s="92"/>
    </row>
    <row r="8" spans="1:14" ht="20.149999999999999" customHeight="1" x14ac:dyDescent="0.8">
      <c r="A8" s="12" t="s">
        <v>14</v>
      </c>
      <c r="B8" s="97">
        <v>600</v>
      </c>
      <c r="C8" s="98"/>
      <c r="D8" s="12" t="str">
        <f>IF(B7="Tube","Gusset","Centrefold")</f>
        <v>Centrefold</v>
      </c>
      <c r="E8" s="93" t="str">
        <f>IF(B7="Cont Centrefold","("&amp;B8*2&amp;")","")</f>
        <v>(1200)</v>
      </c>
      <c r="F8" s="94"/>
      <c r="G8" s="12" t="s">
        <v>50</v>
      </c>
      <c r="H8" s="97">
        <v>150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166</v>
      </c>
      <c r="C9" s="82"/>
      <c r="D9" s="46" t="str">
        <f>IF(K10="Middle","RUN 2 UP",IF(AND(B7="Cont Centrefold",B8=380),"RUN 2 UP",""))</f>
        <v>RUN 2 UP</v>
      </c>
      <c r="E9" s="47"/>
      <c r="F9" s="48"/>
      <c r="G9" s="13" t="s">
        <v>46</v>
      </c>
      <c r="H9" s="81" t="s">
        <v>165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38</v>
      </c>
      <c r="C10" s="52"/>
      <c r="D10" s="36" t="s">
        <v>104</v>
      </c>
      <c r="E10" s="85">
        <f>E11*B10</f>
        <v>1520</v>
      </c>
      <c r="F10" s="86"/>
      <c r="G10" s="11" t="s">
        <v>51</v>
      </c>
      <c r="H10" s="65">
        <f>H11*B10</f>
        <v>4560</v>
      </c>
      <c r="I10" s="66"/>
      <c r="J10" s="11" t="s">
        <v>39</v>
      </c>
      <c r="K10" s="51" t="s">
        <v>43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>CF Rolls</v>
      </c>
      <c r="B11" s="83">
        <f>B10*2</f>
        <v>76</v>
      </c>
      <c r="C11" s="84"/>
      <c r="D11" s="42" t="s">
        <v>105</v>
      </c>
      <c r="E11" s="87">
        <f>IF(D9="RUN 2 UP",(B8*H8*H11/540000)*2,(B8*H8*H11/540000))</f>
        <v>40</v>
      </c>
      <c r="F11" s="88"/>
      <c r="G11" s="42" t="s">
        <v>13</v>
      </c>
      <c r="H11" s="89">
        <v>120</v>
      </c>
      <c r="I11" s="90"/>
      <c r="J11" s="42" t="s">
        <v>48</v>
      </c>
      <c r="K11" s="95" t="s">
        <v>42</v>
      </c>
      <c r="L11" s="96"/>
      <c r="N11"/>
    </row>
    <row r="12" spans="1:14" ht="20.149999999999999" customHeight="1" x14ac:dyDescent="0.75">
      <c r="A12" s="106" t="s">
        <v>11</v>
      </c>
      <c r="B12" s="107"/>
      <c r="C12" s="107"/>
      <c r="D12" s="107"/>
      <c r="E12" s="102"/>
      <c r="F12" s="102"/>
      <c r="G12" s="102"/>
      <c r="H12" s="102"/>
      <c r="I12" s="102"/>
      <c r="J12" s="102"/>
      <c r="K12" s="102"/>
      <c r="L12" s="103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38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100" t="s">
        <v>5</v>
      </c>
      <c r="B19" s="100"/>
      <c r="C19" s="63" t="s">
        <v>115</v>
      </c>
      <c r="D19" s="64"/>
      <c r="E19" s="104">
        <v>0.2</v>
      </c>
      <c r="F19" s="105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100" t="s">
        <v>6</v>
      </c>
      <c r="B20" s="100"/>
      <c r="C20" s="63" t="s">
        <v>114</v>
      </c>
      <c r="D20" s="64"/>
      <c r="E20" s="104"/>
      <c r="F20" s="105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100" t="s">
        <v>7</v>
      </c>
      <c r="B21" s="100"/>
      <c r="C21" s="63" t="s">
        <v>113</v>
      </c>
      <c r="D21" s="64"/>
      <c r="E21" s="104">
        <v>0.8</v>
      </c>
      <c r="F21" s="105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100" t="s">
        <v>8</v>
      </c>
      <c r="B22" s="100"/>
      <c r="C22" s="63" t="s">
        <v>112</v>
      </c>
      <c r="D22" s="64"/>
      <c r="E22" s="104"/>
      <c r="F22" s="105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100" t="s">
        <v>150</v>
      </c>
      <c r="B23" s="100"/>
      <c r="C23" s="63" t="s">
        <v>151</v>
      </c>
      <c r="D23" s="64"/>
      <c r="E23" s="104"/>
      <c r="F23" s="105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">
        <v>164</v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FL</v>
      </c>
      <c r="D24" s="64"/>
      <c r="E24" s="104">
        <v>0.04</v>
      </c>
      <c r="F24" s="105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4"/>
      <c r="E25" s="104"/>
      <c r="F25" s="105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1" t="s">
        <v>0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6" t="s">
        <v>93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19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10" t="s">
        <v>101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1:12" ht="20.149999999999999" customHeight="1" x14ac:dyDescent="0.7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 ht="20.149999999999999" customHeight="1" x14ac:dyDescent="0.75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44982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44972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136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144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137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138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139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140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141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142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145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143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143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D823ACF-20CF-4A0F-9321-DACC0AFA2EB3}"/>
</file>

<file path=customXml/itemProps2.xml><?xml version="1.0" encoding="utf-8"?>
<ds:datastoreItem xmlns:ds="http://schemas.openxmlformats.org/officeDocument/2006/customXml" ds:itemID="{A5AD130B-4498-4980-A157-73995623F397}"/>
</file>

<file path=customXml/itemProps3.xml><?xml version="1.0" encoding="utf-8"?>
<ds:datastoreItem xmlns:ds="http://schemas.openxmlformats.org/officeDocument/2006/customXml" ds:itemID="{8AC95C7B-6878-4DB0-8C41-8E0CA7711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2023-01-23T23:45:44Z</cp:lastPrinted>
  <dcterms:created xsi:type="dcterms:W3CDTF">2019-11-27T23:28:06Z</dcterms:created>
  <dcterms:modified xsi:type="dcterms:W3CDTF">2023-01-25T03:38:48Z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