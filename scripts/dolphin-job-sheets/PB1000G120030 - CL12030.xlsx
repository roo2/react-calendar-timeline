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C04D134-B63E-4A53-AB1A-6FEAA032A4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<sst xmlns="http://schemas.openxmlformats.org/spreadsheetml/2006/main" count="305" uniqueCount="200">
  <si>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</si>
  <si>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</si>
  <si>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</si>
  <si>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</si>
  <si>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</si>
  <si>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</si>
  <si>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</si>
  <si>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</si>
  <si>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</si>
  <si>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</si>
  <si>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</si>
  <si>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</si>
  <si>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</si>
  <si>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</si>
  <si>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</si>
  <si>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</si>
  <si>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</si>
  <si>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</si>
  <si>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</si>
  <si>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</si>
  <si>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</si>
  <si>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</si>
  <si>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</si>
  <si>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</si>
  <si>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</si>
  <si>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</si>
  <si>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</si>
  <si>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</si>
  <si>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</si>
  <si>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</si>
  <si>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</si>
  <si>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</si>
  <si>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</si>
  <si>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</si>
  <si>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</si>
  <si>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</si>
  <si>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</si>
  <si>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</si>
  <si>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</si>
  <si>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</si>
  <si>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</si>
  <si>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</si>
  <si>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</si>
  <si>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</si>
  <si>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</si>
  <si>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</si>
  <si>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</si>
  <si>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</si>
  <si>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</si>
  <si>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</si>
  <si>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</si>
  <si>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</si>
  <si>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</si>
  <si>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</si>
  <si>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</si>
  <si>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</si>
  <si>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</si>
  <si>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</si>
  <si>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</si>
  <si>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</si>
  <si>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</si>
  <si>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</si>
  <si>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</si>
  <si>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</si>
  <si>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</si>
  <si>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</si>
  <si>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</si>
  <si>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</si>
  <si>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</si>
  <si>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</si>
  <si>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</si>
  <si>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</si>
  <si>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</si>
  <si>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</si>
  <si>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</si>
  <si>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</si>
  <si>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</si>
  <si>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</si>
  <si>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</si>
  <si>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</si>
  <si>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</si>
  <si>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</si>
  <si>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</si>
  <si>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</si>
  <si>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</si>
  <si>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</si>
  <si>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</si>
  <si>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</si>
  <si>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</si>
  <si>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</si>
  <si>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</si>
  <si>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</si>
  <si>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</si>
  <si>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</si>
  <si>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</si>
  <si>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</si>
  <si>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</si>
  <si>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</si>
  <si>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</si>
  <si>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</si>
  <si>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</si>
  <si>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</si>
  <si>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</si>
  <si>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</si>
  <si>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</si>
  <si>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</si>
  <si>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</si>
  <si>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</si>
  <si>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</si>
  <si>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</si>
  <si>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</si>
  <si>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</si>
  <si>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</si>
  <si>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</si>
  <si>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</si>
  <si>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</si>
  <si>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</si>
  <si>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</si>
  <si>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</si>
  <si>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</si>
  <si>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</si>
  <si>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</si>
  <si>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</si>
  <si>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</si>
  <si>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</si>
  <si>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</si>
  <si>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</si>
  <si>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</si>
  <si>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</si>
  <si>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</si>
  <si>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</si>
  <si>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</si>
  <si>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</si>
  <si>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</si>
  <si>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</si>
  <si>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</si>
  <si>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</si>
  <si>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</si>
  <si>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</si>
  <si>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</si>
  <si>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</si>
  <si>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</si>
  <si>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</si>
  <si>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</si>
  <si>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</si>
  <si>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</si>
  <si>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</si>
  <si>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</si>
  <si>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</si>
  <si>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</si>
  <si>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</si>
  <si>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</si>
  <si>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</si>
  <si>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</si>
  <si>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</si>
  <si>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</si>
  <si>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</si>
  <si>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</si>
  <si>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</si>
  <si>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</si>
  <si>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</si>
  <si>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</si>
  <si>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</si>
  <si>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</si>
  <si>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</si>
  <si>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</si>
  <si>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</si>
  <si>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</si>
  <si>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</si>
  <si>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</si>
  <si>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</si>
  <si>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</si>
  <si>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</si>
  <si>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</si>
  <si>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</si>
  <si>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</si>
  <si>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</si>
  <si>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</si>
  <si>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</si>
  <si>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</si>
  <si>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</si>
  <si>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</si>
  <si>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</si>
  <si>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</si>
  <si>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</si>
  <si>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</si>
  <si>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</si>
  <si>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</si>
  <si>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</si>
  <si>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</si>
  <si>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</si>
  <si>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</si>
  <si>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</si>
  <si>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</si>
  <si>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(500+500)</t>
  </si>
  <si>
    <t>ST VINCENT</t>
  </si>
  <si>
    <t>CL12030</t>
  </si>
  <si>
    <t>RUN AT 28um</t>
  </si>
  <si>
    <t xml:space="preserve"> +/- 10mm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</si>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</sst>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0" t="str">
        <f>O9&amp;R9&amp;IF(X8="G","G","")&amp;IF(O8="Centrefold Roll","("&amp;E8&amp;")","")&amp;T9&amp;V9&amp;C22&amp;C23&amp;C24&amp;O11&amp;R11</f>
        <v>PB1000G120030</v>
      </c>
      <c r="C1" s="110"/>
      <c r="D1" s="111"/>
      <c r="E1" s="11" t="s">
        <v>57</v>
      </c>
      <c r="F1" s="63" t="s">
        <v>195</v>
      </c>
      <c r="G1" s="63"/>
      <c r="H1" s="64"/>
      <c r="I1" s="12" t="s">
        <v>181</v>
      </c>
      <c r="J1" s="121">
        <f ca="1">TODAY()</f>
        <v>45471</v>
      </c>
      <c r="K1" s="121"/>
      <c r="L1" s="122"/>
      <c r="M1" s="29"/>
      <c r="N1" s="11" t="s">
        <v>56</v>
      </c>
      <c r="O1" s="110" t="str">
        <f>B1</f>
        <v>PB1000G120030</v>
      </c>
      <c r="P1" s="110"/>
      <c r="Q1" s="111"/>
      <c r="R1" s="11" t="s">
        <v>57</v>
      </c>
      <c r="S1" s="110" t="str">
        <f>F1</f>
        <v>ST VINCENT</v>
      </c>
      <c r="T1" s="110"/>
      <c r="U1" s="111"/>
      <c r="V1" s="11" t="s">
        <v>181</v>
      </c>
      <c r="W1" s="121">
        <f ca="1">J1</f>
        <v>45471</v>
      </c>
      <c r="X1" s="121"/>
      <c r="Y1" s="122"/>
    </row>
    <row r="2" spans="1:25" ht="20.100000000000001" customHeight="1" x14ac:dyDescent="0.25">
      <c r="A2" s="11" t="s">
        <v>100</v>
      </c>
      <c r="B2" s="110" t="str">
        <f>IF(U10="","",U10)</f>
        <v>CL12030</v>
      </c>
      <c r="C2" s="110"/>
      <c r="D2" s="111"/>
      <c r="E2" s="11" t="s">
        <v>58</v>
      </c>
      <c r="F2" s="63">
        <v>56716</v>
      </c>
      <c r="G2" s="63"/>
      <c r="H2" s="64"/>
      <c r="I2" s="11" t="s">
        <v>59</v>
      </c>
      <c r="J2" s="124" t="s">
        <v>192</v>
      </c>
      <c r="K2" s="63"/>
      <c r="L2" s="64"/>
      <c r="M2" s="29"/>
      <c r="N2" s="11" t="s">
        <v>100</v>
      </c>
      <c r="O2" s="110" t="str">
        <f>IF(B2="","",B2)</f>
        <v>CL12030</v>
      </c>
      <c r="P2" s="110"/>
      <c r="Q2" s="111"/>
      <c r="R2" s="11" t="s">
        <v>58</v>
      </c>
      <c r="S2" s="110">
        <f>IF(F2="","",F2)</f>
        <v>56716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8" t="s">
        <v>179</v>
      </c>
      <c r="K7" s="68"/>
      <c r="L7" s="69"/>
      <c r="M7" s="29"/>
      <c r="N7" s="11" t="str">
        <f>IF(ISNUMBER(SEARCH("roll",O8,1)),"No. Rolls","No. Cartons")</f>
        <v>No. Cartons</v>
      </c>
      <c r="O7" s="63">
        <v>100</v>
      </c>
      <c r="P7" s="64"/>
      <c r="Q7" s="11" t="str">
        <f>IF(ISNUMBER(SEARCH("roll",O8,1)),"Per Roll","Per Carton")</f>
        <v>Per Carton</v>
      </c>
      <c r="R7" s="63">
        <v>200</v>
      </c>
      <c r="S7" s="64"/>
      <c r="T7" s="11" t="str">
        <f>IF(ISNUMBER(SEARCH("bag",O8,1)),"Total Bags","Total Sheets")</f>
        <v>Total Bags</v>
      </c>
      <c r="U7" s="110">
        <f>R7*O7</f>
        <v>20000</v>
      </c>
      <c r="V7" s="111"/>
      <c r="W7" s="11" t="s">
        <v>102</v>
      </c>
      <c r="X7" s="63" t="s">
        <v>23</v>
      </c>
      <c r="Y7" s="64"/>
    </row>
    <row r="8" spans="1:25" ht="20.100000000000001" customHeight="1" x14ac:dyDescent="0.25">
      <c r="A8" s="13" t="s">
        <v>16</v>
      </c>
      <c r="B8" s="98">
        <f>R9</f>
        <v>1000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(500+500)</v>
      </c>
      <c r="F8" s="99"/>
      <c r="G8" s="13" t="s">
        <v>52</v>
      </c>
      <c r="H8" s="98">
        <f>(IF(V9&lt;30,"30",V9))</f>
        <v>30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6" t="s">
        <v>48</v>
      </c>
      <c r="B9" s="127" t="s">
        <v>198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197</v>
      </c>
      <c r="I9" s="128"/>
      <c r="J9" s="11" t="s">
        <v>55</v>
      </c>
      <c r="K9" s="63" t="s">
        <v>30</v>
      </c>
      <c r="L9" s="64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1000</v>
      </c>
      <c r="S9" s="18" t="s">
        <v>78</v>
      </c>
      <c r="T9" s="30">
        <v>1200</v>
      </c>
      <c r="U9" s="18" t="s">
        <v>78</v>
      </c>
      <c r="V9" s="30">
        <v>30</v>
      </c>
      <c r="W9" s="17"/>
      <c r="X9" s="89" t="s">
        <v>194</v>
      </c>
      <c r="Y9" s="90"/>
    </row>
    <row r="10" spans="1:25" ht="20.100000000000001" customHeight="1" x14ac:dyDescent="0.25">
      <c r="A10" s="11" t="s">
        <v>51</v>
      </c>
      <c r="B10" s="63">
        <v>34</v>
      </c>
      <c r="C10" s="64"/>
      <c r="D10" s="47" t="s">
        <v>134</v>
      </c>
      <c r="E10" s="129">
        <f>IF(ISNUMBER(SEARCH("sheet",O8,1)),((R9*T9*H8/540000)*U7/2000*1.3),((R9*T9*H8/540000)*U7/1000*1.08))</f>
        <v>1440.0000000000002</v>
      </c>
      <c r="F10" s="130"/>
      <c r="G10" s="11" t="s">
        <v>53</v>
      </c>
      <c r="H10" s="133">
        <f>IF(ISNUMBER(SEARCH("sheet",O8,1)),(U7*T9/2000*1.08),(U7*T9/1000*1.08))</f>
        <v>25920</v>
      </c>
      <c r="I10" s="134"/>
      <c r="J10" s="11" t="s">
        <v>41</v>
      </c>
      <c r="K10" s="63" t="s">
        <v>44</v>
      </c>
      <c r="L10" s="64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 t="s">
        <v>196</v>
      </c>
      <c r="V10" s="106"/>
      <c r="W10" s="106"/>
      <c r="X10" s="106"/>
      <c r="Y10" s="107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42.352941176470594</v>
      </c>
      <c r="F11" s="132"/>
      <c r="G11" s="11" t="s">
        <v>15</v>
      </c>
      <c r="H11" s="131">
        <f>H10/B10</f>
        <v>762.35294117647061</v>
      </c>
      <c r="I11" s="132"/>
      <c r="J11" s="11" t="s">
        <v>50</v>
      </c>
      <c r="K11" s="63" t="s">
        <v>44</v>
      </c>
      <c r="L11" s="64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1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29"/>
      <c r="N13" s="11" t="s">
        <v>72</v>
      </c>
      <c r="O13" s="31" t="s">
        <v>77</v>
      </c>
      <c r="P13" s="11" t="s">
        <v>73</v>
      </c>
      <c r="Q13" s="20">
        <f>O7</f>
        <v>100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17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39" t="s">
        <v>4</v>
      </c>
      <c r="F16" s="139"/>
      <c r="G16" s="139" t="s">
        <v>5</v>
      </c>
      <c r="H16" s="139"/>
      <c r="I16" s="68" t="s">
        <v>11</v>
      </c>
      <c r="J16" s="69"/>
      <c r="K16" s="68" t="s">
        <v>12</v>
      </c>
      <c r="L16" s="69"/>
      <c r="M16" s="29"/>
      <c r="N16" s="11" t="s">
        <v>28</v>
      </c>
      <c r="O16" s="63">
        <v>150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4" t="s">
        <v>147</v>
      </c>
      <c r="D17" s="95"/>
      <c r="E17" s="91"/>
      <c r="F17" s="66"/>
      <c r="G17" s="48" t="s">
        <v>81</v>
      </c>
      <c r="H17" s="59"/>
      <c r="I17" s="60"/>
      <c r="J17" s="61"/>
      <c r="K17" s="60"/>
      <c r="L17" s="61"/>
      <c r="M17" s="29"/>
      <c r="N17" s="11" t="s">
        <v>26</v>
      </c>
      <c r="O17" s="63" t="s">
        <v>35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23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4" t="s">
        <v>146</v>
      </c>
      <c r="D18" s="95"/>
      <c r="E18" s="91"/>
      <c r="F18" s="66"/>
      <c r="G18" s="48" t="s">
        <v>82</v>
      </c>
      <c r="H18" s="59"/>
      <c r="I18" s="60"/>
      <c r="J18" s="61"/>
      <c r="K18" s="60"/>
      <c r="L18" s="61"/>
      <c r="M18" s="29"/>
      <c r="N18" s="11" t="s">
        <v>101</v>
      </c>
      <c r="O18" s="63" t="s">
        <v>38</v>
      </c>
      <c r="P18" s="64"/>
      <c r="Q18" s="11" t="s">
        <v>106</v>
      </c>
      <c r="R18" s="63" t="s">
        <v>23</v>
      </c>
      <c r="S18" s="64"/>
      <c r="T18" s="21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4" t="s">
        <v>145</v>
      </c>
      <c r="D19" s="95"/>
      <c r="E19" s="91"/>
      <c r="F19" s="66"/>
      <c r="G19" s="48" t="s">
        <v>83</v>
      </c>
      <c r="H19" s="59"/>
      <c r="I19" s="60"/>
      <c r="J19" s="61"/>
      <c r="K19" s="60"/>
      <c r="L19" s="61"/>
      <c r="M19" s="29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4" t="s">
        <v>144</v>
      </c>
      <c r="D20" s="95"/>
      <c r="E20" s="91"/>
      <c r="F20" s="66"/>
      <c r="G20" s="48" t="s">
        <v>84</v>
      </c>
      <c r="H20" s="59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4" t="s">
        <v>143</v>
      </c>
      <c r="D21" s="95"/>
      <c r="E21" s="91"/>
      <c r="F21" s="66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/>
      </c>
      <c r="B22" s="62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91"/>
      <c r="F22" s="66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40"/>
      <c r="B23" s="140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5"/>
      <c r="E23" s="91"/>
      <c r="F23" s="66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41"/>
      <c r="B24" s="14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91"/>
      <c r="F24" s="66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10" t="s">
        <v>199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6" t="s">
        <v>116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45501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45492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4BD1097-E6D0-4478-92A3-D7299626978C}"/>
</file>

<file path=customXml/itemProps2.xml><?xml version="1.0" encoding="utf-8"?>
<ds:datastoreItem xmlns:ds="http://schemas.openxmlformats.org/officeDocument/2006/customXml" ds:itemID="{7E843B22-6500-4873-BB55-F784345B0AAE}"/>
</file>

<file path=customXml/itemProps3.xml><?xml version="1.0" encoding="utf-8"?>
<ds:datastoreItem xmlns:ds="http://schemas.openxmlformats.org/officeDocument/2006/customXml" ds:itemID="{78D7FAD9-49B5-4794-848A-AE4A8D9C7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2022-09-27T04:43:01Z</cp:lastPrinted>
  <dcterms:created xsi:type="dcterms:W3CDTF">2019-11-27T23:28:06Z</dcterms:created>
  <dcterms:modified xsi:type="dcterms:W3CDTF">2024-06-28T04:13:12Z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