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F1D6C23-CBF8-4BBD-A9CC-7FE44BA95951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<sst xmlns="http://schemas.openxmlformats.org/spreadsheetml/2006/main" count="306" uniqueCount="202">
  <si>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</si>
  <si>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</si>
  <si>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</si>
  <si>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</si>
  <si>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</si>
  <si>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</si>
  <si>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</si>
  <si>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</si>
  <si>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</si>
  <si>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</si>
  <si>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</si>
  <si>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</si>
  <si>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</si>
  <si>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</si>
  <si>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</si>
  <si>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</si>
  <si>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</si>
  <si>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</si>
  <si>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</si>
  <si>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</si>
  <si>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</si>
  <si>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</si>
  <si>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</si>
  <si>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</si>
  <si>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</si>
  <si>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</si>
  <si>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</si>
  <si>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</si>
  <si>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</si>
  <si>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</si>
  <si>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</si>
  <si>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</si>
  <si>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</si>
  <si>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</si>
  <si>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</si>
  <si>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</si>
  <si>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</si>
  <si>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</si>
  <si>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</si>
  <si>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</si>
  <si>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</si>
  <si>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</si>
  <si>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</si>
  <si>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</si>
  <si>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</si>
  <si>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</si>
  <si>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</si>
  <si>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</si>
  <si>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</si>
  <si>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</si>
  <si>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</si>
  <si>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</si>
  <si>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</si>
  <si>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</si>
  <si>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</si>
  <si>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</si>
  <si>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</si>
  <si>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</si>
  <si>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</si>
  <si>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</si>
  <si>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</si>
  <si>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</si>
  <si>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</si>
  <si>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</si>
  <si>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</si>
  <si>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</si>
  <si>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</si>
  <si>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</si>
  <si>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</si>
  <si>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</si>
  <si>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</si>
  <si>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</si>
  <si>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</si>
  <si>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</si>
  <si>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</si>
  <si>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</si>
  <si>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</si>
  <si>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</si>
  <si>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</si>
  <si>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</si>
  <si>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</si>
  <si>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</si>
  <si>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</si>
  <si>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</si>
  <si>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</si>
  <si>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</si>
  <si>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</si>
  <si>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</si>
  <si>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</si>
  <si>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</si>
  <si>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</si>
  <si>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</si>
  <si>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</si>
  <si>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</si>
  <si>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</si>
  <si>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</si>
  <si>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</si>
  <si>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</si>
  <si>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</si>
  <si>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</si>
  <si>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</si>
  <si>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</si>
  <si>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</si>
  <si>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</si>
  <si>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</si>
  <si>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</si>
  <si>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</si>
  <si>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</si>
  <si>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</si>
  <si>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</si>
  <si>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</si>
  <si>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</si>
  <si>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</si>
  <si>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</si>
  <si>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</si>
  <si>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</si>
  <si>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</si>
  <si>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</si>
  <si>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</si>
  <si>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</si>
  <si>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</si>
  <si>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</si>
  <si>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</si>
  <si>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</si>
  <si>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</si>
  <si>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</si>
  <si>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</si>
  <si>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</si>
  <si>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</si>
  <si>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</si>
  <si>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</si>
  <si>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</si>
  <si>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</si>
  <si>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</si>
  <si>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</si>
  <si>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</si>
  <si>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</si>
  <si>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</si>
  <si>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</si>
  <si>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</si>
  <si>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</si>
  <si>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</si>
  <si>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</si>
  <si>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</si>
  <si>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</si>
  <si>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</si>
  <si>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</si>
  <si>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</si>
  <si>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</si>
  <si>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</si>
  <si>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</si>
  <si>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</si>
  <si>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</si>
  <si>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</si>
  <si>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</si>
  <si>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</si>
  <si>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</si>
  <si>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</si>
  <si>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</si>
  <si>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</si>
  <si>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</si>
  <si>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</si>
  <si>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</si>
  <si>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</si>
  <si>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</si>
  <si>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</si>
  <si>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</si>
  <si>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</si>
  <si>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</si>
  <si>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</si>
  <si>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</si>
  <si>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</si>
  <si>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</si>
  <si>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</si>
  <si>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</si>
  <si>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</si>
  <si>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</si>
  <si>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</si>
  <si>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</si>
  <si>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</si>
  <si>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</si>
  <si>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</si>
  <si>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</si>
  <si>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</si>
  <si>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</si>
  <si>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</si>
  <si>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</si>
  <si>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</si>
  <si>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</si>
  <si>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</si>
  <si>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</si>
  <si>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</si>
  <si>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</si>
  <si>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</si>
  <si>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</si>
  <si>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NOT OVER</t>
  </si>
  <si>
    <t>HI Q JAPAN</t>
  </si>
  <si>
    <t>18.12.2020</t>
  </si>
  <si>
    <t>PINK</t>
  </si>
  <si>
    <t>NEW CUSTOMER &amp; NEW ITEM - SEE ROHAN FOR INK COLOUR AND ARTWORK</t>
  </si>
  <si>
    <t>DIE CUT HANDLE - 45ML FOM TOP OF BAG</t>
  </si>
  <si>
    <t>1C/1S - HI-Q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</si>
</sst>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2" fontId="10" fillId="0" borderId="2" xfId="0" applyNumberFormat="1" applyFont="1" applyBorder="1" applyAlignment="1" applyProtection="1">
      <alignment horizontal="center"/>
      <protection locked="0"/>
    </xf>
    <xf numFmtId="2" fontId="10" fillId="0" borderId="5" xfId="0" applyNumberFormat="1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  <protection locked="0"/>
    </xf>
    <xf numFmtId="0" fontId="19" fillId="8" borderId="5" xfId="0" applyFont="1" applyFill="1" applyBorder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U10" sqref="U10:Y1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PB35040035WHP</v>
      </c>
      <c r="C1" s="122"/>
      <c r="D1" s="123"/>
      <c r="E1" s="12" t="s">
        <v>57</v>
      </c>
      <c r="F1" s="133" t="s">
        <v>196</v>
      </c>
      <c r="G1" s="134"/>
      <c r="H1" s="135"/>
      <c r="I1" s="13" t="s">
        <v>181</v>
      </c>
      <c r="J1" s="96">
        <f ca="1">TODAY()</f>
        <v>44137</v>
      </c>
      <c r="K1" s="96"/>
      <c r="L1" s="97"/>
      <c r="M1" s="34"/>
      <c r="N1" s="12" t="s">
        <v>56</v>
      </c>
      <c r="O1" s="122" t="str">
        <f>B1</f>
        <v>PB35040035WHP</v>
      </c>
      <c r="P1" s="122"/>
      <c r="Q1" s="123"/>
      <c r="R1" s="12" t="s">
        <v>57</v>
      </c>
      <c r="S1" s="122" t="str">
        <f>F1</f>
        <v>HI Q JAPAN</v>
      </c>
      <c r="T1" s="122"/>
      <c r="U1" s="123"/>
      <c r="V1" s="12" t="s">
        <v>181</v>
      </c>
      <c r="W1" s="96">
        <f ca="1">J1</f>
        <v>44137</v>
      </c>
      <c r="X1" s="96"/>
      <c r="Y1" s="97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938842</v>
      </c>
      <c r="G2" s="98"/>
      <c r="H2" s="99"/>
      <c r="I2" s="12" t="s">
        <v>59</v>
      </c>
      <c r="J2" s="171" t="s">
        <v>197</v>
      </c>
      <c r="K2" s="171"/>
      <c r="L2" s="172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938842</v>
      </c>
      <c r="T2" s="122"/>
      <c r="U2" s="123"/>
      <c r="V2" s="12" t="s">
        <v>59</v>
      </c>
      <c r="W2" s="136" t="str">
        <f>J2</f>
        <v>18.12.2020</v>
      </c>
      <c r="X2" s="122"/>
      <c r="Y2" s="123"/>
    </row>
    <row r="3" spans="1:28" ht="20.100000000000001" customHeight="1" x14ac:dyDescent="0.25">
      <c r="A3" s="124" t="s">
        <v>199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CUSTOMER &amp; NEW ITEM - SEE ROHAN FOR INK COLOUR AND ARTWORK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155</v>
      </c>
      <c r="C7" s="119"/>
      <c r="D7" s="119"/>
      <c r="E7" s="119"/>
      <c r="F7" s="119"/>
      <c r="G7" s="119"/>
      <c r="H7" s="119"/>
      <c r="I7" s="120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8">
        <v>16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8000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350</v>
      </c>
      <c r="S9" s="20" t="s">
        <v>78</v>
      </c>
      <c r="T9" s="70">
        <v>400</v>
      </c>
      <c r="U9" s="20" t="s">
        <v>78</v>
      </c>
      <c r="V9" s="35">
        <v>35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78.400000000000006</v>
      </c>
      <c r="F10" s="113"/>
      <c r="G10" s="12" t="s">
        <v>53</v>
      </c>
      <c r="H10" s="116">
        <f>IF(ISNUMBER(SEARCH("sheet",O8,1)),(U7*T9/2000*1.08),(U7*T9/1000*1.08))</f>
        <v>3456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Yes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15.680000000000001</v>
      </c>
      <c r="F11" s="115"/>
      <c r="G11" s="12" t="s">
        <v>15</v>
      </c>
      <c r="H11" s="114">
        <f>H10/B10</f>
        <v>691.2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69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173" t="s">
        <v>198</v>
      </c>
      <c r="K13" s="173"/>
      <c r="L13" s="174"/>
      <c r="M13" s="34"/>
      <c r="N13" s="12" t="s">
        <v>72</v>
      </c>
      <c r="O13" s="36" t="s">
        <v>77</v>
      </c>
      <c r="P13" s="12" t="s">
        <v>73</v>
      </c>
      <c r="Q13" s="24">
        <f>O7</f>
        <v>16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75" t="s">
        <v>201</v>
      </c>
      <c r="C14" s="175"/>
      <c r="D14" s="175"/>
      <c r="E14" s="175"/>
      <c r="F14" s="175"/>
      <c r="G14" s="175"/>
      <c r="H14" s="175"/>
      <c r="I14" s="175"/>
      <c r="J14" s="175"/>
      <c r="K14" s="175"/>
      <c r="L14" s="176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1"/>
      <c r="Y16" s="95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37"/>
      <c r="I17" s="159"/>
      <c r="J17" s="160"/>
      <c r="K17" s="159"/>
      <c r="L17" s="160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1"/>
      <c r="Y17" s="95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37"/>
      <c r="I18" s="159"/>
      <c r="J18" s="160"/>
      <c r="K18" s="159"/>
      <c r="L18" s="160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61"/>
      <c r="Y18" s="95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37"/>
      <c r="I19" s="159"/>
      <c r="J19" s="160"/>
      <c r="K19" s="159"/>
      <c r="L19" s="160"/>
      <c r="M19" s="34"/>
      <c r="N19" s="162" t="s">
        <v>200</v>
      </c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4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37"/>
      <c r="I20" s="159"/>
      <c r="J20" s="160"/>
      <c r="K20" s="159"/>
      <c r="L20" s="160"/>
      <c r="M20" s="34"/>
      <c r="N20" s="165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7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59"/>
      <c r="J21" s="160"/>
      <c r="K21" s="159"/>
      <c r="L21" s="160"/>
      <c r="M21" s="34"/>
      <c r="N21" s="165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7"/>
    </row>
    <row r="22" spans="1:25" ht="20.100000000000001" customHeight="1" x14ac:dyDescent="0.25">
      <c r="A22" s="86" t="str">
        <f>(IF(B7="NATURAL","",B7))</f>
        <v>WHITE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0"/>
      <c r="E22" s="158"/>
      <c r="F22" s="95"/>
      <c r="G22" s="56" t="s">
        <v>86</v>
      </c>
      <c r="H22" s="37"/>
      <c r="I22" s="159"/>
      <c r="J22" s="160"/>
      <c r="K22" s="159"/>
      <c r="L22" s="160"/>
      <c r="M22" s="34"/>
      <c r="N22" s="168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70"/>
    </row>
    <row r="23" spans="1:25" ht="20.100000000000001" customHeight="1" x14ac:dyDescent="0.2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59"/>
      <c r="J23" s="160"/>
      <c r="K23" s="159"/>
      <c r="L23" s="160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59"/>
      <c r="J24" s="160"/>
      <c r="K24" s="159"/>
      <c r="L24" s="16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1" zoomScaleNormal="100" workbookViewId="0">
      <selection activeCell="D68" sqref="D6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44167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44158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198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ACEDC64-0BA1-4B65-97CB-87E066D5F4E6}"/>
</file>

<file path=customXml/itemProps2.xml><?xml version="1.0" encoding="utf-8"?>
<ds:datastoreItem xmlns:ds="http://schemas.openxmlformats.org/officeDocument/2006/customXml" ds:itemID="{1CB45574-5C50-4B66-81E6-DA25642A2F76}"/>
</file>

<file path=customXml/itemProps3.xml><?xml version="1.0" encoding="utf-8"?>
<ds:datastoreItem xmlns:ds="http://schemas.openxmlformats.org/officeDocument/2006/customXml" ds:itemID="{5D582170-070A-419A-AEC9-EF60486434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2020-11-02T03:08:12Z</cp:lastPrinted>
  <dcterms:created xsi:type="dcterms:W3CDTF">2019-11-27T23:28:06Z</dcterms:created>
  <dcterms:modified xsi:type="dcterms:W3CDTF">2020-11-02T04:14:59Z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