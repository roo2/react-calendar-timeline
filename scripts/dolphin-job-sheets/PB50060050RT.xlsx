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2B75882-198B-4A77-B154-85DADC6B81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<sst xmlns="http://schemas.openxmlformats.org/spreadsheetml/2006/main" count="309" uniqueCount="201">
  <si>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</si>
  <si>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</si>
  <si>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</si>
  <si>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</si>
  <si>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</si>
  <si>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</si>
  <si>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</si>
  <si>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</si>
  <si>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</si>
  <si>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</si>
  <si>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</si>
  <si>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</si>
  <si>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</si>
  <si>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</si>
  <si>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</si>
  <si>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</si>
  <si>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</si>
  <si>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</si>
  <si>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</si>
  <si>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</si>
  <si>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</si>
  <si>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</si>
  <si>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</si>
  <si>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</si>
  <si>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</si>
  <si>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</si>
  <si>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</si>
  <si>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</si>
  <si>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</si>
  <si>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</si>
  <si>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</si>
  <si>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</si>
  <si>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</si>
  <si>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</si>
  <si>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</si>
  <si>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</si>
  <si>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</si>
  <si>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</si>
  <si>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</si>
  <si>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</si>
  <si>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</si>
  <si>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</si>
  <si>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</si>
  <si>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</si>
  <si>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</si>
  <si>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</si>
  <si>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</si>
  <si>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</si>
  <si>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</si>
  <si>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</si>
  <si>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</si>
  <si>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</si>
  <si>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</si>
  <si>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</si>
  <si>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</si>
  <si>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</si>
  <si>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</si>
  <si>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</si>
  <si>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</si>
  <si>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</si>
  <si>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</si>
  <si>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</si>
  <si>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</si>
  <si>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</si>
  <si>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</si>
  <si>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</si>
  <si>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</si>
  <si>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</si>
  <si>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</si>
  <si>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</si>
  <si>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</si>
  <si>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</si>
  <si>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</si>
  <si>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</si>
  <si>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</si>
  <si>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</si>
  <si>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</si>
  <si>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</si>
  <si>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</si>
  <si>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</si>
  <si>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</si>
  <si>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</si>
  <si>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</si>
  <si>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</si>
  <si>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</si>
  <si>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</si>
  <si>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</si>
  <si>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</si>
  <si>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</si>
  <si>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</si>
  <si>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</si>
  <si>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</si>
  <si>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</si>
  <si>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</si>
  <si>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</si>
  <si>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</si>
  <si>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</si>
  <si>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</si>
  <si>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</si>
  <si>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</si>
  <si>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</si>
  <si>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</si>
  <si>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</si>
  <si>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</si>
  <si>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</si>
  <si>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</si>
  <si>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</si>
  <si>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</si>
  <si>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</si>
  <si>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</si>
  <si>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</si>
  <si>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</si>
  <si>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</si>
  <si>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</si>
  <si>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</si>
  <si>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</si>
  <si>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</si>
  <si>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</si>
  <si>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</si>
  <si>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</si>
  <si>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</si>
  <si>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</si>
  <si>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</si>
  <si>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</si>
  <si>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</si>
  <si>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</si>
  <si>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</si>
  <si>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</si>
  <si>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</si>
  <si>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</si>
  <si>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</si>
  <si>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</si>
  <si>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</si>
  <si>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</si>
  <si>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</si>
  <si>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</si>
  <si>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</si>
  <si>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</si>
  <si>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</si>
  <si>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</si>
  <si>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</si>
  <si>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</si>
  <si>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</si>
  <si>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</si>
  <si>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</si>
  <si>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</si>
  <si>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</si>
  <si>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</si>
  <si>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</si>
  <si>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</si>
  <si>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</si>
  <si>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</si>
  <si>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</si>
  <si>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</si>
  <si>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</si>
  <si>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</si>
  <si>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</si>
  <si>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</si>
  <si>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</si>
  <si>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</si>
  <si>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</si>
  <si>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</si>
  <si>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</si>
  <si>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</si>
  <si>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</si>
  <si>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</si>
  <si>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</si>
  <si>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</si>
  <si>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</si>
  <si>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</si>
  <si>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</si>
  <si>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</si>
  <si>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</si>
  <si>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</si>
  <si>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</si>
  <si>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</si>
  <si>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</si>
  <si>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</si>
  <si>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</si>
  <si>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</si>
  <si>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</si>
  <si>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</si>
  <si>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</si>
  <si>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</si>
  <si>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</si>
  <si>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</si>
  <si>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</si>
  <si>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</si>
  <si>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</si>
  <si>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</si>
  <si>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</si>
  <si>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</si>
  <si>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</si>
  <si>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</si>
  <si>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</si>
  <si>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PRO-PAC</t>
  </si>
  <si>
    <t>LIMAX</t>
  </si>
  <si>
    <t>ANTISTATIC</t>
  </si>
  <si>
    <t xml:space="preserve">ANTIBLOCK </t>
  </si>
  <si>
    <t>%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</si>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</sst>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8" fillId="5" borderId="4" xfId="0" applyNumberFormat="1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2" t="str">
        <f>O9&amp;R9&amp;IF(X8="G","G","")&amp;IF(O8="Centrefold Roll","("&amp;E8&amp;")","")&amp;T9&amp;V9&amp;C22&amp;C23&amp;C24&amp;O11&amp;R11</f>
        <v>PB50060050RTAS0</v>
      </c>
      <c r="C1" s="112"/>
      <c r="D1" s="113"/>
      <c r="E1" s="11" t="s">
        <v>57</v>
      </c>
      <c r="F1" s="63" t="s">
        <v>195</v>
      </c>
      <c r="G1" s="63"/>
      <c r="H1" s="64"/>
      <c r="I1" s="12" t="s">
        <v>181</v>
      </c>
      <c r="J1" s="123">
        <f ca="1">TODAY()</f>
        <v>45838</v>
      </c>
      <c r="K1" s="123"/>
      <c r="L1" s="124"/>
      <c r="M1" s="29"/>
      <c r="N1" s="11" t="s">
        <v>56</v>
      </c>
      <c r="O1" s="112" t="str">
        <f>B1</f>
        <v>PB50060050RTAS0</v>
      </c>
      <c r="P1" s="112"/>
      <c r="Q1" s="113"/>
      <c r="R1" s="11" t="s">
        <v>57</v>
      </c>
      <c r="S1" s="112" t="str">
        <f>F1</f>
        <v>PRO-PAC</v>
      </c>
      <c r="T1" s="112"/>
      <c r="U1" s="113"/>
      <c r="V1" s="11" t="s">
        <v>181</v>
      </c>
      <c r="W1" s="123">
        <f ca="1">J1</f>
        <v>45838</v>
      </c>
      <c r="X1" s="123"/>
      <c r="Y1" s="124"/>
    </row>
    <row r="2" spans="1:25" ht="20.100000000000001" customHeight="1" x14ac:dyDescent="0.25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63">
        <v>948967</v>
      </c>
      <c r="G2" s="63"/>
      <c r="H2" s="64"/>
      <c r="I2" s="11" t="s">
        <v>59</v>
      </c>
      <c r="J2" s="126">
        <v>45628</v>
      </c>
      <c r="K2" s="63"/>
      <c r="L2" s="64"/>
      <c r="M2" s="29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>
        <f>IF(F2="","",F2)</f>
        <v>948967</v>
      </c>
      <c r="T2" s="112"/>
      <c r="U2" s="113"/>
      <c r="V2" s="11" t="s">
        <v>59</v>
      </c>
      <c r="W2" s="125">
        <f>J2</f>
        <v>45628</v>
      </c>
      <c r="X2" s="112"/>
      <c r="Y2" s="113"/>
    </row>
    <row r="3" spans="1:25" ht="20.100000000000001" customHeight="1" x14ac:dyDescent="0.25">
      <c r="A3" s="114" t="s">
        <v>160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14" t="str">
        <f>A3</f>
        <v>RED TINT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127" t="s">
        <v>2</v>
      </c>
      <c r="B6" s="128"/>
      <c r="C6" s="128"/>
      <c r="D6" s="128"/>
      <c r="E6" s="128"/>
      <c r="F6" s="128"/>
      <c r="G6" s="128"/>
      <c r="H6" s="128"/>
      <c r="I6" s="128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1" t="s">
        <v>49</v>
      </c>
      <c r="B7" s="104" t="s">
        <v>160</v>
      </c>
      <c r="C7" s="104"/>
      <c r="D7" s="104"/>
      <c r="E7" s="104"/>
      <c r="F7" s="104"/>
      <c r="G7" s="104"/>
      <c r="H7" s="104"/>
      <c r="I7" s="105"/>
      <c r="J7" s="68" t="s">
        <v>179</v>
      </c>
      <c r="K7" s="68"/>
      <c r="L7" s="69"/>
      <c r="M7" s="29"/>
      <c r="N7" s="11" t="str">
        <f>IF(ISNUMBER(SEARCH("roll",O8,1)),"No. Rolls","No. Cartons")</f>
        <v>No. Cartons</v>
      </c>
      <c r="O7" s="63">
        <v>10</v>
      </c>
      <c r="P7" s="64"/>
      <c r="Q7" s="11" t="str">
        <f>IF(ISNUMBER(SEARCH("roll",O8,1)),"Per Roll","Per Carton")</f>
        <v>Per Carton</v>
      </c>
      <c r="R7" s="63">
        <v>500</v>
      </c>
      <c r="S7" s="64"/>
      <c r="T7" s="11" t="str">
        <f>IF(ISNUMBER(SEARCH("bag",O8,1)),"Total Bags","Total Sheets")</f>
        <v>Total Bags</v>
      </c>
      <c r="U7" s="112">
        <f>R7*O7</f>
        <v>5000</v>
      </c>
      <c r="V7" s="113"/>
      <c r="W7" s="11" t="s">
        <v>102</v>
      </c>
      <c r="X7" s="63" t="s">
        <v>23</v>
      </c>
      <c r="Y7" s="64"/>
    </row>
    <row r="8" spans="1:25" ht="20.100000000000001" customHeight="1" x14ac:dyDescent="0.25">
      <c r="A8" s="13" t="s">
        <v>16</v>
      </c>
      <c r="B8" s="100">
        <f>R9</f>
        <v>500</v>
      </c>
      <c r="C8" s="101"/>
      <c r="D8" s="27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3" t="s">
        <v>52</v>
      </c>
      <c r="H8" s="100">
        <f>(IF(V9&lt;30,"30",V9))</f>
        <v>50</v>
      </c>
      <c r="I8" s="101"/>
      <c r="J8" s="11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4" t="s">
        <v>54</v>
      </c>
      <c r="O8" s="102" t="s">
        <v>164</v>
      </c>
      <c r="P8" s="103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8" t="str">
        <f>IF(AND(W8="Gusset",X9=""), "None",IF(AND(W8="Centrefold",X9=""),"None",IF(W8="Gusset","G",IF(W8="Centrefold","CF"))))</f>
        <v>None</v>
      </c>
      <c r="Y8" s="99"/>
    </row>
    <row r="9" spans="1:25" ht="20.100000000000001" customHeight="1" x14ac:dyDescent="0.3">
      <c r="A9" s="16" t="s">
        <v>48</v>
      </c>
      <c r="B9" s="129" t="s">
        <v>194</v>
      </c>
      <c r="C9" s="130"/>
      <c r="D9" s="137" t="str">
        <f>IF(K10="Middle","RUN 2 UP",IF(AND(O8="Centrefold Roll",B8=380),"RUN 2 UP",""))</f>
        <v/>
      </c>
      <c r="E9" s="104"/>
      <c r="F9" s="105"/>
      <c r="G9" s="16" t="s">
        <v>48</v>
      </c>
      <c r="H9" s="129" t="s">
        <v>194</v>
      </c>
      <c r="I9" s="130"/>
      <c r="J9" s="11" t="s">
        <v>55</v>
      </c>
      <c r="K9" s="63" t="s">
        <v>30</v>
      </c>
      <c r="L9" s="64"/>
      <c r="M9" s="29"/>
      <c r="N9" s="17"/>
      <c r="O9" s="106" t="str">
        <f>IF(O8="Poly Bag","PB",IF(O8="Poly Bag Roll","PBR",IF(O8="Centrefold Roll","CFR",IF(O8="Sheet","S",IF(O8="Sheet Roll","SR")))))</f>
        <v>PB</v>
      </c>
      <c r="P9" s="107"/>
      <c r="Q9" s="17"/>
      <c r="R9" s="30">
        <v>500</v>
      </c>
      <c r="S9" s="18" t="s">
        <v>78</v>
      </c>
      <c r="T9" s="30">
        <v>600</v>
      </c>
      <c r="U9" s="18" t="s">
        <v>78</v>
      </c>
      <c r="V9" s="30">
        <v>50</v>
      </c>
      <c r="W9" s="17"/>
      <c r="X9" s="89"/>
      <c r="Y9" s="90"/>
    </row>
    <row r="10" spans="1:25" ht="20.100000000000001" customHeight="1" x14ac:dyDescent="0.25">
      <c r="A10" s="11" t="s">
        <v>51</v>
      </c>
      <c r="B10" s="63">
        <v>10</v>
      </c>
      <c r="C10" s="64"/>
      <c r="D10" s="47" t="s">
        <v>134</v>
      </c>
      <c r="E10" s="131">
        <f>IF(ISNUMBER(SEARCH("sheet",O8,1)),((R9*T9*H8/540000)*U7/2000*1.3),((R9*T9*H8/540000)*U7/1000*1.08))</f>
        <v>150.00000000000003</v>
      </c>
      <c r="F10" s="132"/>
      <c r="G10" s="11" t="s">
        <v>53</v>
      </c>
      <c r="H10" s="135">
        <f>IF(ISNUMBER(SEARCH("sheet",O8,1)),(U7*T9/2000*1.08),(U7*T9/1000*1.08))</f>
        <v>3240</v>
      </c>
      <c r="I10" s="136"/>
      <c r="J10" s="11" t="s">
        <v>41</v>
      </c>
      <c r="K10" s="63" t="s">
        <v>44</v>
      </c>
      <c r="L10" s="64"/>
      <c r="M10" s="29"/>
      <c r="N10" s="14" t="s">
        <v>141</v>
      </c>
      <c r="O10" s="102" t="s">
        <v>44</v>
      </c>
      <c r="P10" s="103"/>
      <c r="Q10" s="14" t="s">
        <v>50</v>
      </c>
      <c r="R10" s="98" t="str">
        <f>IF(K11="NONE","None",IF(K11="INLINE","Yes",IF(K11="OUT OF LINE","Yes")))</f>
        <v>None</v>
      </c>
      <c r="S10" s="98"/>
      <c r="T10" s="14" t="s">
        <v>100</v>
      </c>
      <c r="U10" s="108"/>
      <c r="V10" s="108"/>
      <c r="W10" s="108"/>
      <c r="X10" s="108"/>
      <c r="Y10" s="109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33">
        <f>E10/B10</f>
        <v>15.000000000000004</v>
      </c>
      <c r="F11" s="134"/>
      <c r="G11" s="11" t="s">
        <v>15</v>
      </c>
      <c r="H11" s="133">
        <f>H10/B10</f>
        <v>324</v>
      </c>
      <c r="I11" s="134"/>
      <c r="J11" s="11" t="s">
        <v>50</v>
      </c>
      <c r="K11" s="63" t="s">
        <v>44</v>
      </c>
      <c r="L11" s="64"/>
      <c r="M11" s="29"/>
      <c r="N11" s="13"/>
      <c r="O11" s="100" t="str">
        <f>IF(O10="NONE","","V")</f>
        <v/>
      </c>
      <c r="P11" s="101"/>
      <c r="Q11" s="13"/>
      <c r="R11" s="100" t="str">
        <f>IF(R10="None","","P")</f>
        <v/>
      </c>
      <c r="S11" s="101"/>
      <c r="T11" s="13"/>
      <c r="U11" s="110"/>
      <c r="V11" s="110"/>
      <c r="W11" s="110"/>
      <c r="X11" s="110"/>
      <c r="Y11" s="111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1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41" t="s">
        <v>4</v>
      </c>
      <c r="F16" s="141"/>
      <c r="G16" s="141" t="s">
        <v>5</v>
      </c>
      <c r="H16" s="141"/>
      <c r="I16" s="68" t="s">
        <v>11</v>
      </c>
      <c r="J16" s="69"/>
      <c r="K16" s="68" t="s">
        <v>12</v>
      </c>
      <c r="L16" s="69"/>
      <c r="M16" s="29"/>
      <c r="N16" s="11" t="s">
        <v>28</v>
      </c>
      <c r="O16" s="63">
        <v>150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4" t="s">
        <v>147</v>
      </c>
      <c r="D17" s="95"/>
      <c r="E17" s="60"/>
      <c r="F17" s="61"/>
      <c r="G17" s="48" t="s">
        <v>81</v>
      </c>
      <c r="H17" s="32"/>
      <c r="I17" s="60"/>
      <c r="J17" s="61"/>
      <c r="K17" s="60"/>
      <c r="L17" s="61"/>
      <c r="M17" s="29"/>
      <c r="N17" s="11" t="s">
        <v>26</v>
      </c>
      <c r="O17" s="63" t="s">
        <v>35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4" t="s">
        <v>146</v>
      </c>
      <c r="D18" s="95"/>
      <c r="E18" s="60"/>
      <c r="F18" s="61"/>
      <c r="G18" s="48" t="s">
        <v>82</v>
      </c>
      <c r="H18" s="32"/>
      <c r="I18" s="60"/>
      <c r="J18" s="61"/>
      <c r="K18" s="60"/>
      <c r="L18" s="61"/>
      <c r="M18" s="29"/>
      <c r="N18" s="11" t="s">
        <v>101</v>
      </c>
      <c r="O18" s="63" t="s">
        <v>38</v>
      </c>
      <c r="P18" s="64"/>
      <c r="Q18" s="11" t="s">
        <v>106</v>
      </c>
      <c r="R18" s="63" t="s">
        <v>31</v>
      </c>
      <c r="S18" s="64"/>
      <c r="T18" s="21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4" t="s">
        <v>145</v>
      </c>
      <c r="D19" s="95"/>
      <c r="E19" s="60"/>
      <c r="F19" s="61"/>
      <c r="G19" s="48" t="s">
        <v>83</v>
      </c>
      <c r="H19" s="32"/>
      <c r="I19" s="60"/>
      <c r="J19" s="61"/>
      <c r="K19" s="60"/>
      <c r="L19" s="61"/>
      <c r="M19" s="29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4" t="s">
        <v>144</v>
      </c>
      <c r="D20" s="95"/>
      <c r="E20" s="60"/>
      <c r="F20" s="61"/>
      <c r="G20" s="48" t="s">
        <v>84</v>
      </c>
      <c r="H20" s="32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4" t="s">
        <v>143</v>
      </c>
      <c r="D21" s="95"/>
      <c r="E21" s="60"/>
      <c r="F21" s="61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>RED TINT</v>
      </c>
      <c r="B22" s="62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RT</v>
      </c>
      <c r="D22" s="95"/>
      <c r="E22" s="96" t="s">
        <v>199</v>
      </c>
      <c r="F22" s="97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42" t="s">
        <v>197</v>
      </c>
      <c r="B23" s="142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5"/>
      <c r="E23" s="91" t="s">
        <v>199</v>
      </c>
      <c r="F23" s="61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43" t="s">
        <v>198</v>
      </c>
      <c r="B24" s="144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91" t="s">
        <v>199</v>
      </c>
      <c r="F24" s="61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10" t="s">
        <v>196</v>
      </c>
      <c r="P25" s="34"/>
      <c r="Q25" s="10">
        <v>28</v>
      </c>
      <c r="R25" s="59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2" t="s">
        <v>96</v>
      </c>
      <c r="B27" s="7" t="s">
        <v>200</v>
      </c>
      <c r="C27" s="7"/>
      <c r="D27" s="7">
        <v>24</v>
      </c>
      <c r="E27" s="8">
        <v>8.4000000000000005E-2</v>
      </c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6" t="s">
        <v>116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8" t="s">
        <v>136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40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45868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45859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0C12140-76A6-4C62-ABD3-5E2A7146D9A2}"/>
</file>

<file path=customXml/itemProps2.xml><?xml version="1.0" encoding="utf-8"?>
<ds:datastoreItem xmlns:ds="http://schemas.openxmlformats.org/officeDocument/2006/customXml" ds:itemID="{C2CFEA37-1411-4F29-8BE3-F26FADD33D0D}"/>
</file>

<file path=customXml/itemProps3.xml><?xml version="1.0" encoding="utf-8"?>
<ds:datastoreItem xmlns:ds="http://schemas.openxmlformats.org/officeDocument/2006/customXml" ds:itemID="{25611FA5-4036-4DC2-8B7D-CE40F0CEF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2024-11-11T00:45:13Z</cp:lastPrinted>
  <dcterms:created xsi:type="dcterms:W3CDTF">2019-11-27T23:28:06Z</dcterms:created>
  <dcterms:modified xsi:type="dcterms:W3CDTF">2025-06-30T01:30:11Z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